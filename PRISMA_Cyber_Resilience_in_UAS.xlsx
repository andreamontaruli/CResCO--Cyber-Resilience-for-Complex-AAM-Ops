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24226"/>
  <mc:AlternateContent xmlns:mc="http://schemas.openxmlformats.org/markup-compatibility/2006">
    <mc:Choice Requires="x15">
      <x15ac:absPath xmlns:x15ac="http://schemas.microsoft.com/office/spreadsheetml/2010/11/ac" url="C:\Users\Andrea\Desktop\"/>
    </mc:Choice>
  </mc:AlternateContent>
  <xr:revisionPtr revIDLastSave="0" documentId="8_{72DA7084-641D-483E-B1E9-C5901797F1EB}" xr6:coauthVersionLast="47" xr6:coauthVersionMax="47" xr10:uidLastSave="{00000000-0000-0000-0000-000000000000}"/>
  <bookViews>
    <workbookView xWindow="-120" yWindow="-120" windowWidth="29040" windowHeight="15840" tabRatio="700" xr2:uid="{00000000-000D-0000-FFFF-FFFF00000000}"/>
  </bookViews>
  <sheets>
    <sheet name="Introductory notes and summary" sheetId="2" r:id="rId1"/>
    <sheet name="Scopus_Export" sheetId="3" r:id="rId2"/>
    <sheet name="Selected_papers" sheetId="1" r:id="rId3"/>
    <sheet name="Results" sheetId="21" r:id="rId4"/>
  </sheets>
  <externalReferences>
    <externalReference r:id="rId5"/>
  </externalReferences>
  <definedNames>
    <definedName name="_xlnm._FilterDatabase" localSheetId="3" hidden="1">Results!$K$3:$M$12</definedName>
    <definedName name="_xlnm._FilterDatabase" localSheetId="2" hidden="1">Selected_papers!$A$1:$K$737</definedName>
    <definedName name="DatiEsterni_1" localSheetId="1" hidden="1">Scopus_Export!$A$1:$Q$764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1" i="21" l="1"/>
  <c r="B61" i="21"/>
  <c r="C60" i="21"/>
  <c r="B60" i="21"/>
  <c r="C59" i="21"/>
  <c r="B59" i="21"/>
  <c r="C58" i="21"/>
  <c r="B58" i="21"/>
  <c r="C57" i="21"/>
  <c r="B57" i="21"/>
  <c r="C56" i="21"/>
  <c r="B56" i="21"/>
  <c r="C55" i="21"/>
  <c r="B55" i="21"/>
  <c r="C54" i="21"/>
  <c r="B54" i="21"/>
  <c r="C53" i="21"/>
  <c r="B53" i="21"/>
  <c r="C52" i="21"/>
  <c r="B52" i="21"/>
  <c r="C51" i="21"/>
  <c r="B51" i="21"/>
  <c r="C50" i="21"/>
  <c r="B50" i="21"/>
  <c r="C49" i="21"/>
  <c r="B49" i="21"/>
  <c r="C48" i="21"/>
  <c r="B48" i="21"/>
  <c r="C47" i="21"/>
  <c r="B47" i="21"/>
  <c r="C46" i="21"/>
  <c r="B46" i="21"/>
  <c r="C45" i="21"/>
  <c r="B45" i="21"/>
  <c r="C44" i="21"/>
  <c r="B44" i="21"/>
  <c r="C43" i="21"/>
  <c r="B43" i="21"/>
  <c r="M12" i="21"/>
  <c r="L12" i="21"/>
  <c r="C42" i="21"/>
  <c r="B42" i="21"/>
  <c r="M11" i="21"/>
  <c r="L11" i="21"/>
  <c r="B11" i="21"/>
  <c r="C41" i="21"/>
  <c r="B41" i="21"/>
  <c r="M10" i="21"/>
  <c r="L10" i="21"/>
  <c r="B10" i="21"/>
  <c r="C40" i="21"/>
  <c r="B40" i="21"/>
  <c r="M9" i="21"/>
  <c r="L9" i="21"/>
  <c r="C39" i="21"/>
  <c r="B39" i="21"/>
  <c r="M8" i="21"/>
  <c r="L8" i="21"/>
  <c r="B8" i="21"/>
  <c r="C38" i="21"/>
  <c r="B38" i="21"/>
  <c r="M7" i="21"/>
  <c r="L7" i="21"/>
  <c r="B7" i="21"/>
  <c r="C37" i="21"/>
  <c r="B37" i="21"/>
  <c r="M6" i="21"/>
  <c r="L6" i="21"/>
  <c r="C36" i="21"/>
  <c r="B36" i="21"/>
  <c r="M5" i="21"/>
  <c r="L5" i="21"/>
  <c r="F5" i="21"/>
  <c r="E5" i="21"/>
  <c r="D5" i="21"/>
  <c r="C5" i="21"/>
  <c r="B5" i="21"/>
  <c r="C35" i="21"/>
  <c r="B35" i="21"/>
  <c r="M4" i="21"/>
  <c r="L4" i="21"/>
  <c r="F4" i="21"/>
  <c r="E4" i="21"/>
  <c r="D4" i="21"/>
  <c r="C4" i="21"/>
  <c r="B4" i="21"/>
  <c r="C34" i="21"/>
  <c r="B34" i="21"/>
  <c r="F3" i="21"/>
  <c r="E3" i="21"/>
  <c r="D3" i="21"/>
  <c r="C3" i="21"/>
  <c r="B3" i="21"/>
  <c r="M13" i="21" l="1"/>
  <c r="D35" i="21" a="1"/>
  <c r="D35" i="21" s="1"/>
  <c r="L13" i="21"/>
  <c r="D34" i="21" a="1"/>
  <c r="D34" i="21" s="1"/>
  <c r="D37" i="21" a="1"/>
  <c r="D37" i="21" s="1"/>
  <c r="D42" i="21" a="1"/>
  <c r="D42" i="21" s="1"/>
  <c r="D45" i="21" a="1"/>
  <c r="D45" i="21" s="1"/>
  <c r="D49" i="21" a="1"/>
  <c r="D49" i="21" s="1"/>
  <c r="D53" i="21" a="1"/>
  <c r="D53" i="21" s="1"/>
  <c r="D57" i="21" a="1"/>
  <c r="D57" i="21" s="1"/>
  <c r="D61" i="21" a="1"/>
  <c r="D61" i="21" s="1"/>
  <c r="D40" i="21" a="1"/>
  <c r="D40" i="21" s="1"/>
  <c r="D62" i="21" a="1"/>
  <c r="D62" i="21" s="1"/>
  <c r="D46" i="21" a="1"/>
  <c r="D46" i="21" s="1"/>
  <c r="D50" i="21" a="1"/>
  <c r="D50" i="21" s="1"/>
  <c r="D54" i="21" a="1"/>
  <c r="D54" i="21" s="1"/>
  <c r="D58" i="21" a="1"/>
  <c r="D58" i="21" s="1"/>
  <c r="D38" i="21" a="1"/>
  <c r="D38" i="21" s="1"/>
  <c r="D43" i="21" a="1"/>
  <c r="D43" i="21" s="1"/>
  <c r="D63" i="21" a="1"/>
  <c r="D63" i="21" s="1"/>
  <c r="D59" i="21" a="1"/>
  <c r="D59" i="21" s="1"/>
  <c r="D47" i="21" a="1"/>
  <c r="D47" i="21" s="1"/>
  <c r="D55" i="21" a="1"/>
  <c r="D55" i="21" s="1"/>
  <c r="D41" i="21" a="1"/>
  <c r="D41" i="21" s="1"/>
  <c r="D64" i="21" a="1"/>
  <c r="D64" i="21" s="1"/>
  <c r="D51" i="21" a="1"/>
  <c r="D51" i="21" s="1"/>
  <c r="D36" i="21" a="1"/>
  <c r="D36" i="21" s="1"/>
  <c r="D39" i="21" a="1"/>
  <c r="D39" i="21" s="1"/>
  <c r="D44" i="21" a="1"/>
  <c r="D44" i="21" s="1"/>
  <c r="D48" i="21" a="1"/>
  <c r="D48" i="21" s="1"/>
  <c r="D52" i="21" a="1"/>
  <c r="D52" i="21" s="1"/>
  <c r="D56" i="21" a="1"/>
  <c r="D56" i="21" s="1"/>
  <c r="D60" i="21" a="1"/>
  <c r="D60" i="21" s="1"/>
  <c r="P4" i="2" l="1"/>
  <c r="P3" i="2"/>
  <c r="P2" i="2"/>
  <c r="C7" i="2"/>
  <c r="C10" i="2"/>
  <c r="J2" i="2"/>
  <c r="I2" i="2"/>
  <c r="D2" i="2"/>
  <c r="O2" i="2" s="1"/>
  <c r="D3" i="2"/>
  <c r="O3" i="2" s="1"/>
  <c r="D4" i="2"/>
  <c r="O4" i="2" s="1"/>
  <c r="C4" i="2"/>
  <c r="C3" i="2"/>
  <c r="C2" i="2"/>
  <c r="C5" i="2"/>
  <c r="C9" i="2"/>
  <c r="C8" i="2"/>
  <c r="C6" i="2"/>
  <c r="H2" i="2"/>
  <c r="G2" i="2"/>
  <c r="U2" i="2" l="1"/>
  <c r="Q3" i="2"/>
  <c r="Q2" i="2"/>
  <c r="Q4" i="2"/>
  <c r="D12" i="2"/>
  <c r="C12" i="2"/>
  <c r="V2"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328172-8A15-4575-BAE7-C1953C7090F4}" keepAlive="1" name="Query - Cyber_Threat_Taxonomy_Updated" description="Connessione alla query 'Cyber_Threat_Taxonomy_Updated' nella cartella di lavoro." type="5" refreshedVersion="7" background="1" saveData="1">
    <dbPr connection="Provider=Microsoft.Mashup.OleDb.1;Data Source=$Workbook$;Location=Cyber_Threat_Taxonomy_Updated;Extended Properties=&quot;&quot;" command="SELECT * FROM [Cyber_Threat_Taxonomy_Updated]"/>
  </connection>
  <connection id="2" xr16:uid="{C4ADDDBD-0123-4484-847D-129FD0ABF62E}" keepAlive="1" name="Query - Cyber_Threats_Categorized" description="Connessione alla query 'Cyber_Threats_Categorized' nella cartella di lavoro." type="5" refreshedVersion="0" background="1">
    <dbPr connection="Provider=Microsoft.Mashup.OleDb.1;Data Source=$Workbook$;Location=Cyber_Threats_Categorized;Extended Properties=&quot;&quot;" command="SELECT * FROM [Cyber_Threats_Categorized]"/>
  </connection>
  <connection id="3" xr16:uid="{FD4592DC-B8BC-47EB-938D-8964DF8A54DE}" keepAlive="1" name="Query - Errori in scopus (2)" description="Connessione alla query 'Errori in scopus (2)' nella cartella di lavoro." type="5" refreshedVersion="0" background="1">
    <dbPr connection="Provider=Microsoft.Mashup.OleDb.1;Data Source=$Workbook$;Location=&quot;Errori in scopus (2)&quot;;Extended Properties=&quot;&quot;" command="SELECT * FROM [Errori in scopus (2)]"/>
  </connection>
  <connection id="4" xr16:uid="{68D7465B-F490-4F0C-9734-EFCBD0E83092}" keepAlive="1" name="Query - Full_Updated_Robustness_Features_by_Paper" description="Connessione alla query 'Full_Updated_Robustness_Features_by_Paper' nella cartella di lavoro." type="5" refreshedVersion="0" background="1">
    <dbPr connection="Provider=Microsoft.Mashup.OleDb.1;Data Source=$Workbook$;Location=Full_Updated_Robustness_Features_by_Paper;Extended Properties=&quot;&quot;" command="SELECT * FROM [Full_Updated_Robustness_Features_by_Paper]"/>
  </connection>
  <connection id="5" xr16:uid="{AAC9487C-43AE-40D5-9628-7B625CB04A92}" keepAlive="1" name="Query - Full_Updated_Robustness_Features_by_Paper (2)" description="Connessione alla query 'Full_Updated_Robustness_Features_by_Paper (2)' nella cartella di lavoro." type="5" refreshedVersion="0" background="1">
    <dbPr connection="Provider=Microsoft.Mashup.OleDb.1;Data Source=$Workbook$;Location=&quot;Full_Updated_Robustness_Features_by_Paper (2)&quot;;Extended Properties=&quot;&quot;" command="SELECT * FROM [Full_Updated_Robustness_Features_by_Paper (2)]"/>
  </connection>
  <connection id="6" xr16:uid="{8E593556-8D76-4257-95A8-B8B7BB38FC48}" keepAlive="1" name="Query - Full_Updated_Robustness_Features_by_Paper (3)" description="Connessione alla query 'Full_Updated_Robustness_Features_by_Paper (3)' nella cartella di lavoro." type="5" refreshedVersion="7" background="1" saveData="1">
    <dbPr connection="Provider=Microsoft.Mashup.OleDb.1;Data Source=$Workbook$;Location=&quot;Full_Updated_Robustness_Features_by_Paper (3)&quot;;Extended Properties=&quot;&quot;" command="SELECT * FROM [Full_Updated_Robustness_Features_by_Paper (3)]"/>
  </connection>
  <connection id="7" xr16:uid="{DFEA6846-0869-4D73-8D48-F65BFB4A88D6}" keepAlive="1" name="Query - scopus (2)" description="Connessione alla query 'scopus (2)' nella cartella di lavoro." type="5" refreshedVersion="7" background="1" saveData="1">
    <dbPr connection="Provider=Microsoft.Mashup.OleDb.1;Data Source=$Workbook$;Location=&quot;scopus (2)&quot;;Extended Properties=&quot;&quot;" command="SELECT * FROM [scopus (2)]"/>
  </connection>
  <connection id="8" xr16:uid="{119F14A5-0B3A-4A67-9243-16D91D772A49}" keepAlive="1" name="Query - UAV_Cyber_Threat_Taxonomy" description="Connessione alla query 'UAV_Cyber_Threat_Taxonomy' nella cartella di lavoro." type="5" refreshedVersion="7" background="1" saveData="1">
    <dbPr connection="Provider=Microsoft.Mashup.OleDb.1;Data Source=$Workbook$;Location=UAV_Cyber_Threat_Taxonomy;Extended Properties=&quot;&quot;" command="SELECT * FROM [UAV_Cyber_Threat_Taxonomy]"/>
  </connection>
  <connection id="9" xr16:uid="{B5DFADB0-5DB9-467E-865F-C95A80ADB7CF}" keepAlive="1" name="Query - UAV_Cyber_Threat_Taxonomy_Grouped" description="Connessione alla query 'UAV_Cyber_Threat_Taxonomy_Grouped' nella cartella di lavoro." type="5" refreshedVersion="0" background="1">
    <dbPr connection="Provider=Microsoft.Mashup.OleDb.1;Data Source=$Workbook$;Location=UAV_Cyber_Threat_Taxonomy_Grouped;Extended Properties=&quot;&quot;" command="SELECT * FROM [UAV_Cyber_Threat_Taxonomy_Grouped]"/>
  </connection>
  <connection id="10" xr16:uid="{C486ECCC-8F5C-4E0C-8346-C25889104F75}" keepAlive="1" name="Query - UAV_Cyber_Threat_Taxonomy_Grouped_Clean" description="Connessione alla query 'UAV_Cyber_Threat_Taxonomy_Grouped_Clean' nella cartella di lavoro." type="5" refreshedVersion="7" background="1" saveData="1">
    <dbPr connection="Provider=Microsoft.Mashup.OleDb.1;Data Source=$Workbook$;Location=UAV_Cyber_Threat_Taxonomy_Grouped_Clean;Extended Properties=&quot;&quot;" command="SELECT * FROM [UAV_Cyber_Threat_Taxonomy_Grouped_Clean]"/>
  </connection>
  <connection id="11" xr16:uid="{361ECCF0-1876-4663-B0A9-54E4BD51300C}" keepAlive="1" name="Query - Validated_Cyber_Threats_with_Taxonomy" description="Connessione alla query 'Validated_Cyber_Threats_with_Taxonomy' nella cartella di lavoro." type="5" refreshedVersion="0" background="1">
    <dbPr connection="Provider=Microsoft.Mashup.OleDb.1;Data Source=$Workbook$;Location=Validated_Cyber_Threats_with_Taxonomy;Extended Properties=&quot;&quot;" command="SELECT * FROM [Validated_Cyber_Threats_with_Taxonomy]"/>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<sst xmlns="http://schemas.openxmlformats.org/spreadsheetml/2006/main" count="17238" uniqueCount="9620">
  <si>
    <t>Availability</t>
  </si>
  <si>
    <t>Score</t>
  </si>
  <si>
    <t>YES/NO</t>
  </si>
  <si>
    <t>Id</t>
  </si>
  <si>
    <t>Authors</t>
  </si>
  <si>
    <t>Title</t>
  </si>
  <si>
    <t>Abstract</t>
  </si>
  <si>
    <t>Keywords</t>
  </si>
  <si>
    <t>Document Type</t>
  </si>
  <si>
    <t>DOI</t>
  </si>
  <si>
    <t>Scopus Link</t>
  </si>
  <si>
    <t>Y</t>
  </si>
  <si>
    <t>P1</t>
  </si>
  <si>
    <t>Novák, A.; Kováčiková, K.; Kandera, B.; Sedláčková, A.N.</t>
  </si>
  <si>
    <t>Global Navigation Satellite Systems Signal Vulnerabilities in Unmanned Aerial Vehicle Operations: Impact of Affordable Software-Defined Radio</t>
  </si>
  <si>
    <t>Spoofing, alongside jamming of the Global Navigation Satellite System signal, remains a significant hazard during general aviation or Unmanned Aerial Vehicle operations. As aircraft utilize various support systems for navigation, such as INS, an insufficient Global Navigation Satellite System signal renders Unmanned Aerial Vehicles nearly uncontrollable, thereby posing increased danger to operations within airspace and to individuals on the ground. This paper primarily focuses on assessing the impact of the budget friendly Software-Defined Radio, HackRF One 1.0, on the safety of Unmanned Aerial Vehicles operations. Considering the widespread use of Software-Defined Radio devices today, with some being reasonably inexpensive, understanding their influence on Unmanned Aerial Vehicles safety is crucial. The generation of artificial interference capable of posing a potential threat in expanding Unmanned Aerial Vehicles airspace is deemed unacceptable. © 2024 by the authors.</t>
  </si>
  <si>
    <t>GNSS; interference; jamming; UAV; Antenna grounds; Global positioning system; Jamming; Magnetic levitation vehicles; Radio interference; Rayleigh fading; Satellites; Unmanned aerial vehicles (UAV); Vehicle actuated signals; Aerial vehicle; General aviation; Global Navigation Satellite Systems; GNSS; Interference; Software defined radio devices; Software-defined radios; Support systems; System signals; Vehicle operations; Budget control</t>
  </si>
  <si>
    <t>10.3390/drones8030109</t>
  </si>
  <si>
    <t>https://www.scopus.com/inward/record.uri?eid=2-s2.0-85188723814&amp;doi=10.3390%2fdrones8030109&amp;partnerID=40&amp;md5=736173188b2ac7aaf540895e18e677ad</t>
  </si>
  <si>
    <t>N0</t>
  </si>
  <si>
    <t>N</t>
  </si>
  <si>
    <t>P10</t>
  </si>
  <si>
    <t>Lu, F.; Liu, G.; Lu, W.; Gao, Y.; Cao, J.; Zhao, N.; Nallanathan, A.</t>
  </si>
  <si>
    <t>Resource and Trajectory Optimization for UAV-Relay-Assisted Secure Maritime MEC</t>
  </si>
  <si>
    <t>With the evolutional development of maritime networks, the explosive growth of maritime data has put forward elevated demands for the computing capabilities of maritime devices (MDs). Unmanned aerial vehicle (UAV) is able to alleviate the computing pressure of MDs by forwarding the computing tasks to the edge server on the coast. However, UAV relaying introduces a significant security challenge due to the vulnerability of line-of-sight (LoS) communication channels, which can be exploited for eavesdropping on computing tasks. In this paper, an efficient secure communication scheme is proposed for UAV-relay-assisted maritime mobile edge computing (MEC) with a flying eavesdropper. The secure computing capacity of MDs is maximized by jointly optimizing the transmit power, time slot allocation factor, computation optimization and UAV trajectory. Due to multi-variable coupling, the formulated optimization problem (OP) is non-convex. We first transform OP by introducing auxiliary variables. Then, the transformed OP is decomposed and solved in an iterative manner by applying block coordinate descent (BCD) and successive convex approximation (SCA). Numerical results show that the secure computing capability of the UAV-relay-assisted maritime MEC system of proposed secure communication scheme can be effectively improved compared with benchmarks.  © 1972-2012 IEEE.</t>
  </si>
  <si>
    <t>maritime communications; MEC; Secure transmission; UAV-relay; Air traffic control; Antennas; Computation offloading; Jamming; Job analysis; Mobile edge computing; Secure communication; Security systems; Unmanned aerial vehicles (UAV); Aerial vehicle; Eavesdropping; Jamming; Maritime communication; Optimisations; Optimization problems; Resource management; Secure transmission; Task analysis; Unmanned aerial vehicle-relay; Trajectories</t>
  </si>
  <si>
    <t>JOUR</t>
  </si>
  <si>
    <t>10.1109/TCOMM.2023.3330884</t>
  </si>
  <si>
    <t>https://www.scopus.com/inward/record.uri?eid=2-s2.0-85177032462&amp;doi=10.1109%2fTCOMM.2023.3330884&amp;partnerID=40&amp;md5=6f90332308c96404c39e8780bf774c73</t>
  </si>
  <si>
    <t>N3</t>
  </si>
  <si>
    <t>P100</t>
  </si>
  <si>
    <t>Khan, I.U.; El Hajjami, S.; Ouaissa, M.; Belaqziz, S.; Bhatia, T.K.</t>
  </si>
  <si>
    <t>Cognitive machine intelligence: Applications, challenges, and related technologies</t>
  </si>
  <si>
    <r>
      <t xml:space="preserve">Cognitive Machine Intelligence: Applications, Challenges, and Related Technologies offers a compelling exploration of the transformative landscape shaped by the convergence of machine intelligence, artificial intelligence, and cognitive computing. In this book, the authors navigate through the intricate realms of technology, unveiling the profound impact of cognitive machine intelligence on diverse fields such as communication, healthcare, </t>
    </r>
    <r>
      <rPr>
        <sz val="11"/>
        <color rgb="FFFF0000"/>
        <rFont val="Calibri"/>
        <family val="2"/>
        <scheme val="minor"/>
      </rPr>
      <t>cybersecurity, and smart city development</t>
    </r>
    <r>
      <rPr>
        <sz val="11"/>
        <color theme="1"/>
        <rFont val="Calibri"/>
        <family val="2"/>
        <scheme val="minor"/>
      </rPr>
      <t xml:space="preserve">. The chapters present a study on robots and drones to the integration of machine learning with wireless communication networks, IoT, quantum computing, and beyond. The book explores the essential role of machine learning in healthcare, security, and manufacturing. With a keen focus on privacy, trust, and the improvement of human lifestyles, this book stands as a comprehensive guide to the novel techniques and applications driving the evolution of cognitive machine intelligence. The vision presented here extends to smart cities, where AI-enabled techniques contribute to optimal decision-making, and future computing systems address end-to-end delay issues with a central focus on Qualityof-Service metrics. Cognitive Machine Intelligence is an indispensable resource for researchers, practitioners, and enthusiasts seeking a deep understanding of the dynamic landscape at the intersection of artificial intelligence and cognitive computing. This book: • Covers a comprehensive exploration of cognitive machine intelligence and its intersection with emerging technologies such as federated learning, blockchain, and 6G and beyond. • Discusses the integration of machine learning with various technologies such as wireless communication networks, ad-hoc networks, software-defined networks, quantum computing, and big data. • Examines the impact of machine learning on various fields such as healthcare, </t>
    </r>
    <r>
      <rPr>
        <sz val="11"/>
        <color rgb="FFFF0000"/>
        <rFont val="Calibri"/>
        <family val="2"/>
        <scheme val="minor"/>
      </rPr>
      <t>unmanned aerial vehicles, cybersecurity, and neural networks</t>
    </r>
    <r>
      <rPr>
        <sz val="11"/>
        <color theme="1"/>
        <rFont val="Calibri"/>
        <family val="2"/>
        <scheme val="minor"/>
      </rPr>
      <t>. • Provides a detailed discussion on the challenges and solutions to future computer networks like end-to-end delay issues, Quality of Service (QoS) metrics, and security. • Emphasizes the need to ensure privacy and trust while implementing the novel techniques of machine intelligence. It is primarily written for senior undergraduate and graduate students, and academic researchers in the fields of electrical engineering, electronics and communication engineering, and computer engineering. © 2025 selection and editorial matter, Inam Ullah Khan, Salma El Hajjami, Mariya Ouaissa, Salwa Belaqziz and Tarandeep Kaur Bhatia. All rights reserved.</t>
    </r>
  </si>
  <si>
    <t>BOOK</t>
  </si>
  <si>
    <t>10.1201/9781003500865</t>
  </si>
  <si>
    <t>https://www.scopus.com/inward/record.uri?eid=2-s2.0-85200958474&amp;doi=10.1201%2f9781003500865&amp;partnerID=40&amp;md5=bfe3ec5a8176a71deafbaa68419f7d21</t>
  </si>
  <si>
    <t>P101</t>
  </si>
  <si>
    <t>Costa, D.; Khan, A.; Ivaki, N.; Madeira, H.</t>
  </si>
  <si>
    <t>A Physics-Based Fault Tolerance Mechanism for UAVs’ Flight Controller</t>
  </si>
  <si>
    <t>Unmanned Aerial Vehicles (UAVs) are on the rise across a wide range of application domains like shipping and delivery, precise agriculture, geographic mapping, and search and rescue. Thus, ensuring UAVs’ safe operations and reliable integration into civilian airspace is essential. These unmanned vehicles face various potential hazards and threats, such as software or hardware failures (e.g., GPS malfunctions), communication failures, and security attacks (e.g., GPS Spoofing), which can threaten mission completion and safety. Thus, implementing a fault-tolerant mechanism to improve the resilience of UAVs is crucial. This research aims to introduce a fault-tolerance mechanism employing a physics-based model that accurately estimates drone positions in the presence of hazardous conditions, particularly in the presence of GPS faults. The physics model that relies on Newton’s Second Law of Motion, enables real-time and precise estimation of the drone’s position in faulty conditions throughout a mission. Thus, the physics model’s values can replace the erroneous GPS input values. The results obtained through our experiments, conducted using fault-injection techniques in a simulated environment, demonstrate the effectiveness of our physics-based fault-tolerant mechanism, particularly in mitigating GPS-related hazards. © The Author(s), under exclusive license to Springer Nature Switzerland AG 2024.</t>
  </si>
  <si>
    <t>Fault Injection; Fault-Tolerance; GPS; Physics Model; Safety; UAVs; Antennas; Drones; Hazards; Software testing; Aerial vehicle; Applications domains; Fault injection; Fault tolerance mechanisms; Fault-tolerant mechanism; Flight controllers; Physics modeling; Physics-based; Precise agriculture; Unmanned aerial vehicle; Fault tolerance</t>
  </si>
  <si>
    <t>CONF</t>
  </si>
  <si>
    <t>10.1007/978-3-031-56776-6_3</t>
  </si>
  <si>
    <t>https://www.scopus.com/inward/record.uri?eid=2-s2.0-85189626210&amp;doi=10.1007%2f978-3-031-56776-6_3&amp;partnerID=40&amp;md5=7129082620d832743873adfa2f4a4ebb</t>
  </si>
  <si>
    <t>P102</t>
  </si>
  <si>
    <t>AL-Dosari, K.; Fetais, N.</t>
  </si>
  <si>
    <t>A New Shift in Implementing Unmanned Aerial Vehicles (UAVs) in the Safety and Security of Smart Cities: A Systematic Literature Review</t>
  </si>
  <si>
    <t>The rapid rise of Unmanned Aerial Vehicles (UAVs) and their integration into smart city initiatives has sparked a surge of research interest in a broad array of thematic areas. This study undertakes a comprehensive review of recent scholarly literature to elucidate key research trends and innovative strategies for applying UAVs in smart cities. Through a detailed descriptive analysis, we identify prominent research clusters, including integrating the Internet of Things (IoT) with UAVs, applying artificial intelligence in surveillance, exploring the Internet of Drones (IoD), and cybersecurity challenges faced by smart cities. It is observed that security and privacy concerns within smart cities receive the most scholarly attention, indicating their central importance in shaping smart city strategies. The review of innovative strategies reveals a strong emphasis on leveraging cutting-edge technologies to enhance UAV capabilities and ensure drones’ efficient, secure, and ethical deployment in smart city environments. This study provides crucial insights that inform the design of future research and policies in the burgeoning field of smart city development through the use of UAVs. © 2023 by the authors.</t>
  </si>
  <si>
    <t>safety; security; smart cities; systematic literature review; Unmanned Aerial Vehicles (UAVs)</t>
  </si>
  <si>
    <t>10.3390/safety9030064</t>
  </si>
  <si>
    <t>https://www.scopus.com/inward/record.uri?eid=2-s2.0-85172191035&amp;doi=10.3390%2fsafety9030064&amp;partnerID=40&amp;md5=ec2decd0c7d1521b3af54313d49d6cbf</t>
  </si>
  <si>
    <t>N1</t>
  </si>
  <si>
    <t>P103</t>
  </si>
  <si>
    <t>Kowalska, M.; Zaczek-Peplinska, J.; Piasta, Ł.</t>
  </si>
  <si>
    <t>Determining the trend of geometrical changes of a hydrotechnical object based on data in the form of LiDAR point clouds</t>
  </si>
  <si>
    <t>Monitoring the technical condition of hydrotechnical facilities is crucial for ensuring their safe usage. This process typically involves tracking environmental variables (e.g., concrete damming levels, temperatures, piezometer readings) as well as geometric and physical variables (deformation, cracking, filtration, pore pressure, etc.), whose long-term trends provide valuable information for facility managers. Research on the methods of analyzing geodetic monitoring data (manual and automatic) and sensor data is vital for assessing the technical condition and safety of facilities, particularly when utilizing new measurement technologies. Emerging technologies for obtaining data on the changes in the surface of objects employ laser scanning techniques (such as LiDAR, Light Detection, and Ranging) from various heights: terrestrial, unmanned aerial vehicles (UAVs, drones), and satellites using sensors that record geospatial and multispectral data. This article introduces an algorithm to determine geometric change trends using terrestrial laser scanning data for both concrete and earth surfaces. In the consecutive steps of the algorithm, normal vectors were utilized to analyze changes, calculate local surface deflection angles, and determine object alterations. These normal vectors were derived by fitting local planes to the point cloud using the least squares method. In most applications, surface strain and deformation analyses based on laser scanning point clouds primarily involve direct comparisons using the Cloud to Cloud (C2C) method, resulting in complex, difficult-to-interpret deformation maps. In contrast, preliminary trend analysis using local normal vectors allows for rapid threat detection. This approach significantly reduces calculations, with detailed point cloud interpretation commencing only after detecting a change on the object indicated by normal vectors in the form of an increasing deflection trend. Referred to as the cluster algorithm by the authors of this paper, this method can be applied to monitor both concrete and earth objects, with examples of analyses for different object types presented in the article.  © 2024. Maria Kowalska, Janina Zaczek-Peplinska, Łukasz Piasta.</t>
  </si>
  <si>
    <t>cluster algorithm; deformations of hydrotechnical structures; LiDAR; normal vectors; point clouds; terrestrial laser scanning; Aircraft detection; Antennas; Concretes; Damage detection; Geometry; Laser applications; Object detection; Optical radar; Cluster algorithms; Deformation of hydrotechnical structure; Geometrical changes; Hydrotechnical; LiDAR; Normal vector; Object based; Point-clouds; Technical conditions; Terrestrial laser scanning; Least squares approximations</t>
  </si>
  <si>
    <t>10.24425/ace.2024.148913</t>
  </si>
  <si>
    <t>https://www.scopus.com/inward/record.uri?eid=2-s2.0-85190721460&amp;doi=10.24425%2face.2024.148913&amp;partnerID=40&amp;md5=b67871728ea422077a0134648e47184e</t>
  </si>
  <si>
    <t>P104</t>
  </si>
  <si>
    <t>Li, Z.; Wang, J.; Chen, J.; Fang, Z.; Ren, Y.</t>
  </si>
  <si>
    <t>Flying Ad-Hoc Network Covert Communications with Deep Reinforcement Learning</t>
  </si>
  <si>
    <t>Flying ad-hoc networks (FANETs) enable an unmanned aerial vehicle (UAV) to work as both the task operator and the relay node, providing adaptive communication coverage for remote areas. However, the FANET's open communication lines pose significant security risks. In particular, when the eavesdropper detects communication activities between FANET and ground base stations, there is a possibility of utilizing artificial intelligence (AI) technologies to decipher traditional encryption, thereby posing a risk of data leakage. To address the above issue, we propose a FANET covert communications architecture, in which every UAV uses deep reinforcement learning (DRL) to optimize FANET's covertness. Specifically, the UAV applies DRL to help FANET prevent eavesdropping by automatically adjusting the hovering position transmit power, and optimizing the artificial noise power of some UAVs to act as jammers to meet both the high-quality communication requirement and the covert constraints. Moreover, an improved multi-agent deep deterministic policy gradient (MADDPG) algorithm is adjusted to adaptive requirements of the FANET network, and has passed simulation verification. Simulation results show that our scheme can maximize the throughput of FANET under the constraints of concealment and network adaptability, and reduce energy consumption by about 10 percent.  © 2002-2012 IEEE.</t>
  </si>
  <si>
    <t>Antennas; Base stations; Cryptography; Drones; Energy utilization; Jamming; Multi agent systems; Reinforcement learning; Vehicle to vehicle communications; Ad-hoc networks; Adaptive communications; Aerial vehicle; Communication coverage; Covert communications; Jamming; Optimisations; Reinforcement learnings; Relay node; Security; Deep learning</t>
  </si>
  <si>
    <t>10.1109/MWC.010.2300200</t>
  </si>
  <si>
    <t>https://www.scopus.com/inward/record.uri?eid=2-s2.0-85189373660&amp;doi=10.1109%2fMWC.010.2300200&amp;partnerID=40&amp;md5=419cf525c0ee6f2555d79034065fe8e2</t>
  </si>
  <si>
    <t>P105</t>
  </si>
  <si>
    <t>Kim, I.; Lee, H.-Y.; Lee, D.-M.; Lee, H.-J.; Kim, H.; Kim, E.-S.; Kim, N.-Y.</t>
  </si>
  <si>
    <t>Broadband Gain Enhanced Narrow-Beam Vivaldi Antenna With Ring and Directors for Handheld Antidrone Jamming System</t>
  </si>
  <si>
    <t>As the number of drones continues to increase and their applications become more widespread, the importance of neutralizing drones is becoming increasingly important. Despite the existence of studies on neutralizing drones, only a few studies exist on jammer antennas for antidrone systems. Handheld antidrone jammer antennas require high gain directivity beam patterns with narrow half-power beamwidths (HPBWs), while also covering multiple frequency bands used by drones. In this letter, we propose a broadband gain enhanced narrow beam Vivaldi antenna with directors for a handheld antidrone system. The proposed antenna can cover GPS L1, ISM 2.4 GHz, ISM 5.8 GHz, and remotely piloted aircraft system bands. A multilayer ground plane is proposed to fix the radiation angle at the GPS L1 band, while a metallic ring is proposed to enhance bandwidth and gain at the GPS L1 band. Directors are also proposed to enhance the gain of the antenna and decrease the HPBW of the radiation pattern. The total size of the antenna is 140 × 90 × 270 mm3, and the measured peak gain is 10 dB with a narrow HPBW of 20.9°. The proposed antenna would be suitable for use in portable handheld antidrone jamming.  © 2023 IEEE.</t>
  </si>
  <si>
    <t>Drone; metamaterial; narrow beam; Vivaldi antenna; Antenna grounds; Directional patterns (antenna); Drones; Jamming; Metamaterial antennas; Microwave antennas; Mobile antennas; Satellite antennas; Slot antennas; Antennas radiation patterns; Broadband gain; Gain; Half power beamwidth; Handhelds; Jammer antenna; Jamming; Narrow beams; Vivaldi antennas; Electric fields</t>
  </si>
  <si>
    <t>10.1109/LAWP.2023.3321899</t>
  </si>
  <si>
    <t>https://www.scopus.com/inward/record.uri?eid=2-s2.0-85174817177&amp;doi=10.1109%2fLAWP.2023.3321899&amp;partnerID=40&amp;md5=2efbc086146405502ba185e1d2f2e1de</t>
  </si>
  <si>
    <t>D1</t>
  </si>
  <si>
    <t>P106</t>
  </si>
  <si>
    <t>International Symposium on Automatic Control and Emerging Technologies, ACET 2023</t>
  </si>
  <si>
    <t>The proceedings contain 72 papers. The special focus in this conference is on Automatic Control and Emerging Technologies. The topics include: Optimization Techniques of Circular Pad Design for Efficient Wireless Charging of Electric Vehicles; a Game Guidance Law Based on Model Predictive Control; PEM Fuel Cell Parameters Identification Based on Grey Wolf Optimization Algorithm; Control of Interleaved Dual Boost Converter for Solar PV-Systems; speech Enhancement Based on the Combination of Deep Learning and Wavelet Algorithm; hybrid Automaton-Fuzzy Control of Three-Phase Four-Wire Shunt Active Power Filter with Split Capacitor; Design and Validation of a Backstepping Controller for Energy Storage Systems in EVs; tent Chaotic Virtual Force Algorithm Based Node Deployment of Wireless Sensor Network in Airport Terminal; An Optical-Flow-Assisted Navigation Method for UAVs Using Sage-Husa EKF; Nonlinear Control Design of Three Terminal HVDC Transmission Systems to Improve FRT Capability; Backstepping-Based Control of Single-Phase AC-DC Bidirectional Power Converter in V2H Charger; Operational Consumption Planning in a Hybrid LV Microgrid: Comparison Between TFWO and MAS Optimization; A Novel Approach of Detecting Malicious Phishing URL Using Self-organizing Map; electrically Heated Catalyst Temperature Tracking Using Extended Kalman Filter Based Supertwisting Control; Nonlinear Control of Three Phase Single Stage Grid Connected PV System Through Half Bridge Power Inverter; Fixed-Time Backstepping RLC of PMSMs; a Hybrid Analysis Approach of Physiological Signals Based on Excessive Sleepiness and Distraction State Detection; energy Efficiency Measures and Technical-Economic Study of a Photovoltaic Self-consumption Installation in Kenitra, Morocco; sliding Mode Observer Based Adaptive Model Predictive Control for a Disturbed Flexible Manipulator Active Vibration Control; case Study Toward a Smart Building.</t>
  </si>
  <si>
    <t>https://www.scopus.com/inward/record.uri?eid=2-s2.0-85184830393&amp;partnerID=40&amp;md5=1e838cf982e900ba57b2d5c8a100d856</t>
  </si>
  <si>
    <t>P107</t>
  </si>
  <si>
    <t>Joshi, A.; Lachure, J.; Doriya, R.</t>
  </si>
  <si>
    <t>Drone Security for Precision Agriculture by Using One-Dimensional Convolutional Neural Network</t>
  </si>
  <si>
    <t>New advancements in agricultural techniques, methods of food production, and delivery have introduced new and relatively unexplored cyber-attack pathways, the security and economic implications of which are not yet fully understood. Precision agriculture is key to overcome predicted food supply shortages to fulfil global demand. A growing number of technologies, such as sensors, transmitters, and data systems, are used in smart farming environments to make decisions based on data. These decisions are then integrated with improved machinery to increase production and decrease input–output inconsistencies. Unmanned Aerial Vehicles (UAVs) are independent devices used in smart farming for various purposes. These devices are susceptible to different types of attacks. In this paper, we proposed a deep learning model for detecting attacks on UAVs by using a 1D Convolutional Neural Network. The NSL-KDD dataset is used to measure the performance of the proposed model, and remarkable accuracy of 99.77% and an impressively low false positive rate of 0.0038 is achieved. © World Scientific Publishing Company.</t>
  </si>
  <si>
    <t>Cloud computing; Convolutional Neural Network; precision agriculture; Unmanned Aerial Vehicles</t>
  </si>
  <si>
    <t>10.1142/S1752890923500071</t>
  </si>
  <si>
    <t>https://www.scopus.com/inward/record.uri?eid=2-s2.0-85165207301&amp;doi=10.1142%2fS1752890923500071&amp;partnerID=40&amp;md5=a35d0985c8f3e909952df1f00c7457f0</t>
  </si>
  <si>
    <t>P108</t>
  </si>
  <si>
    <t>Ma, C.; Qu, Z.; Li, X.; Liu, Z.; Zhou, C.</t>
  </si>
  <si>
    <t>Machine learning and UAV path following identification algorithm based on navigation spoofing</t>
  </si>
  <si>
    <t>With advances in navigation technology, unmanned aerial vehicles (UAVs) have become widely available to all sections of society. Given the potential hazards of UAVs, as seen from their use in the Russia-Ukraine war and security incidents at London and Baghdad airports, counter-UAV technology is receiving unprecedented attention. This paper describes a method for taking control of a UAV indirectly by navigation spoofing and luring it to a designated area from which it can be neutralized. Our contributions are threefold: first, we analyze the limitations of the traditional state estimation and control model for UAV navigation based on the integration of the Global Navigation Satellite System and Inertial Navigation System. Second, we propose a particle hypothesis and planning model that is insensitive to the particular UAV navigation system, and decompose the UAV navigation spoofing process into two steps: identification and planning. Finally, to overcome the poor heading angle prediction accuracy of unary polynomial regression, we propose a support vector regression algorithm that improves the prediction accuracy from 1.5° to 1.01° under navigation spoofing. Experimental results using the proposed navigation spoofing method prove that machine learning offers significant advantages in modeless identification. © 2023 IOP Publishing Ltd.</t>
  </si>
  <si>
    <t>path-following identification; support vector regression; UAV navigation spoofing; Air navigation; Aircraft accidents; Antennas; Inertial navigation systems; Machine learning; Regression analysis; Aerial vehicle; Identification algorithms; Machine-learning; Navigation technology; Path following; Path-following identification; Prediction accuracy; Support vector regressions; Unmanned aerial vehicle navigation spoofing; Vehicle navigation; Unmanned aerial vehicles (UAV)</t>
  </si>
  <si>
    <t>10.1088/1361-6501/acf3da</t>
  </si>
  <si>
    <t>https://www.scopus.com/inward/record.uri?eid=2-s2.0-85172734714&amp;doi=10.1088%2f1361-6501%2facf3da&amp;partnerID=40&amp;md5=e0f6584eedbefdf21efc526998d9c386</t>
  </si>
  <si>
    <t>P109</t>
  </si>
  <si>
    <t>Al Salili, Z.A.; Al Ghamdi, G.S.; Al Ibrahim, N.; Alesse, R.A.; Saqib, N.A.</t>
  </si>
  <si>
    <t>A Comprehensive Analysis of Security Dimensions within the Growing Sphere of the Internet of Drones (IoD)</t>
  </si>
  <si>
    <t>In recent years, the use of drones has significantly expanded in different fields. This led to a new technology called the Internet of Drones (IoD) evolving. With the widespread use of this technology, it has become vulnerable to many cyber-attacks, so securing this technology has become critical. This survey paper offers a thorough summary of the current security state of the IoD. It studies and analyzes the recent related research papers that propose different IoD security solutions, including authentication methods, intrusion detection systems, blockchain-based solutions, and encryption methods, highlights their findings, and identifies their common security gaps. Moreover, it provides the future IoDs security research directions. This paper serves the researchers by providing them with recent IoD-related security issues and gaps, thus allowing them to effectively direct their efforts. © 2024 IEEE.</t>
  </si>
  <si>
    <t>access control; attacks on IoD; IDS; Internet of drones; machine learning; Security of UAVs; Access control; Cryptography; Cybersecurity; Intrusion detection; Network security; 'current; Attack on internet of drone; Comprehensive analysis; Cyber-attacks; IDS; Internet of drone; Machine-learning; Research papers; Security gap; Security of UAV; Drones</t>
  </si>
  <si>
    <t>10.1109/WiDS-PSU61003.2024.00045</t>
  </si>
  <si>
    <t>https://www.scopus.com/inward/record.uri?eid=2-s2.0-85198669259&amp;doi=10.1109%2fWiDS-PSU61003.2024.00045&amp;partnerID=40&amp;md5=fd6f9197615596702e9e17a32d2a8458</t>
  </si>
  <si>
    <t>N2</t>
  </si>
  <si>
    <t>P11</t>
  </si>
  <si>
    <t>Belfadel, D.; Haessig, D.</t>
  </si>
  <si>
    <t>Optical Flow for Drone Horizontal Velocity Estimation without GPS</t>
  </si>
  <si>
    <t>Unmanned aerial vehicles (UAVs) are widely used in military and civilian applications, such as surveillance, disaster monitoring, and rescue missions. They rely heavily on global positioning systems (GPS) for navigation. However, the accuracy and availability of GPS positioning, navigation, and timing (PNT) data can suffer losses due to jamming and spoofing. To address overreliance on GPS infrastructure, this paper presents a vision-aided system to enable UAVs to estimate velocity and continue operation when GPS signal is intermittently lost. The system fuses data from onboard sensors including the inertial measurement unit (IMU), barometer, and optical flow camera using an extended Kalman filter (EKF). The efficiency of this approach was validated through simulation experiments involving a UAV navigating in a circular and square motions. Statistical analysis confirmed the proposed system can provide state estimation and smooth trajectory control for UAVs during GPS signal outages. © 2024 ISIF.</t>
  </si>
  <si>
    <t>IMU; Navigation; Optical Flow; UAVs; Aircraft accidents; Drones; Fighter aircraft; Global positioning system; Helicopter rescue services; Military helicopters; Time difference of arrival; Aerial vehicle; Disaster monitoring; Global positioning; Horizontal velocity; Inertial measurements units; Optical-; Positioning system; System signals; Unmanned aerial vehicle; Velocity estimation; Extended Kalman filters</t>
  </si>
  <si>
    <t>10.23919/FUSION59988.2024.10706252</t>
  </si>
  <si>
    <t>https://www.scopus.com/inward/record.uri?eid=2-s2.0-85207692634&amp;doi=10.23919%2fFUSION59988.2024.10706252&amp;partnerID=40&amp;md5=d4382b7bec95ffe88fdcfcbfcc42307b</t>
  </si>
  <si>
    <t>P110</t>
  </si>
  <si>
    <t>Alotaibi, S.S.; Sayed, A.; Elhameed, E.S.A.; Alghushairy, O.; Assiri, M.; Saadeldeen Ibrahim, S.</t>
  </si>
  <si>
    <t>Enhancing Security in IoT-Assisted UAV Networks Using Adaptive Mongoose Optimization Algorithm With Deep Learning</t>
  </si>
  <si>
    <t>Due to the sensitive and mission-critical nature of the data collected and transferred, security in IoT-assisted UAV networks is of great significance. Intrusion detection in IoT-assisted UAV networks includes the deployment of complex monitoring systems to identify and respond to cyberattacks, physical breaches, or unauthorized access. This system employs a combination of anomaly detection and signature-based methods to find malicious or unusual activities within the network. A robust intrusion detection mechanism is essential for protecting the security and integrity of the UAVs and the data collected, ensuring that any possible vulnerabilities are promptly addressed and identified. Consequently, this study introduces an adaptive mongoose optimizer algorithm with a deep learning-based intrusion detection (AMOA-DLID) method in IoT-assisted UAV networks. The AMOA-DLID technique intends to ensure security in the IoT-assisted UAV networks via an intrusion detection process. In the presented AMOA-DLID technique, AMOA is initially applied for the feature selection process. The following sparse autoencoder (SAE) model can be exploited for the recognition of the intrusions. Lastly, the recognition rate of the SAE model can be improved by employing the Harris Hawks optimizer (HHO) technique. The detailed experimental study of the AMOA-DLID model is performed on the benchmark dataset of IDS. The extensive results portrayed that the AMOA-DLID technique reaches improved security over other models on the IoT-assisted UAV networks.  © 2013 IEEE.</t>
  </si>
  <si>
    <t>deep learning; feature selection; Harris Hawks optimization; Intrusion detection system; IoT; UAV; Aircraft detection; Antennas; Deep learning; Drones; Feature extraction; Internet of things; Learning algorithms; Network security; Atmospheric modeling; Deep learning; Features extraction; Features selection; Harris hawk optimization; Intrusion Detection Systems; Intrusion-Detection; IoT; Optimisations; Security; Intrusion detection</t>
  </si>
  <si>
    <t>10.1109/ACCESS.2024.3392618</t>
  </si>
  <si>
    <t>https://www.scopus.com/inward/record.uri?eid=2-s2.0-85191301127&amp;doi=10.1109%2fACCESS.2024.3392618&amp;partnerID=40&amp;md5=758f7294019b657dad337db90edac455</t>
  </si>
  <si>
    <t>P111</t>
  </si>
  <si>
    <t>Srimoungchanh, B.; Morris, J.G.; Davidson, D.</t>
  </si>
  <si>
    <t>Practical Software Defense for GPS Spoofing on a Hobby UAV</t>
  </si>
  <si>
    <t>Autonomous systems, such as unmanned aerial vehicles (UAVs) and self driving cars, operate by reacting to physical phenomena captured by onboard sensors. Current UAVs rely on the Global Positioning System (GPS), or other global navigation satellite system, to determine their location on Earth. Consequently, the GPS receiver can be used as an implicit control channel for autonomous systems. We propose a software defense that uses observations from independent sensor systems to detect GPS spoofing. We modify an open source UAV control program to incorporate our defense and evaluate our defense on hobby-grade drone hardware using simulated GPS spoofing. In our field tests we demonstrate that built-in sensor fusion mechanisms were unable to detect GPS spoofing and that our method could detect subtle GPS spoofing using multiple different sensors.  © 2023 Owner/Author(s).</t>
  </si>
  <si>
    <t>Antennas; Drones; Network security; Open source software; Open systems; 'current; Aerial vehicle; Control channels; Global Navigation Satellite Systems; Global positioning system receivers; Independent sensors; On-board sensors; Physical phenomena; Sensor systems; Software defense; Global positioning system</t>
  </si>
  <si>
    <t>10.1145/3628356.3630119</t>
  </si>
  <si>
    <t>https://www.scopus.com/inward/record.uri?eid=2-s2.0-85180126826&amp;doi=10.1145%2f3628356.3630119&amp;partnerID=40&amp;md5=f26e313d435a5f47cc74c0bca0f59197</t>
  </si>
  <si>
    <t>P112</t>
  </si>
  <si>
    <t>Thapliyal, O.; Sankaranarayanasamy, M.; Vennelakanti, R.</t>
  </si>
  <si>
    <t>Embedding Safety Requirements into Learning-Based Controllers for Urban Air Mobility Applications</t>
  </si>
  <si>
    <t>Urban Air Mobility (UAM) is envisioned to be a multimodal integration of manned and unmanned aerial vehicles (UAVs) into existing (sub-)urban airspaces, providing short-range, low-altitude, passenger and cargo carrying capabilities. Multiple barriers need overcoming (propulsion, fly-by-wire control, safe autonomy, cybersecurity, etc.) before practical UAM operations eventuate. Of these, the safe autonomy of UAVs is of particular importance, as the UAM environment matures toward the eventual goal of full autonomy. While numerous control paradigms exist for safety assured low-level control, fully autonomous UAVs would utilize multiple control algorithms for different flight environments. High-level control paradigms using learning-based control offer operability across a wider range of scenarios, without addressing safety requirements. To this end, we investigate a control design approach that relies on reachability properties of the eVTOL UAV to include safety requirements that can be represented as partial differential equations (PDEs). The PDEs are solved numerically via physics-informed neural networks. This alleviates the computational cost compared to analytical and numerical methods while providing the control policy to comply with the safety requirements. The proposed methodology will be demonstrated via a UAV collision avoidance scenario. © 2024 by the American Institute of Aeronautics and Astronautics, Inc.</t>
  </si>
  <si>
    <t>Antennas; Control theory; Level control; Numerical methods; Unmanned aerial vehicles (UAV); Aerial vehicle; Carrying capability; Cyber security; Embeddings; Fly-by-wire controls; Low altitudes; Multimodal integration; Multiple barrier; Safety requirements; Urban air; Air mobility</t>
  </si>
  <si>
    <t>10.2514/6.2024-2395</t>
  </si>
  <si>
    <t>https://www.scopus.com/inward/record.uri?eid=2-s2.0-85196172291&amp;doi=10.2514%2f6.2024-2395&amp;partnerID=40&amp;md5=4c3a136bd0acb02632d0c43b0ba8c66a</t>
  </si>
  <si>
    <t>P113</t>
  </si>
  <si>
    <t>Guo, D.; Ding, H.; Tang, L.; Zhang, X.; Liang, Y.-C.</t>
  </si>
  <si>
    <t>Wireless Surveillance in a MIMO System With Spoofing Relay and UAV-Enabled Eavesdropper</t>
  </si>
  <si>
    <t>This paper investigates a proactive eavesdropping scenario, where a legitimate unmanned aerial vehicle (UAV)-enabled eavesdropper aims to eavesdrop on multiple suspicious communication links with the help of a spoofing relay. Each suspicious link comprises of a mobile source and a fixed destination. The full-duplex spoofing relay receives suspicious information and amplify-and-forwards (AF) it to the eavesdropper and suspicious destinations. To maximize the long-run eavesdropping rate, we jointly optimize the precoder at the spoofing relay, the receive combiner at the eavesdropper, and the UAV's moving trajectory. Considering the difficulty of joint optimization, we decompose the optimization into two parts, where a semi-definite relaxation (SDR)-based approach and a low-complexity solution are proposed to optimize the radio actions (the precoder and receive combiner), while the moving trajectory of UAV is learned by reinforcement learning (RL). Numerical simulations demonstrates the superiority of proposed method over other benchmarks in various experimental setups.  © 1967-2012 IEEE.</t>
  </si>
  <si>
    <t>Proactive eavesdropping; reinforcement learning (RL); spoofing relay; trajectory planning; unmanned aerial vehicle (UAV); Antennas; Autonomous vehicles; Drones; Jamming; MIMO systems; Numerical methods; Security systems; Trajectories; Aerial vehicle; Eavesdropping; Jamming; Proactive eavesdropping; Reinforcement learning; Reinforcement learnings; Relay; Spoofing relay; Surveillance; Trajectory Planning; Unmanned aerial vehicle; Reinforcement learning</t>
  </si>
  <si>
    <t>10.1109/TVT.2024.3408289</t>
  </si>
  <si>
    <t>https://www.scopus.com/inward/record.uri?eid=2-s2.0-85195404837&amp;doi=10.1109%2fTVT.2024.3408289&amp;partnerID=40&amp;md5=7dfd15ceb41ad3ebffb3bc69c93bd523</t>
  </si>
  <si>
    <t>P114</t>
  </si>
  <si>
    <t>Jeon, S.</t>
  </si>
  <si>
    <t>Consideration of Cybersecurity threat for Urban Air Mobility (UAM) Operations</t>
  </si>
  <si>
    <t>Urban air mobility (UAM) is rapidly becoming an alternative to traditional ground transportation, owing to the development of hyper-connected communication technology. However, safely transitioning from ground transportation to an air transportation system requires research in various fields. To ensure safe and efficient urban flight management, the operation of air and passenger transportation services requires the integration of various technologies and regulations across multiple fields. This includes safe operations for aircraft, vertiports and air control centers in the physical domain, and information security technology operations for cybersecurity in the cyber domain. As UAM systems become increasingly reliant on connected technologies and data, effective countermeasures against cybersecurity threats are essential for ensuring their safe and secure operation. This could involve implementing robust cybersecurity protocols and leveraging advanced anti-threat technologies to identify and respond to potential threats. However, urban aviation operations face unique potential threats that are not typically encountered by general aircraft services. These include interference from ground operations, sabotage, exposure of aviation information, interception, tampering, theft, and fraudulent use. Moreover, vulnerabilities in the operation and management of manned and unmanned aircraft, pilots, remote pilots, vertiports, and air traffic control centers can be exposed and exploited. Therefore, this study aims to identify potential threats and vulnerabilities associated with UAM operations, and propose security requirements and reliable countermeasures to ensure their safe and secure operation against cyber threats. © 2023, Korean Institute of Communications and Information Sciences. All rights reserved.</t>
  </si>
  <si>
    <t>Authentication; OCSP; Operations; UAS; Urban air mobility</t>
  </si>
  <si>
    <t>10.7840/kics.2023.48.8.984</t>
  </si>
  <si>
    <t>https://www.scopus.com/inward/record.uri?eid=2-s2.0-85189137440&amp;doi=10.7840%2fkics.2023.48.8.984&amp;partnerID=40&amp;md5=0dd061371d446cda506062144ddb880b</t>
  </si>
  <si>
    <t>P115</t>
  </si>
  <si>
    <t>Valianti, P.; Malialis, K.; Kolios, P.; Ellinas, G.</t>
  </si>
  <si>
    <t>Cooperative Multi-Agent Jamming of Multiple Rogue Drones Using Reinforcement Learning</t>
  </si>
  <si>
    <t>The wide adoption and use of unmanned aerial vehicles (UAVs) has created not only opportunities but also threats to the security of sensitive areas. Thus, effective and efficient counter-drone systems are required to protect these areas. This work tackles this issue by developing cooperative multi-agent jamming techniques using reinforcement learning (RL) to counter the operation of one or multiple rogue drones flying over a sensitive area. The aim of the proposed RL approach is to optimize the joint mobility and power control actions of the pursuer UAVs in order to maximize the received jamming power at the rogue drones aiming at disrupting communication links and sensing circuitry, while at the same time keeping the interference to surrounding pursuer agents below a predefined threshold. The effectiveness of the proposed approach in terms of scalability, learning speed, and agents' final joint performance is demonstrated through extensive simulation experiments for various agent and target configurations. © 2002-2012 IEEE.</t>
  </si>
  <si>
    <t>jamming; Multi-agent systems; optimization; q-learning; reinforcement learning; Aircraft detection; Antennas; Autonomous agents; Drones; Jamming; Learning algorithms; Multi agent systems; Scalability; Tracking radar; Aerial vehicle; Drone system; Jamming; Multi agent; Optimisations; Q-learning; Radiofrequencies; Reinforcement learnings; Sensitive area; Reinforcement learning</t>
  </si>
  <si>
    <t>10.1109/TMC.2024.3409050</t>
  </si>
  <si>
    <t>https://www.scopus.com/inward/record.uri?eid=2-s2.0-85195366894&amp;doi=10.1109%2fTMC.2024.3409050&amp;partnerID=40&amp;md5=99a815e62b48686e1ef3a58dd690db78</t>
  </si>
  <si>
    <t>P116</t>
  </si>
  <si>
    <t>Jamil, A.M.; Hadi, H.J.; Li, S.; Cao, Y.; Ahmed, N.; Hussain, F.B.; Suthaputchakun, C.; Wang, X.</t>
  </si>
  <si>
    <t>Detection of Targeted Attacks Using Medium-Interaction Honeypot for Unmanned Aerial Vehicle</t>
  </si>
  <si>
    <t>Over the last two decades, there has been significant growth in the drone industry with the emergence of Unmanned Aerial Vehicles (UAVs). Despite their affordability, the lack of security measures in commercial UAVs has led to numerous threats and vulnerabilities. In addition, software, and hardware complexity in UAVs also trigger privacy and security issues as well as cause critical challenges for government, industry and academia. Meanwhile, malicious activities have increased, including stealing confidential data from UAVs and hijacking UAVs. These attacks are not only illegitimate but also appear to be increasing in frequency and sophistication. In addition, the current defence mechanisms for counterattacks are not sustainable for two reasons: they either demand strict firmware updates for all of the system’s devices, or they demand the deployment of a variety of advanced hardware and software. This paper proposes a Medium Interaction Honeypot-Based Intrusion Detection System (MIHIDS) to protect UAVs. Our system assists in detecting active intruders in a specific range (radio frequency) and provides details of attacking technologies to exploit UAVs. Our system is a passive lightweight, signature-based MIHIDS that is simple to integrate into UAV without requiring changes in network configuration or replacement of current hardware or software. The performance assessment demonstrates that in a typical network situation, our proposed framework can identify MitM, Brute-force, and DE-authentication attacks with a maximum detection time of 60 s. Under normal network scenarios, a minimum True Positive Rate (TPR) and performance efficiency is 93% to 95% during a short-distance detector. © ICST Institute for Computer Sciences, Social Informatics and Telecommunications Engineering 2024.</t>
  </si>
  <si>
    <t>Intrusion Detection System; Medium Interaction Honeypot; Unmanned Aerial Vehicle; Aircraft detection; Computer crime; Firmware; Intrusion detection; Network security; Unmanned aerial vehicles (UAV); 'current; Aerial vehicle; Honeypots; Intrusion Detection Systems; Medium interaction honeypot; Security measure; Software and hardwares; Software complexity; Threats and vulnerabilities; Unmanned aerial vehicle; Antennas</t>
  </si>
  <si>
    <t>10.1007/978-3-031-56583-0_11</t>
  </si>
  <si>
    <t>https://www.scopus.com/inward/record.uri?eid=2-s2.0-85190708937&amp;doi=10.1007%2f978-3-031-56583-0_11&amp;partnerID=40&amp;md5=24edf2b5ac42c91232833a03dd6fa97f</t>
  </si>
  <si>
    <t>P117</t>
  </si>
  <si>
    <t>Krasnyanszki, B.; Brassai, S.T.; Nemeth, A.</t>
  </si>
  <si>
    <t>UAV weaknesses against deauthentication based hijacking attacks</t>
  </si>
  <si>
    <t>Unmanned Aerial Vehicles (UAVs) and Unmanned Aerial Systems (UAS) are more important than ever before and we're using it daily for agriculture, photo making, film industry, Search &amp; Rescue, long range cable quality control, Geo Informatics, cartography, and state use (including border protection, disaster recovery and the military). Most of the UAV/UAS devices are using digital communication protocols nowadays, especially the IEEE 802.11 Wireless Local Area of Network for the cheaper and middle price UAV/UAS. Unfortunately, the protocols specified by the previously mentioned IEEE standard are vulnerable against some attacks. This research paper proposes a method that can interrupt the normal operation of the UAV/UAS that are using the IEEE 802.11 protocol and hijack the interrupted UAV/UAS permanently. For this method, deauthentication attack has been performed against the UAV/UASs. The attack vector is capable of denying the communication between the UAV and the control station. With sufficient prior knowledge it is possible to hijack the UAV that communicates on a 802.11 based protocol. Deauthentication based attacks are much more sophisticated than for example traditional electronic jamming, because the target can be precisely chosen and the attack will not interrupt other devices using the same communication method. The research has unfortunately some limitations in equipment, measurements conducted only in three different types of UAVs from three price categories, but in the future the authors would like to extend the range of UAVs. From this three UAVs two are hijackable by this method and the third should also be hijackable with some modifications. This research could be a base later for UAV/UAS counter measure systems for the safety of all of us.  © 2024 IEEE.</t>
  </si>
  <si>
    <t>Deauthentication; drone security; hijacking; UAS; UAV; Antennas; Digital devices; IEEE Standards; Maps; Military applications; Quality control; Aerial vehicle; Border protection; Deauthentication; Disaster recovery; Drone security; Film industry; Geo-informatics; Hijacking; Unmanned aerial systems; Unmanned aerial vehicle; Drones</t>
  </si>
  <si>
    <t>10.1109/SAMI60510.2024.10432859</t>
  </si>
  <si>
    <t>https://www.scopus.com/inward/record.uri?eid=2-s2.0-85186771602&amp;doi=10.1109%2fSAMI60510.2024.10432859&amp;partnerID=40&amp;md5=f7da34a64326cd6e3f94716c5fa7e0e3</t>
  </si>
  <si>
    <t>P118</t>
  </si>
  <si>
    <t>Mishra, A.K.; Wazid, M.; Singh, D.P.; Das, A.K.; Singh, J.; Vasilakos, A.V.</t>
  </si>
  <si>
    <t>Secure Blockchain-Enabled Authentication Key Management Framework with Big Data Analytics for Drones in Networks Beyond 5G Applications</t>
  </si>
  <si>
    <t>One of the most significant recent advances in technology is the advent of unmanned aerial vehicles (UAVs), i.e., drones. They have widened the scope of possible applications and provided a platform for a wide range of creative responses to a variety of challenges. The Internet of Drones (IoD) is a relatively new concept that has arisen as a consequence of the combination of drones and the Internet. The fifth-generation (5G) and beyond cellular networks (i.e., drones in networks beyond 5G) are promising solutions for achieving safe drone operations and applications. They may have many applications, like surveillance or urban areas, security, surveillance, retaliation, delivering items, smart farming, film production, capturing nature videos, and many more. Due to the fact that it is susceptible to a wide variety of cyber-attacks, there are certain concerns regarding the privacy and security of IoD communications. In this paper, a secure blockchain-enabled authentication key management framework with the big data analytics feature for drones in networks beyond 5G applications is proposed (in short, SBBDA-IoD). The security of SBBDA-IoD against multiple attacks is demonstrated through a detailed security analysis. The Scyther tool is used to perform a formal security verification test on the SBBDA-IoD’s security, confirming the system’s resistance to various potential attacks. A detailed comparative analysis has identified that SBBDA-IoD outperforms the other schemes by a significant margin. Finally, a real-world implementation of SBBDA-IoD is shown to evaluate its effect on several measures of performance. © 2023 by the authors.</t>
  </si>
  <si>
    <t>blockchain; cyber-attacks; data analytics; Internet of Drones (IoD); security; unmanned aerial vehicles (UAVs); Authentication; Blockchain; Computer viruses; Cyber attacks; Data privacy; Drones; Information management; Network security; Steganography; Aerial vehicle; Block-chain; Cyber-attacks; Data analytics; In networks; Internet of drone; Key-management; Management frameworks; Security; Unmanned aerial vehicle; 5G mobile communication systems</t>
  </si>
  <si>
    <t>10.3390/drones7080508</t>
  </si>
  <si>
    <t>https://www.scopus.com/inward/record.uri?eid=2-s2.0-85169122683&amp;doi=10.3390%2fdrones7080508&amp;partnerID=40&amp;md5=9537b1d2708637126465013a69fe988a</t>
  </si>
  <si>
    <t>P119</t>
  </si>
  <si>
    <t>Liu, Y.; Xia, Q.; Li, X.; Gao, J.; Zhang, X.</t>
  </si>
  <si>
    <t>An authentication and signature scheme for UAV-assisted vehicular ad hoc network providing anonymity</t>
  </si>
  <si>
    <t>Cybersecurity is a hot issue in our times. People try to keep digital attacks away from cyberspace, to finish the task of cybersecurity. A vehicular ad hoc network (VANET) with drone assistance is an important part of cyberspace, which can be used in disastrous or rural areas. The data produced on the vehicle side should go through different channels to the central server for processing. However, various attacks may occur in communication, and the tasks of data security in VANETs attract researchers to solve them. Although, researchers have come up with various solutions to overcome the flaws, the various security loopholes are still needed to be addressed. In this paper, we present a new and secure signature-based scheme for UAV-assisted VANETs, which can ensure that the produced data on the vehicles are transmitted securely. Also, the identities of vehicles can be tracked, if they should be monitored by the police. We present the formal and informal security analysis of the proposed scheme to prove its security against well-known security attacks. The formal security analysis is presented based on the widely used random oracle model. The informal analysis is presented using the assumptions of the threat model. Also, Proverif is used to illustrate the security of our scheme under Dolev-Yao model. Furthermore, we present a detailed performance analysis of the proposed protocol along with a simulation to show that the proposed scheme is practical. © 2023 Elsevier B.V.</t>
  </si>
  <si>
    <t>Anonymity; Formal proof; NS3; UAV; VANET; Authentication; Cybersecurity; Security systems; Vehicular ad hoc networks; Anonymity; Authentication scheme; Central servers; Cyber security; Cyberspaces; Formal proofs; Security analysis; Signature Scheme; Various attacks; Vehicular Adhoc Networks (VANETs); Unmanned aerial vehicles (UAV)</t>
  </si>
  <si>
    <t>10.1016/j.sysarc.2023.102935</t>
  </si>
  <si>
    <t>https://www.scopus.com/inward/record.uri?eid=2-s2.0-85165540437&amp;doi=10.1016%2fj.sysarc.2023.102935&amp;partnerID=40&amp;md5=52ac92442f3f03b36e8a592252f396a8</t>
  </si>
  <si>
    <t>P12</t>
  </si>
  <si>
    <t>Zahid, M.U.; Nisar, M.D.; Fazil, A.; Ryu, J.; Shah, M.H.</t>
  </si>
  <si>
    <t>Composite Ensemble Learning Framework for Passive Drone Radio Frequency Fingerprinting in Sixth-Generation Networks</t>
  </si>
  <si>
    <t>The rapid evolution of drone technology has introduced unprecedented challenges in security, particularly concerning the threat of unconventional drone and swarm attacks. In order to deal with threats, drones need to be classified by intercepting their Radio Frequency (RF) signals. With the arrival of Sixth Generation (6G) networks, it is required to develop sophisticated methods to properly categorize drone signals in order to achieve optimal resource sharing, high-security levels, and mobility management. However, deep ensemble learning has not been investigated properly in the case of 6G. It is anticipated that it will incorporate drone-based BTS and cellular networks that, in one way or another, may be subjected to jamming, intentional interferences, or other dangers from unauthorized UAVs. Thus, this study is conducted based on Radio Frequency Fingerprinting (RFF) of drones identified to detect unauthorized ones so that proper actions can be taken to protect the network’s security and integrity. This paper proposes a novel method—a Composite Ensemble Learning (CEL)-based neural network—for drone signal classification. The proposed method integrates wavelet-based denoising and combines automatic and manual feature extraction techniques to foster feature diversity, robustness, and performance enhancement. Through extensive experiments conducted on open-source benchmark datasets of drones, our approach demonstrates superior classification accuracies compared to recent benchmark deep learning techniques across various Signal-to-Noise Ratios (SNRs). This novel approach holds promise for enhancing communication efficiency, security, and safety in 6G networks amidst the proliferation of drone-based applications. © 2024 by the authors.</t>
  </si>
  <si>
    <t>deep ensemble learning; deep learning; drone fingerprint; ensemble learning; RF fingerprinting; specific emitter identification; Aircraft communication; Benchmarking; Cellular neural networks; Cellular radio systems; Contrastive Learning; Deep learning; Drones; Federated learning; Image coding; Image segmentation; Image texture; Medium access control; Palmprint recognition; Signal denoising; Classifieds; Deep ensemble learning; Deep learning; Drone fingerprint; Ensemble learning; Learning frameworks; Radio frequency fingerprinting; Radiofrequency signals; Specific emitter identification; adult; article; benchmarking; deep learning; drone; feature extraction; frequency; human; learning; nerve cell network; nonhuman; radio; signal noise ratio; Signal to noise ratio</t>
  </si>
  <si>
    <t>10.3390/s24175618</t>
  </si>
  <si>
    <t>https://www.scopus.com/inward/record.uri?eid=2-s2.0-85203871690&amp;doi=10.3390%2fs24175618&amp;partnerID=40&amp;md5=2433f2c778c82a41d55170afbe1d6537</t>
  </si>
  <si>
    <t>P120</t>
  </si>
  <si>
    <t>Abdulrahman Debas, E.; Albuali, A.; Hafizur Rahman, M.M.</t>
  </si>
  <si>
    <t>Forensic Examination of Drones: A Comprehensive Study of Frameworks, Challenges, and Machine Learning Applications</t>
  </si>
  <si>
    <t>Unmanned Aerial Vehicles (UAVs) have evolved into necessary assets across various sectors, motivating a need for strong controllability technologies in applications like flight path enhancement and avoiding obstacles. This survey offers a comprehensive exploration of drone forensics, providing an extensive literature review on models and methodologies for examining malfunctions and attacks. Including key challenges, from machine learning applications to autopilot systems, the survey spans evidence collection techniques, incorporating neural network architectures like Transformers in forensic investigations. Real-world scenarios and forensic examination tools employed by law enforcement are discussed, illuminating the complex process of drone analysis, particularly in conflict areas. The paper delves into the role of machine learning in intrusion detection and attack classification, highlighting both challenges and recent advancements in drone detection. Outlining future research opportunities for the field of study, it highlights the importance of standardized methodologies in drone forensics. These research directions aim to overcome current obstacles and contribute to more effective solutions for detecting evasive malware. This investigation contributes valuable insights into the multifaceted landscape of drone forensics, offering a roadmap for ongoing research at the intersection of technology and law.  © 2013 IEEE.</t>
  </si>
  <si>
    <t>drone forensics; intrusion detection; machine learning; UAV; Aircraft detection; Antennas; Drones; Learning systems; Malware; Network architecture; Neural networks; Aerial vehicle; Avoiding obstacle; Drone forensic; Forensic examinations; Intrusion-Detection; Literature reviews; Machine learning applications; Machine-learning; Strong controllability; Unmanned aerial vehicle; Intrusion detection</t>
  </si>
  <si>
    <t>10.1109/ACCESS.2024.3426028</t>
  </si>
  <si>
    <t>https://www.scopus.com/inward/record.uri?eid=2-s2.0-85198258059&amp;doi=10.1109%2fACCESS.2024.3426028&amp;partnerID=40&amp;md5=eed58b961f5f68d35fd85f526e4cc900</t>
  </si>
  <si>
    <t>P121</t>
  </si>
  <si>
    <t>Ali, I.; Li, J.; Chen, J.; Chen, Y.; Ullah, S.; Khan, S.</t>
  </si>
  <si>
    <t>IOOSC-U2G: An Identity-Based Online/Offline Signcryption Scheme for Unmanned Aerial Vehicle to Ground Station Communication</t>
  </si>
  <si>
    <t>With recent progress in Internet of Things technology, it is becoming more and more commonplace to use unmanned aerial vehicles (UAVs) for inconsiderable purposes. On the other hand, traditionally all of these UAV networks adopt a susceptible open wireless communication, rendering these systems vulnerable to attacks like eavesdropping, tampering, interrupting, and forging. The most effective way to address these security challenges is through signcryption. However, the current signcryption methods are computational and bandwidth intensive, making them unsuitable for the UAVs with limited resources and ground stations (GSs) handling a high volume of messages. To address these challenges, we propose a solution employing an identity-based online/offline signcryption scheme to secure communication from an UAV to GS, known as IOOSC-U2G. This scheme leverages elliptic curve cryptography without the need for time-intensive operations like bilinear pairing. During the online phase, the absence of point multiplication operations, already executed in the offline phase, significantly alleviates computational burdens. This optimization significantly reduces computational overhead throughout the entire signcryption process of messages. Moreover, the IOOSC-U2G scheme ensures the privacy of UAV identities during communication with GS. Additionally, the proposed scheme empowers the GS to verify multiple inputs at once through the batch verification method. We demonstrate that within the random oracle model, the IOOSC-U2G scheme guarantees security, specifically confidentiality and unforgeability, relying on the computational hardness assumptions of the elliptic curve inverse computational Diffie-Hellman problem and the elliptic discrete logarithm problem, respectively. Moreover, our scheme outperforms the current methods, particularly in computational and communication efficiency.  © 2024 IEEE.</t>
  </si>
  <si>
    <t>Batch verification; identity; online/offline; signcryption; unmanned aerial vehicles (UAVs); Antennas; Computational efficiency; Geometry; Inverse problems; Public key cryptography; Aerial vehicle; Batch verification; Chaotic communications; Ground stations; Identity; Offline; Online/offline; Security; Signcryption; Unmanned aerial vehicle; Drones</t>
  </si>
  <si>
    <t>10.1109/JIOT.2024.3407767</t>
  </si>
  <si>
    <t>https://www.scopus.com/inward/record.uri?eid=2-s2.0-85195375622&amp;doi=10.1109%2fJIOT.2024.3407767&amp;partnerID=40&amp;md5=84f1d01d5a49ac5bf1c6d7a7e7eb1b5d</t>
  </si>
  <si>
    <t>P122</t>
  </si>
  <si>
    <t>Subbarayalu, V.; Vensuslaus, M.A.</t>
  </si>
  <si>
    <t>An Intrusion Detection System for Drone Swarming Utilizing Timed Probabilistic Automata</t>
  </si>
  <si>
    <t>Unmanned aerial vehicles (UAVs), commonly known as drones, have found extensive applications across diverse sectors, such as agriculture, delivery, surveillance, and military. In recent times, drone swarming has emerged as a novel field of research, which involves multiple drones working in collaboration towards a shared objective. This innovation holds immense potential in transforming the way we undertake tasks, including military operations, environmental monitoring, and search and rescue missions. However, the emergence of drone swarms also brings new security challenges, as they can be susceptible to hacking and intrusion. To address these concerns, we propose utilizing a timed probabilistic automata (TPA)-based intrusion detection system (IDS) to model the normal behavior of drone swarms and identify any deviations that may indicate an intrusion. This IDS system is particularly efficient and adaptable in detecting different types of attacks in drone swarming. Its ability to adapt to evolving attack patterns and identify zero-day attacks makes it an invaluable tool in protecting drone swarms from malicious attacks. © 2023 by the authors.</t>
  </si>
  <si>
    <t>behavioral model; drones; intrusion detection; probabilistic automata; swarming; timed automata; Automata theory; Military vehicles; Network intrusion; Swarm intelligence; Target drones; Zero-day attack; Aerial vehicle; Behavioral model; Environmental Monitoring; Intrusion Detection Systems; Intrusion-Detection; Probabilistic automata; Search and rescue; Search missions; Swarming; Timed Automata; Drones</t>
  </si>
  <si>
    <t>10.3390/drones7040248</t>
  </si>
  <si>
    <t>https://www.scopus.com/inward/record.uri?eid=2-s2.0-85154057946&amp;doi=10.3390%2fdrones7040248&amp;partnerID=40&amp;md5=e0908f92ae469f3d5785591bb307bfad</t>
  </si>
  <si>
    <t>P123</t>
  </si>
  <si>
    <t>Oudina, Z.; Derdour, M.; Dib, A.; Bouhamed, M.M.</t>
  </si>
  <si>
    <t>Empirical Analysis of the Security Threats and Risks that Drones Face, Represent, and Mitigation</t>
  </si>
  <si>
    <t>Unmanned Aerial Vehicles (UAVs), popularly known as drones, are widely used for safe aims and some sensitive missions such as monitoring of critical infrastructure, surveillance operations, and cargo delivery. However, technology can be used for terrible objectives, particularly in recent years when it has become the most essential tool in battles such as the Ukraine conflict. This prompted it to resort to the monster of war. Drones are becoming more and more useful, yet there are security concerns. Drones are a serious threat to public safety, personal privacy, and national security because they can be physically attacked, jammed, or even hacked. This paper provides an empirical review of the security threats that UAVs face, as well as the risks associated with employing drones for cyber-attacks, malevolent objectives, terrorism, military, and war. The study classified the UAV security threats as internal threats and external threats, discussed risk mitigation, and provided effective techniques for establishing a preventive plan against security vulnerabilities to drones. Also suggested a defensive security solution based on trust UAV architecture, which incorporates trust and security into the early stages of UAV design. This enables a preventive UAV architecture against internal security threats and risks. © 2024 IEEE.</t>
  </si>
  <si>
    <t>Drone security; Mitigation; Preventive Security Plan; Risks; Threats; Trust UAV architecture; Unmanned aerial vehicles (UAV); Antennas; Architecture; Cybersecurity; National security; Network security; Risk assessment; Security systems; Terrorism; Aerial vehicle; Drone security; Mitigation; Preventive security plan; Security Plan; Threat; Trust unmanned aerial vehicle architecture; Unmanned aerial vehicle; Vehicle architecture; Drones</t>
  </si>
  <si>
    <t>10.1109/PAIS62114.2024.10541193</t>
  </si>
  <si>
    <t>https://www.scopus.com/inward/record.uri?eid=2-s2.0-85195955839&amp;doi=10.1109%2fPAIS62114.2024.10541193&amp;partnerID=40&amp;md5=03e7b4e611aba1dcb2ddb19fcbc517ed</t>
  </si>
  <si>
    <t>P124</t>
  </si>
  <si>
    <t>Tariq, Z.U.A.; Baccour, E.; Erbad, A.; Hamdi, M.</t>
  </si>
  <si>
    <t>Reinforcement Learning for Resilient Aerial-IRS Assisted Wireless Communications Networks in the Presence of Multiple Jammers</t>
  </si>
  <si>
    <t>The evolving landscape of beyond 5G and 6G wireless communication systems in smart urban environments faces numerous interference-related challenges posed by legitimate and illicit devices. In this context, Intelligent Reflecting Surfaces (IRS) have emerged as a promising solution to mitigate interference caused by obstacles and unknown jamming devices. Existing techniques mainly focus on mitigating the impact of a single jammer in IRS-assisted communications systems, which affects both stationary and mobile devices. Additionally, these approaches target a single objective, such as minimizing the energy, enhancing the transmission rate, or maximizing the Signal-to-Interference-plus-Noise Ratio (SINR), which restrains the performance of the system. This paper offers a comprehensive anti-jamming solution for securing wireless communications in a smart city urban environment comprising diverse public events such as sporting events, parades, festivals, and exhibitions. The focus is on maintaining essential services like security, law enforcement, logistics, emergency response, crowd management, and public health. We introduce a Reinforcement Learning-based technique for UAV-mounted IRS, optimizing trajectory and phase shift beamforming to counteract the disruptive impact of jammers, ensuring reliable communication in dynamic, security-sensitive settings Our approach also seeks to achieve multi-objective optimization by striking a balance between transmission rate and energy consumption in this highly challenging environment. The formulated optimization is computationally complex due to its combinatorial nature. Hence, we leverage the light-weight Deep Reinforcement Learning (DRL) technique called Deep Deterministic Policy Gradient (DDPG) to optimize trajectory and IRS phase shifts and achieve multiple objectives jointly. Experimental results demonstrate the effectiveness of our proposed DDPG-based approach in outperforming other RL algorithms. It achieves a near-optimal solution compared to the benchmark technique within the close gap and improves both achievable transmission rates and energy efficiency compared to related works by 50-70%.  © 2020 IEEE.</t>
  </si>
  <si>
    <t>anti-jamming; DDPG; deep deterministic policy gradient; intelligent reflecting surfaces; IRS; jamming; re-configurable intelligent surfaces; Reinforcement learning; RIS; wireless communications; 5G mobile communication systems; Deep learning; Drones; Emergency services; Energy efficiency; Energy utilization; Jamming; Multiobjective optimization; Reinforcement learning; Signal to noise ratio; Trajectories; Urban planning; Anti-jamming; Deep deterministic policy gradient; Deterministics; Intelligent reflecting surface; Interference; Jamming; Mobile handsets; Optimisations; Policy gradient; Re-configurable intelligent surface; Reflecting surface; Reinforcement learnings; RIS; Wireless communications; Antennas</t>
  </si>
  <si>
    <t>10.1109/OJCOMS.2023.3334489</t>
  </si>
  <si>
    <t>https://www.scopus.com/inward/record.uri?eid=2-s2.0-85178075952&amp;doi=10.1109%2fOJCOMS.2023.3334489&amp;partnerID=40&amp;md5=b5919c4b0987ebef27142e543111c377</t>
  </si>
  <si>
    <t>P125</t>
  </si>
  <si>
    <t>Meriaux, E.; Weitzen, J.; Yoni, N.; Norton, A.</t>
  </si>
  <si>
    <t>Test Methodologies for Evaluating the Effectiveness of sUAS Communication Links for Operation in Indoor and Subterranean Environments</t>
  </si>
  <si>
    <t>This article presents a set of nondestructive test methodologies designed to evaluate and compare performance of the communication links used for control and telemetry of small unmanned aircraft systems (sUAS) (drones) that are operating indoors and in subterranean environments. Such a set of standardized test methodologies does not yet exist. Indoor and subterranean operation requires sUAS to operate without global positioning system and often in a spatially constrained non-line-of-sight (NLOS) communication environment. Operating in constrained indoor environments puts additional constraints on the communication links and requires a set of tests to allow evaluation and comparison of different units in typical scenarios that will be encountered. Tests to measure and compare communication link performance and ability to pilot in tunnels and office type buildings with doors, walls, and other obstructions, as well as stairwells are described. The test methods consist of measuring and comparing the NLOS radio range between the sUAS and the ground control station or operator control unit (OCU), observing the sUAS behavior with partial or total communication failure. Near the edge of coverage, correlated packet loss can lead to difficulties in piloting. A methodology for evaluating video latency that is critical for remote piloting by camera only is presented. Finally, a test methodology for characterizing the effects of interference and jamming by waveforms such as Wi-Fi often encountered in buildings is described. These test methodologies described here extend standards developed for ground robots to three dimensions. The test methodologies described in this article are part of a multifaceted project that evaluates many essential elements of drone operation indoors. These include communication, navigation, collision tolerance, mapping, trust, and automation. The test methodologies are designed to be reproduced in user facilities. Copyright © 2023 by ASTM International.</t>
  </si>
  <si>
    <t>communications; drones; indoor communications; small unmanned aircraft systems; subterranean; test methodologies; Aircraft accidents; Aircraft communication; Aircraft control; Nondestructive examination; Robots; Rock mechanics; Indoor communications; Nondestructive tests; Performance; Small unmanned aircraft system; Small unmanned aircrafts; Standardized tests; Subterranean; System communications; Test methodology; Unmanned aircraft system; Drones</t>
  </si>
  <si>
    <t>10.1520/JTE20220394</t>
  </si>
  <si>
    <t>https://www.scopus.com/inward/record.uri?eid=2-s2.0-85162264067&amp;doi=10.1520%2fJTE20220394&amp;partnerID=40&amp;md5=05c98aa9bd2a540f2c0626b190d0cc72</t>
  </si>
  <si>
    <t>P126</t>
  </si>
  <si>
    <t>Lei, H.; Ran, H.; Ansari, I.S.; Park, K.-H.; Pan, G.; Alouini, M.-S.</t>
  </si>
  <si>
    <t>DDPG-Based Aerial Secure Data Collection</t>
  </si>
  <si>
    <t>As air-to-ground links tend to exhibit a high probability of being line-of-sight (LoS), unmanned aerial vehicles (UAVs) are widely used to improve the performance of wireless communications. The design of the UAV flight path plays a pivotal role in determining the effectiveness of UAV communication systems. However, the air-to-ground links with a high probability of LoS introduce a heightened risk of eavesdropping, posing a significant security challenge. In this work, we investigate the problem of ensuring secure data acquisition for quadrotor UAV-based communication systems in the presence of multiple location-uncertain terrestrial eavesdroppers. The bandwidth allocation and the three-dimensional trajectory of the UAV are jointly designed to maximize the system's overall fair secrecy rate. This design also considers the UAV's energy consumption during flight and aims to ensure fairness among users. Solving this problem poses a challenge since it is a non-convex and involves multiple variables, making it difficult to address using conventional optimization methods. Therefore, a deep reinforcement learning algorithm is developed based on the deep deterministic policy gradient algorithm. Simulation results are given to verify the effectiveness of the proposed algorithm in improving the security of aerial Internet of Things systems.  © 1972-2012 IEEE.</t>
  </si>
  <si>
    <t>Bandwidth allocation; deep reinforcement learning; fair sum secrecy throughput; physical layer security; trajectory design; Antennas; Bandwidth; Data acquisition; Deep learning; Drones; Internet of things; Learning algorithms; Network layers; Reinforcement learning; Trajectories; Vehicle to vehicle communications; Aerial vehicle; Communications systems; Data collection; Deep reinforcement learning; Energy-consumption; Fair sum secrecy throughput; Optimisations; Physical layer security; Reinforcement learnings; Trajectory designs; Energy utilization</t>
  </si>
  <si>
    <t>10.1109/TCOMM.2024.3379417</t>
  </si>
  <si>
    <t>https://www.scopus.com/inward/record.uri?eid=2-s2.0-85188537002&amp;doi=10.1109%2fTCOMM.2024.3379417&amp;partnerID=40&amp;md5=dc0c3a5dd6175dd2e9f861d8c408542c</t>
  </si>
  <si>
    <t>P127</t>
  </si>
  <si>
    <t>Alexandre, R.C.J.; Martins, L.E.G.; Gorschek, T.</t>
  </si>
  <si>
    <t>Cybersecurity Risk Assessment for Medium-Risk Drones: A Systematic Literature Review</t>
  </si>
  <si>
    <t>Cybersecurity; Denial-of-service attack; NASA; Remote control; Risk assessment; Safety engineering; Software engineering; Aircraft systems; Airworthiness; Beyond visual line-of-sight; Conops; Cyber security; Line of Sight; Lines-of-sight; Regulation; Remotely piloted aircraft; Remotely piloted aircraft system; Risks assessments; UAS; Visual line; Vulnerability; Drones</t>
  </si>
  <si>
    <t>10.1109/MAES.2023.3251969</t>
  </si>
  <si>
    <t>https://www.scopus.com/inward/record.uri?eid=2-s2.0-85149452274&amp;doi=10.1109%2fMAES.2023.3251969&amp;partnerID=40&amp;md5=d7632be9f3ee6848612c231dd06c035f</t>
  </si>
  <si>
    <t>P128</t>
  </si>
  <si>
    <t>Skokowski, P.; Malon, K.; Kryk, M.; Maslanka, K.; Kelner, J.M.; Rajchowski, P.; Magiera, J.</t>
  </si>
  <si>
    <t>Practical Trial for Low-Energy Effective Jamming on Private Networks With 5G-NR and NB-IoT Radio Interfaces</t>
  </si>
  <si>
    <t>Fourth-generation (4G) mobile networks are successively replaced by fifth-generation (5G) ones, based on the new releases of the 3rd Generation Partnership Project (3GPP) standard. 5G generation is dedicated to civilian users and the conducted analytical work shows that it has numerous technological gaps that prevent its direct implementation in military communications systems. However, the recent armed world conflicts showed that closed or public mobile networks are willingly used by soldiers for both private and business communications, and to conduct defensive and offensive operations as well. From the military operation viewpoint, jamming both civil and military systems is one of the essential elements of electronic warfare. This paper focuses on the practical trial of low-energy and smart jamming on a 5G private network using narrowband signals, which facilitates the reduction of the available throughput, e.g. in the time division duplex - uplink (TDD-UL) by 99%, or by 82% in the frequency division duplex - downlink (FDD-DL). This type of jamming also allows for reaching up to 25 dB of energy gain comparing to barrage jamming. The authors moreover investigated jamming the Narrowband IoT radio interface using synchronized, selective jamming. The goal was to propose energy efficient methods that will allow the jammers to work longer and be mounted on a small unmanned aerial vehicle (UAV) that can operate near the gNB. The generation of low-power jamming signals in the gNB vicinity successfully hinders detecting the jammer by the enemy's electronic reconnaissance systems. The proposed solutions are compared with the test results for other types of jamming methods.  © 2013 IEEE.</t>
  </si>
  <si>
    <t>5G private network; Electronic warfare; low-energy jamming; narrowband jamming; NB-IoT; smart jamming; 5G mobile communication systems; Antennas; Drones; Energy efficiency; Internet of things; Long Term Evolution (LTE); Low power electronics; Military applications; Network security; Wireless networks; 5g mobile communication; 5g private network; Downlink; Jamming; Long-term evolution; Low-energy jamming; Lower energies; Mobile communications; Narrow-band jamming; NB-IoT; Network reliability; Private networks; Smart jamming; Telecommunication network reliability; Telecommunications networks; Jamming</t>
  </si>
  <si>
    <t>10.1109/ACCESS.2024.3385630</t>
  </si>
  <si>
    <t>https://www.scopus.com/inward/record.uri?eid=2-s2.0-85189773435&amp;doi=10.1109%2fACCESS.2024.3385630&amp;partnerID=40&amp;md5=6fb277193355143b64b9f67a9d94d2c9</t>
  </si>
  <si>
    <t>P129</t>
  </si>
  <si>
    <t>Son, S.B.; Kim, D.H.</t>
  </si>
  <si>
    <t>Searching for Scalable Networks in Unmanned Aerial Vehicle Infrastructure Using Spatio-Attack Course-of-Action</t>
  </si>
  <si>
    <t>Unmanned aerial vehicles are increasingly being applied to various applications for a variety purposes, such as delivery, communication relay, mapping, and surveillance services. Through these, it is possible to provide flexible and stable network services. Unmanned aerial vehicles perform a wide range of tasks using Internet-of-Things technology, which needs Internet access. These internet connections, however, make it more possible for attackers to execute various security attacks on unmanned aerial vehicles. Therefore, it is crucial to identify the attack behavior of the adversary, which is called “course-of-action”, to preserve security in the unmanned aerial vehicle infrastructure. Based on learned data, the existing course-of-action method has the drawback of not functioning on various networks. As a result, in this paper, we propose a novel heuristic search-based algorithm to apply to various unmanned aerial vehicle infrastructures. The algorithm can build the optimal heuristic functions in various unmanned aerial vehicle network environments to explore the attack course-of-action and design the optimal attack paths to maximize total reward. Applying the proposed algorithm in two unmanned aerial vehicle network scenarios allowed us to confirm that the best attack path is well established. © 2023 by the authors.</t>
  </si>
  <si>
    <t>course-of-action; course-of-action attack; cyber security; drones; heuristic function; scalable network; spatio-attack course-of-action algorithm; unmanned aerial vehicles; Aircraft communication; Cyber attacks; Drones; Heuristic algorithms; Heuristic methods; Internet of things; Aerial vehicle; Course of action; Course-of-action attack; Cyber security; Heuristic functions; Scalable networks; Spatio-attack course-of-action algorithm; Unmanned aerial vehicle; Curricula</t>
  </si>
  <si>
    <t>10.3390/drones7040249</t>
  </si>
  <si>
    <t>https://www.scopus.com/inward/record.uri?eid=2-s2.0-85154062054&amp;doi=10.3390%2fdrones7040249&amp;partnerID=40&amp;md5=2fced38518a21d88774d0abe13e0c56d</t>
  </si>
  <si>
    <t>P13</t>
  </si>
  <si>
    <t>Liaquat, S.; Faizan, M.; Chattha, J.N.; Butt, F.A.; Mahyuddin, N.M.; Naqvi, I.H.</t>
  </si>
  <si>
    <t>A framework for preventing unauthorized drone intrusions through radar detection and GPS spoofing</t>
  </si>
  <si>
    <t>The increasing use of Global Positioning System (GPS)-based autonomous drones in various civilian and military applications has raised concerns about malicious or unintentionally harmful activities that can be carried through them. It is necessary to detect these intruding drones within protected areas and prevent their unauthorized access by denying them entry. We propose a framework that combines the detection of intruding drones using an L-band radar and then counters by transmitting fake GPS coordinates toward the drones, effectively redirecting them. This article explains the setup required to add to an existing monostatic radar that provides two-dimensional information, i.e., range and azimuth information, to enable the proposed setup to get the elevation angle of the drone. We propose a linear array design using digital receive-only beamforming techniques in the elevation domain to compute the elevation angle in addition to the range, velocity, and azimuth information being provided by the monostatic radar to get complete information about the intruding drone. The simulation of drone detection is followed by an examination of the impact of transmitting fabricated GPS coordinates to the drone. Experimental verification has been conducted to validate both the digital beamforming algorithm and the spoofing technique. This approach blocks the reception of actual GPS signals in the drone and replaces the drone's GPS coordinates with alternative, desired coordinates. The proposed framework can be used to prevent unauthorized drone intrusions in the protected area. © 2024 The Author(s)</t>
  </si>
  <si>
    <t>Digital beamforming; Drones; Global Positioning System (GPS); Pulse-Doppler radar; Software-Defined Radios (SDRs); Spoofing; Unmanned Aerial Vehicles (UAVs); Aircraft detection; Antennas; Beamforming; Conservation; Doppler radar; Drones; Global positioning system; Tracking radar; Aerial vehicle; Digital beamforming; Global positioning system; Monostatic radar; Protected areas; Pulse-Doppler radar; Software-defined radio; Software-defined radios; Spoofing; Unmanned aerial vehicle; Military applications</t>
  </si>
  <si>
    <t>10.1016/j.asej.2024.102707</t>
  </si>
  <si>
    <t>https://www.scopus.com/inward/record.uri?eid=2-s2.0-85186886308&amp;doi=10.1016%2fj.asej.2024.102707&amp;partnerID=40&amp;md5=1558b9002875c0b5d44d3ec9f070785d</t>
  </si>
  <si>
    <t>P130</t>
  </si>
  <si>
    <t>2nd International Congress of Electrical and Computer Engineering, ICECENG 2023</t>
  </si>
  <si>
    <t>The proceedings contain 28 papers. The special focus in this conference is on Electrical and Computer Engineering. The topics include: Forecasting the Number of Passengers in Rail System by Deep Learning Algorithms; viola–Jones Method for Robot Vision Purpose: A Software Technical Review; Comparing ChatGPT Responses with Clinical Practice Guidelines for Diagnosis, Prevention, and Treatment of Diabetes; ML-Based Optimized Route Planner for Safe and Green Virtual Bike Lane Navigation; pre-Trained Variational Autoencoder Approaches for Generating 3D Objects from 2D Images; enhancing Ground Vehicle Route Planning with Multi-Drone Integration; breast Cancer Diagnosis from Histopathological Images of Benign and Malignant Tumors Using Deep Convolutional Neural Networks; enhancing Skin Lesion Classification with Ensemble Data Augmentation and Convolutional Neural Networks; open-Source Visual Target-Tracking System Both on Simulation Environment and Real Unmanned Aerial Vehicles; Semi-supervised Deep Learning for Liver Tumor and Vessel Segmentation in Whole-Body CT Scans; legacy Versus Algebraic Machine Learning: A Comparative Study; Comparison of Textual Data Augmentation Methods on SST-2 Dataset; machine Learning-Based Malware Detection System for Android Operating Systems; A Comparative Study of Malicious URL Detection: Regular Expression Analysis, Machine Learning, and VirusTotal API; an Efficient Technique Based on Deep Learning for Automatic Focusing in Microscopic System; parallel Modeling of Complex Dynamic Systems in the Vector-Matrix Form; a Smart Autonomous E-Bike Fail-Safe System; Parallel Implementation of Discrete Cosine Transform (DCT) Methods on GPU for HEVC; mathematical Models and Methods of Observation and High-Precision Assessment of the Trajectories Parameters of Aircraft Movement in the Infocommunication Network of Optoelectronic Stations.</t>
  </si>
  <si>
    <t>https://www.scopus.com/inward/record.uri?eid=2-s2.0-85189548070&amp;partnerID=40&amp;md5=d81581a03727c6c28ec232668e8ee745</t>
  </si>
  <si>
    <t>P131</t>
  </si>
  <si>
    <t>Khalid, H.; Hashim, S.J.; Hashim, F.; Ahamed, S.M.S.; Chaudhary, M.A.; Altarturi, H.H.M.; Saadoon, M.</t>
  </si>
  <si>
    <t>HOOPOE: High Performance and Efficient Anonymous Handover Authentication Protocol for Flying out of Zone UAVs</t>
  </si>
  <si>
    <t>The unmanned aerial vehicles (UAVs) in military and civilian systems access sensitive data via cellular networks and are ubiquitous. Therefore, the number of handovers may increase, and the process of sharing authentication keys between drones to new drones may be vulnerable to eavesdropping due to the wireless connectivity. For example, a UAV initially served by cell A may be handed over to cell B after a certain point. Therefore, Security and privacy concerns raise if there is a change in the flight path of the UAV due to wide-area connectivity traffic management, including authentication threats as well as the leakage of identity, location, and flying routes. Also, drones are resource-constrained devices that cannot perform extensive operations, leading to the inability to resist drone capture attacks and impersonation attacks. Therefore, this paper presents a high-performance and efficient anonymous handover authentication protocol to secure the drone traveling path. The protocol utilizes the advantages of the AES-RSA algorithm to provide efficient and secure key management and a fast verification and signature generation that speeds up drone authentication. The protocol's security was proved using the formal verification ROR model and automated security verifier ProVerif tool to validate the protocol resistance against various attacks and provided forward secrecy. In addition, the performance of the proposed protocol is evaluated using the OMNeT++ simulator in terms of communication, computation cost, energy consumption, packet drop ratio, end-to-end delay, and throughput. The results showed that the protocol achieves better security, efficiency, and performance than other protocols.  © 1967-2012 IEEE.</t>
  </si>
  <si>
    <t>and privacy; authentication; handover; OMNeT++; security; UAVs; Antennas; Authentication; Cryptography; Energy utilization; Formal verification; Military vehicles; Mobile security; Network protocols; Network security; Security systems; Sensitive data; Aerial vehicle; And privacy; Computational modelling; Hand over; High efficient; OMNeT++; Performance; Security; Unmanned aerial vehicle; Drones</t>
  </si>
  <si>
    <t>10.1109/TVT.2023.3262173</t>
  </si>
  <si>
    <t>https://www.scopus.com/inward/record.uri?eid=2-s2.0-85151492734&amp;doi=10.1109%2fTVT.2023.3262173&amp;partnerID=40&amp;md5=12a76528f6bf4336181134b2da3c1408</t>
  </si>
  <si>
    <t>P132</t>
  </si>
  <si>
    <t>Tantawi, K.; Fidan, I.; Huseynov, O.; Musa, Y.; Tantawy, A.</t>
  </si>
  <si>
    <t>Advances in industry 4.0: from intelligentization to the industrial metaverse</t>
  </si>
  <si>
    <t>One of the characteristic features of the next-generation of Industry 4.0 is human-centricity, which in turn includes two technological advancements: Artificial Intelligence and the Industrial Metaverse. In this work, we assess the impact that AI played on the advancement of three technologies that emerged to be cornerstones in the fourth generation of industry: intelligent industrial robotics, unmanned aerial vehicles, and additive manufacturing. Despite the significant improvement that AI and the industrial metaverse can offer, the incorporation of many AI-enabled and Metaverse-based technologies remains under the expectations. Safety continues to be a strong factor that limits the expansion of intelligent industrial robotics and drones, whilst Cybersecurity is effectively a major limiting factor for the advance of the industrial metaverse and the integration of blockchains. However, most research works agree that the lack of the skilled workforce will no-arguably be the decisive factor that limits the incorporation of these technologies in industry. Therefore, long-term planning and training programs are needed to counter the upcoming shortage in the skilled workforce. © The Author(s) 2024.</t>
  </si>
  <si>
    <t>Additive manufacturing; Industrial metaverse; Industry 4.0; Intelligent industrial robotics; Intelligentization; UAVs in manufacturing; Additives; Antennas; Industry 4.0; Robotics; Safety factor; Fourth generation; Human centricities; Industrial metaverse; Industrial robotics; Intelligent industrial robotic; Intelligentization; Metaverses; Skilled workforces; Technological advancement; UAV in manufacturing; 3D printing</t>
  </si>
  <si>
    <t>10.1007/s12008-024-01750-0</t>
  </si>
  <si>
    <t>https://www.scopus.com/inward/record.uri?eid=2-s2.0-85186615548&amp;doi=10.1007%2fs12008-024-01750-0&amp;partnerID=40&amp;md5=c1d0126c2a2bdcfd353def366afdbed4</t>
  </si>
  <si>
    <t>P133</t>
  </si>
  <si>
    <t>Zhou, Y.; Ma, Z.; Liu, H.; Yeoh, P.L.; Li, Y.; Vucetic, B.; Fan, P.</t>
  </si>
  <si>
    <t>A UAV-Aided Physical Layer Authentication Based on Channel Characteristics and Geographical Locations</t>
  </si>
  <si>
    <t>In this article, we present a mobile unmanned aerial vehicle (UAV) aided physical layer authentication (PLA) framework to differentiate between a legitimate transmitter and a malicious adversary based on the physical layer channel characteristics and geographical locations of different transmitters. For a single mobile UAV, we derive new explicit expressions for the probability density function (PDF) of signal-to-noise ratio (SNR) difference, false alarm rate (FAR), and miss detection rate (MDR). Then, we optimize key system parameters including the detection threshold and UAV movement to minimize the MDR subject to a given FAR constraint. Next, we extend the theoretical analysis to consider the double mobile UAVs scenario and derive the PDF of averaged SNR difference, FAR and MDR in closed-form. Monte Carlo simulations verify the accuracy of our derived expressions. Moreover, simulation results demonstrate the effectiveness of our SNR-based solution and highlight the advantages of double UAVs on minimizing the MDR over single UAV.  © 1967-2012 IEEE.</t>
  </si>
  <si>
    <t>False alarm rate; miss detection rate; optimization; physical layer authentication; UAV communications; Aircraft detection; Antennas; Drones; Errors; Image resolution; Intelligent systems; Monte Carlo methods; Network layers; Signal to noise ratio; Transmitters; Aerial vehicle; Detection rates; Eavesdropping; False alarm rate; Miss detection rate; Miss-detection; Optimisations; Physical layer authentication; Physical layers; Programmable logic array; Unmanned aerial vehicle communication; Vehicle communications; Probability density function</t>
  </si>
  <si>
    <t>10.1109/TVT.2023.3309377</t>
  </si>
  <si>
    <t>https://www.scopus.com/inward/record.uri?eid=2-s2.0-85169675049&amp;doi=10.1109%2fTVT.2023.3309377&amp;partnerID=40&amp;md5=d11e64002b225a7a8522cab200c705e9</t>
  </si>
  <si>
    <t>P134</t>
  </si>
  <si>
    <t>Lee, S.; Seo, H.; Kim, D.</t>
  </si>
  <si>
    <t>Digital Forensic Research for Analyzing Drone Pilot: Focusing on DJI Remote Controller</t>
  </si>
  <si>
    <t>Drones, also known as unmanned aerial vehicles (UAVs) and sometimes referred to as 'Mobile IoT' or 'Flying IoT', are widely adopted worldwide, with their market share continuously increasing. While drones are generally harnessed for a wide range of positive applications, recent instances of drones being employed as lethal weapons in conflicts between countries like Russia, Ukraine, Israel, Palestine, and Hamas have demonstrated the potential consequences of their misuse. Such misuse poses a significant threat to cybersecurity and human lives, thereby highlighting the need for research to swiftly and accurately analyze drone-related crimes, identify the responsible pilot, and establish when and what illegal actions were carried out. In contrast to existing research, involving limited data collection and analysis of the drone, our study focused on collecting and rigorously analyzing data without restrictions from the remote controller used to operate the drone. This comprehensive approach allowed us to unveil essential details, including the pilot's account information, the specific drone used, pairing timestamps, the pilot's operational location, the drone's flight path, and the content captured during flights. We developed methodologies and proposed artifacts to reveal these specifics, which were supported by real-world data. Significantly, this study is the pioneering digital forensic investigation of remote controller devices. We meticulously collected and analyzed all internal data, and we even employed reverse engineering to decrypt critical information files. These achievements hold substantial significance. The outcomes of this research are expected to serve as a digital forensic methodology for drone systems, thereby making valuable contributions to numerous investigations.</t>
  </si>
  <si>
    <t>DJI RC; drone; drone forensics; remote controller; UAV forensics; article; computer security; controlled study; crime; criminalistics; diagnosis; drone; flying; forensic science; human; lethality; Palestine; pilot study; reverse engineering; Russian Federation; Ukraine; unmanned aerial vehicle; weapon</t>
  </si>
  <si>
    <t>10.3390/s23218934</t>
  </si>
  <si>
    <t>https://www.scopus.com/inward/record.uri?eid=2-s2.0-85176900886&amp;doi=10.3390%2fs23218934&amp;partnerID=40&amp;md5=1a7d2efb74f3beea73b6522caae48e65</t>
  </si>
  <si>
    <t>P135</t>
  </si>
  <si>
    <t>Warnakulasooriya, K.; Segev, A.</t>
  </si>
  <si>
    <t>Attacks, Detection, and Prevention on Commercial Drones: A Review</t>
  </si>
  <si>
    <t>In recent years, the rising popularity of commercial drones across various industries and applications has been notable. These modern drone systems boast an array of advanced features such as Autopiloting, Video Streaming, and Swarming. However, the pressing need to address the cybersecurity vulnerabilities inherent in commercially available drones cannot be overstated. The prevalence of open technologies, coupled with constraints on costs for robust security implementations, and the overshadowing focus on other functionalities underscores the urgency of this discussion. This paper aims to engage in a comprehensive discussion of current threats and propose easily implementable prevention mechanisms for manufacturers to enhance the cybersecurity of commercial drones at a broad level. © 2024 IEEE.</t>
  </si>
  <si>
    <t>attacks; cybersecurity; drones; threats; uav; vulnerabilities; Aircraft detection; Cybersecurity; Attack; Attack detection; Attack prevention; Cyber security; Drone system; Pressung; Threat; Uav; Video-streaming; Vulnerability; Drones</t>
  </si>
  <si>
    <t>10.1109/ICIPRoB62548.2024.10543316</t>
  </si>
  <si>
    <t>https://www.scopus.com/inward/record.uri?eid=2-s2.0-85195997243&amp;doi=10.1109%2fICIPRoB62548.2024.10543316&amp;partnerID=40&amp;md5=d5f91e84206f8864e149b6483d44f0b8</t>
  </si>
  <si>
    <t>P136</t>
  </si>
  <si>
    <t>Techavijit, P.; Sukchalerm, P.; Pitchsanupun, M.; Kijatanath, N.</t>
  </si>
  <si>
    <t>Under ∃300 Anti-drone gun with GPS spoofing technique using COTS</t>
  </si>
  <si>
    <t>This research presents the development of a cost-effective anti-drone gun. The system utilizes Commercial Off-The-Shelf (COTS) components for scalability and rapid development. The system employs GPS spoofing using Software-Defined Radio (SDR) devices, offering a straightforward and energyefficient solution compared to other complex anti-drone techniques. The prototype successfully manipulates coordinates, tricking commercial drones into autonomously landing in designated zones, showcasing a practical and resource-efficient approach to drone deterrence.  © 2024 IEEE.</t>
  </si>
  <si>
    <t>anti-drone; GPS spoofing; signal jamming; UAV; Cost effectiveness; Global positioning system; Jamming; Software radio; Anti-drone; Commercial off the shelves; Commercial off-the shelves; Commercial off-the-shelf components; Commercial-off-the-shelf; Cost effective; Energy efficient; GPS spoofing; Signal jamming; Software defined radio devices; Drones</t>
  </si>
  <si>
    <t>10.1109/ICASI60819.2024.10547961</t>
  </si>
  <si>
    <t>https://www.scopus.com/inward/record.uri?eid=2-s2.0-85197145030&amp;doi=10.1109%2fICASI60819.2024.10547961&amp;partnerID=40&amp;md5=56999f2c121187a4c7b507de5ce2a720</t>
  </si>
  <si>
    <t>P137</t>
  </si>
  <si>
    <t>Sood, K.; Nguyen, D.D.N.; Qu, Y.; Cui, L.; Karmakar, K.K.; Yu, S.</t>
  </si>
  <si>
    <t>Security Challenges and Potential Solutions in Aerial-Terrestrial Wireless Networking</t>
  </si>
  <si>
    <t>Integration of unmanned aerial vehicles (UAVs) with terrestrial networks form an aerial-terrestrial wireless networking concept. Particularly, the UAVs are composed of Internet of Things sensors (IoTs) and they also are typically known as flying IoTs. These are used to collect real-time data for diverse network's applications in order to make optimal network performance and secure management decisions. In this networking domain, cyber-attacks on UAVs sensors are rapidly increasing and the attacks on sensors inevitably raise the data sparsity issue, means the recorded data, by drones or UAVs, could be often incomplete and even sparse enough too. This impacts the performance eval-uation of this networking composed of flying and ground base stations. This paper explores the data sparsity issue in context of the integration of aerial-terrestrial wireless networks. Critical challenges and potential high-level solutions are also proposed to enhance the security and performance of networks. © 2018 IEEE.</t>
  </si>
  <si>
    <t>Cybersecurity; Information management; Network security; Unmanned aerial vehicles (UAV); Wireless networks; Aerial vehicle; Data sparsity; Network applications; Network forms; Network secure; Optimal networks; Real-time data; Security challenges; Terrestrial networks; Wireless networking; Antennas</t>
  </si>
  <si>
    <t>10.1109/IOTM.001.2300024</t>
  </si>
  <si>
    <t>https://www.scopus.com/inward/record.uri?eid=2-s2.0-85193996098&amp;doi=10.1109%2fIOTM.001.2300024&amp;partnerID=40&amp;md5=952dc860be0b5f615fb2f2cf2c5efb4c</t>
  </si>
  <si>
    <t>P138</t>
  </si>
  <si>
    <t>Ma, X.; Gao, M.; Zhao, Y.; Yu, M.</t>
  </si>
  <si>
    <t>A Novel Navigation Spoofing Algorithm for UAV Based on GPS/INS-Integrated Navigation</t>
  </si>
  <si>
    <t>Although covert navigation deception technique entails high computational complexity, its high concealment has garnered increasing attention. However, existing research typically relies on known unmanned aerial vehicle (UAV) reference trajectories and other internal filtering parameters to calculate deceptive positions, which are hard to obtain in reality. In this paper, addressing the condition where internal Kalman filtering (KF) parameters and preset reference trajectory parameters of the victim UAV cannot be observed, a novel method for intelligent navigation deception position estimation based solely on radar detection of UAV motion information is proposed. This method essentially exposes the nonlinear mapping relationship between navigation deception positions and autonomous UAV motion control, while also considering the Markovian nature of the navigation deception process. Deep reinforcement learning (DRL) technique is introduced to dynamically solve for effective navigation deception positions in real-time. To ensure the generated navigation deception positions meet concealment requirements, a concept of deception residual rate based on radar estimation is proposed, with its impact on concealment and stability theoretically analyzed. Subsequently, we design a reward function that simultaneously considers navigation deception position concealment, deception trajectory stability, and the successful enticing of the victim UAV to the desired destination. Comparison experiments demonstrate that the estimated deception position by the proposed method achieves similar concealment and stability effects comparable to previous algorithms in the absence of reference trajectories and KF parameters, and successfully deceives UAVs to the intended destination while remaining below the normalization innovation square (NIS) threshold of UAV deception detection.  © 2024 IEEE.</t>
  </si>
  <si>
    <t>deep reinforcement learning; GPS spoofing; intelligent interference; Kalman filter; UAV; Air navigation; Aircraft detection; Deep learning; Drones; Global positioning system; Radar interference; Radar tracking; Reinforcement learning; Tracking radar; Trajectories; Aerial vehicle; Aerospace control; Deep reinforcement learning; GPS spoofing; Intelligent interference; Interference; Kalman-filtering; Reference trajectories; Reinforcement learnings; Unmanned aerial vehicle; Kalman filters</t>
  </si>
  <si>
    <t>10.1109/TVT.2024.3401856</t>
  </si>
  <si>
    <t>https://www.scopus.com/inward/record.uri?eid=2-s2.0-85193544468&amp;doi=10.1109%2fTVT.2024.3401856&amp;partnerID=40&amp;md5=63cb0c51ff98cbb39cd778ae4c8e999d</t>
  </si>
  <si>
    <t>P139</t>
  </si>
  <si>
    <t>Khan, S.; Gaba, G.S.; Boeira, F.; Gurtov, A.</t>
  </si>
  <si>
    <t>Formal Verification and Security Assessment of the Drone Remote Identification Protocol</t>
  </si>
  <si>
    <t>The worldwide implementation of Remote Identification (RID) regulations mandates unmanned aircraft systems (UAS), or drones, to openly transmit their identity and real-time location as plain text on the wireless channel. This mandate serves the purpose of accounting for and monitoring drone operations effectively. However, the current RID standard's plain-text transmission exposes it to cyberattacks, including eavesdropping, injection, and impersonation. The Drone Remote Identification Protocol (DRIP) has been proposed to enhance the security of RID. The DRIP ensures information secrecy and confidentiality by using unique session keys while guaranteeing the authenticity of messages and entities through digital signatures. These security features of DRIP make it a preferable alternative to the existing RID standard. However, the lack of verification regarding its security claims raises concerns about its performance in hostile conditions. This paper comprehensively analyzes the DRIP protocol's security features using Tamarin Prover, a formal security verification tool. With its automated reasoning capabilities, Tamarin Prover accurately identifies potential security vulnerabilities within the DRIP protocol while thoroughly verifying its conformance to security properties. Our investigation demonstrates that the DRIP protocol is susceptible to replay attacks. We strongly recommend the inclusion of message freshness components, reducing the lifespan of DET broadcasts, and incorporating a not-after timestamp that is set only a few minutes ahead of the current time. These measures enhance the protocol's defence against replay attacks and ensure message authenticity and Integrity.  © 2024 IEEE.</t>
  </si>
  <si>
    <t>Cybersecurity; DRIP; Formal verification; Tamarin; UAS; Authentication; Cybersecurity; Formal verification; Network security; Real time systems; Security systems; 'current; Cyber security; Drone remote identification protocol; Identification protocol; Plain text; Remote identification; Replay attack; Security features; Tamarin; Unmanned aircraft system; Drones</t>
  </si>
  <si>
    <t>10.1109/UVS59630.2024.10467159</t>
  </si>
  <si>
    <t>https://www.scopus.com/inward/record.uri?eid=2-s2.0-85189627285&amp;doi=10.1109%2fUVS59630.2024.10467159&amp;partnerID=40&amp;md5=c4a1ce4526cde6ebda066a06327fc797</t>
  </si>
  <si>
    <t>P14</t>
  </si>
  <si>
    <t>El Alami, H.; Rawat, D.B.</t>
  </si>
  <si>
    <t>DroneDefGANt: A Generative AI-Based Approach for Detecting UAS Attacks and Faults</t>
  </si>
  <si>
    <t>Recently, Unmanned Aerial Systems (UAS) have become heavily reliant on communication, navigation, and other critical components such as sensors and actuators, which are essential for operations in both civilian and defense applications. However, this increasing reliance makes UAS more vulnerable to attacks and faults, posing rising threats. While there have been many advances in UAS security, a significant number of studies have proposed artificial intelligence (AI)-enhanced solutions to address these challenges. Yet, no research has explored the potential of generative AI (GenAI) in this domain. GenAI stands out due to its ability to detect and prevent cyberattacks by continuously learning and adapting to new threats and vulnerabilities. In this paper, we propose DroneDefGANt, a GenAI-based approach that combines the capabilities of generative adversarial networks (GAN) and transformer models. The DroneDefGANt is designed to detect both external UAS attacks like GPS spoofing and jamming, and internal attacks such as actuator faults. Through evaluations using synthetic datasets, DroneDefGANt surpassed various conventional AI models, demonstrating superior accuracy and robustness, particularly in the presence of Gaussian noise. © 2024 IEEE.</t>
  </si>
  <si>
    <t>cybersecurity; Fault detection; Generative AI; GPS jamming; GPS spoofing; UAS; Aircraft communication; Aircraft detection; Cyber attacks; Drones; Gaussian noise (electronic); Generative adversarial networks; Jamming; Critical component; Cyber security; Defence applications; Faults detection; Generative artificial intelligence; GPS jamming; GPS spoofing; Sensors and actuators; System security; Unmanned aerial systems; Global positioning system</t>
  </si>
  <si>
    <t>10.1109/ICC51166.2024.10622524</t>
  </si>
  <si>
    <t>https://www.scopus.com/inward/record.uri?eid=2-s2.0-85202805174&amp;doi=10.1109%2fICC51166.2024.10622524&amp;partnerID=40&amp;md5=98455d29ecc13b6d4fda832c2a43082f</t>
  </si>
  <si>
    <t>P140</t>
  </si>
  <si>
    <t>Badshah, A.; Abbas, G.; Waqas, M.; Tu, S.; Abbas, Z.H.; Muhammad, F.; Chen, S.</t>
  </si>
  <si>
    <t>USAF-IoD: Ultralightweight and Secure Authenticated Key Agreement Framework for Internet of Drones Environment</t>
  </si>
  <si>
    <t>The use of Internet of Drones (IoD) technology has surged across various domains such as logistics, surveying, industrial inspections, emergency response, security, infrastructure monitoring, crop management, and more. However, real-time communication with drones or Unmanned Aerial Vehicles (UAVs) in the IoD environment occurs over an insecure open channel, making it susceptible to various security and privacy vulnerabilities, including unauthorized access, data interception, denial of service attacks, and privacy concerns. Due to their unique characteristics, including long transmission distances, unstable communication environments, resource limitations, and the highly dynamic nature of UAVs, ensuring the security and privacy of IoD systems is of paramount importance for the success of IoD-based applications. Furthermore, drones are resource-constrained devices, and employing expensive security solutions is impractical, as it would significantly reduce the operational capacity of drones. In this paper, we present the design of an ultralightweight, secure, and robust user-authenticated key agreement framework for the IoD environment, named USAF-IoD. The proposed USAF-IoD is developed by incorporating authenticated encryption (ASCON), cryptographic hashing, XOR operations, and the use of physical unclonable functions (PUFs). PUFs are employed to enhance resistance against physical tampering attacks. The security analysis reveals that the proposed USAF-IoD meets the essential security requirements of the IoD environment. The comparative analysis further highlights the effectiveness of the proposed USAF-IoD, notably excelling in terms of security and functionality characteristics when compared to existing benchmark schemes, and showcasing competitive performance in computation, communication, and energy overheads.  © 1967-2012 IEEE.</t>
  </si>
  <si>
    <t>Internet of Drones (IoD); key agreement; physical unclonable functions; security; user authentication; Antennas; Benchmarking; Crops; Denial-of-service attack; Drones; Hardware security; Hash functions; Mobile security; Network security; Public key cryptography; Curve cryptography; Elliptic curve; Elliptic curve cryptography; Features extraction; Internet of drone; Key agreement; Security; Ultra lightweights; User authentication; Authentication</t>
  </si>
  <si>
    <t>10.1109/TVT.2024.3375758</t>
  </si>
  <si>
    <t>https://www.scopus.com/inward/record.uri?eid=2-s2.0-85188009089&amp;doi=10.1109%2fTVT.2024.3375758&amp;partnerID=40&amp;md5=994139cf49d163a1fb1135181b83a698</t>
  </si>
  <si>
    <t>P141</t>
  </si>
  <si>
    <t>Kiesewetter, L.; Shakib, K.H.; Singh, P.; Rahman, M.; Khandelwal, B.; Kumar, S.; Shah, K.</t>
  </si>
  <si>
    <t>A holistic review of the current state of research on aircraft design concepts and consideration for advanced air mobility applications</t>
  </si>
  <si>
    <t>Advanced Air Mobility (AAM) represents a collaborative vision shared by NASA, regulatory agencies, and global industry leaders, aimed at establishing a robust and reliable air transportation ecosystem, which is expected to facilitate safe and efficient movement of both people and cargo within urban, suburban, and regional environments. This paper presents a holistic review and analysis encompassing various aircraft designs, including different propulsion system designs and architectures (electric, hybrid electric, turboelectric, etc.), for different AAM aircraft applications, and state-of-the-art air traffic management, cybersecurity, and infrastructure strategies. Recent academic and industry literature on these aspects is critically reviewed and summarized, and a compilation of the aircraft models currently in development is also provided. The aircraft designs are categorized into a set of core groups, which include lift + cruise, tilt-wing, tiltrotor, multirotor, and rotorcraft, to analyze the existing literature systematically. For each of these core groups, literature on different propulsion system designs and architectures is reviewed and analyzed. Next, these core groups, including their variations based on propulsion system designs and architectures, are analyzed through a set of evaluation lenses. This provides a comprehensive insight into their respective strengths, weakness, and gaps in design considerations. The identified lenses include range and payload, performance, environmental impact, feasibility, traffic and infrastructure, noise, vehicle safety, and cybersecurity. Finally, directions for future research in AAM aircraft and overall ecosystem development are identified. In general, a more in-depth, quantitative analysis on the various evaluation lenses identified in this study and appropriate consideration to all these evaluation lenses at the design and development stage are highly recommended. This type of holistic approach will drive AAM aircraft designs towards convergence and help build an efficient, affordable, and sustainable AAM ecosystem. © 2023 Elsevier Ltd</t>
  </si>
  <si>
    <t>Advanced air mobility; Aircraft design; eVTOL; Transportation infrastructure; Transportation sustainability; Urban air mobility; Air transportation; Computer architecture; Environmental impact; NASA; Sustainable development; Systems analysis; Urban transportation; Advanced air mobility; Aircraft design; Cyber security; Design considerations; EVTOL; Propulsion system; Transportation infrastructures; Transportation sustainability; Urban air; Urban air mobility; Air mobility</t>
  </si>
  <si>
    <t>10.1016/j.paerosci.2023.100949</t>
  </si>
  <si>
    <t>https://www.scopus.com/inward/record.uri?eid=2-s2.0-85173031953&amp;doi=10.1016%2fj.paerosci.2023.100949&amp;partnerID=40&amp;md5=f21be81092b84f21ccc09a9c4fe0ddae</t>
  </si>
  <si>
    <t>P142</t>
  </si>
  <si>
    <t>Maurio, J.; Wood, P.; Zanlongo, S.; Silbermann, J.; Sookoor, T.; Lorenzo, A.; Sleight, R.; Rogers, J.; Muller, D.; Armiger, N.; Rouff, C.; Watkins, L.</t>
  </si>
  <si>
    <t>Agile services and analysis framework for autonomous and autonomic critical infrastructure</t>
  </si>
  <si>
    <t>Many cyber physical systems have little or no cybersecurity mechanisms due to their limited computing capabilities or their history of running on isolated networks. As these systems have become interconnected and connected to corporate networks, they have become more vulnerable to cyberattacks. Providing cyber physical systems with autonomic properties will allow them to become more self-aware and react in near real time to attacks and failures. Testing these systems for their susceptibility to intelligent attacks is also needed to provide assurance of their resilience. This paper describes two approaches to providing assurances to cyber physical systems. The first approach retrofits industrial control systems with autonomic properties that will allow them to automatically detect and recover from cyberattacks and other failures through the use of microservices that reconfigure the systems dynamically during attacks or failures. The second approach uses intelligent agents in a modeling and simulation framework to test the resiliency of autonomous unmanned aerial systems. Agents are orchestrated using a range of algorithms and subjected to stressful environments to measure the efficiency and safety of their operations in a simulate multi-UAS air-traffic control problem. © 2021, The Author(s), under exclusive licence to Springer-Verlag London Ltd., part of Springer Nature.</t>
  </si>
  <si>
    <t>Autonomic; Autonomy; Cyber physical systems; Resiliency; Air traffic control; Antennas; Autonomous agents; Embedded systems; Intelligent agents; Real time systems; Agile services; Analysis frameworks; Autonomic properties; Autonomics; Autonomy; Cybe-physical systems; Cyber-attacks; Cyber-physical systems; Resiliency; Service framework; Cyber Physical System</t>
  </si>
  <si>
    <t>10.1007/s11334-021-00411-9</t>
  </si>
  <si>
    <t>https://www.scopus.com/inward/record.uri?eid=2-s2.0-85112450405&amp;doi=10.1007%2fs11334-021-00411-9&amp;partnerID=40&amp;md5=edfd1285e0b20d93e26e732e9d451211</t>
  </si>
  <si>
    <t>P143</t>
  </si>
  <si>
    <t>Viana, J.; Farkhari, H.; Sebastiao, P.; Campos, L.M.; Koutlia, K.; Bojovic, B.; Lagen, S.; Dinis, R.</t>
  </si>
  <si>
    <t>Deep Attention Recognition for Attack Identification in 5G UAV Scenarios: Novel Architecture and End-to-End Evaluation</t>
  </si>
  <si>
    <t>Despite the robust security features inherent in the 5G framework, attackers will still discover ways to disrupt 5G unmanned aerial vehicle (UAV) operations and decrease UAV control communication performance in Air-to-Ground (A2G) links. Operating under the assumption that the 5G UAV communications infrastructure will never be entirely secure, we propose Deep Attention Recognition (DAtR) as a solution to identify attacks based on a small deep network embedded in authenticated UAVs. Our proposed solution uses two observable parameters: the Signal to Interference plus Noise Ratio (SINR) and the Received Signal Strength Indicator (RSSI) to recognize attacks under Line-of-Sight (LoS), Non-Line-of-Sight (NLoS), and a probabilistic combination of the two conditions. Several attackers are located in random positions in the tested scenarios, while their power varies between simulations. Moreover, terrestrial users are included in the network to impose additional complexity on attack detection. Additionally to the application and deep network architecture, our work innovates by mixing both observable parameters inside DAtR and adding two new pre-processing and post-processing techniques embedded in the deep network results to improve accuracy. We compare several performance parameters in our proposed Deep Network. For example, the impact of Long Short-Term-Memory (LSTM) and Attention layers in terms of their overall accuracy, the window size effect, and test the accuracy when only partial data is available in the training process. Finally, we benchmark our deep network with six widely used classifiers regarding classification accuracy. The eXtreme Gradient Boosting (XGB) outperforms all other algorithms in the deep network, for instance, the three top scoring algorithms: Random Forest (RF), CatBoost (CAT), and XGB obtain mean accuracy of 83.24 %, 85.60 %, and 86.33% in LoS conditions, respectively. When compared to XGB, our algorithm improves accuracy by more than 4% in the LoS condition (90.80% with Method 2) and by around 3% in the short-distance NLoS condition (83.07% with Method 1).  © 1967-2012 IEEE.</t>
  </si>
  <si>
    <t>4G; 5G; convolutional neural networks; deep learning; jamming detection; jamming identification; security; UAV; unmanned aerial vehicles; 5G mobile communication systems; Aircraft detection; Antennas; Cybersecurity; Deep neural networks; Drones; Long short-term memory; Mobile security; Network architecture; Network security; Signal interference; Support vector machines; Vehicle to vehicle communications; 4g; 5g mobile communication; 5g;; Aerial vehicle; Convolutional neural network; Deep learning; Interference; Jamming; Jamming detection; Jamming identification; Mobile communications; Security; Support vectors machine; Unmanned aerial vehicle; Wireless communications; Signal to noise ratio</t>
  </si>
  <si>
    <t>10.1109/TVT.2023.3302814</t>
  </si>
  <si>
    <t>https://www.scopus.com/inward/record.uri?eid=2-s2.0-85167841335&amp;doi=10.1109%2fTVT.2023.3302814&amp;partnerID=40&amp;md5=82d0b0642a61110163c0fd3499ce9543</t>
  </si>
  <si>
    <t>P144</t>
  </si>
  <si>
    <t>Xia, T.; Wang, M.; He, J.; Lin, S.; Shi, Y.; Guo, L.</t>
  </si>
  <si>
    <t>Research on Identity Authentication Scheme for UAV Communication Network</t>
  </si>
  <si>
    <t>Unmanned aerial vehicles (UAV) play a vital role in many fields, such as agricultural planting, security patrol, emergency rescue, and so on. The development and implementation of these devices have become vital in terms of reachability and usability. Unfortunately, as drones become more widely used in various fields, they become more and more vulnerable to attacks and security threats, including, but not limited to, eavesdropping, man-in-the-middle attacks, and known session key attacks. In order to deal with these attacks and security threats and meet the needs of lightweight UAV communication, a secure and efficient authentication scheme is essential. To meet the security and lightweight requirements of an identity authentication scheme in a UAV communication network, this paper proposes an identity authentication scheme sdronelig based on an elliptic curve cryptosystem. The scheme realizes the mutual authentication and session key agreement configuration between the UAV and the ground station, and the authentication and key agreement between the UAVs can be realized with the help of the control station. The sdronelig authentication scheme is based on the ECDH key exchange protocol in the elliptic curve cryptography algorithm and adopts the MAC message authentication code technology and the method of pre-calculating part of the process. Under the premise of ensuring the security of the UAV communication network, the authentication efficiency is improved, the communication overhead and communication times are reduced, and the lightweight requirement of the UAV authentication scheme is met. Additionally, a formal verification tool is used to verify the security of the sdronelig scheme under the Dolev-Yao threat model, which is suitable for UAV networks. Finally, a detailed comparative study was conducted on security features, communication overhead, the number of communications, and computational overhead. The results show that the proposed sdronelig authentication scheme not only provides superior security features but also has better or comparable overhead compared to other existing authentication schemes. © 2023 by the authors.</t>
  </si>
  <si>
    <t>elliptic curve cryptography; formal verification; identity authentication; security; UAV</t>
  </si>
  <si>
    <t>10.3390/electronics12132917</t>
  </si>
  <si>
    <t>https://www.scopus.com/inward/record.uri?eid=2-s2.0-85164777967&amp;doi=10.3390%2felectronics12132917&amp;partnerID=40&amp;md5=a75c3931527b30fd5fcf4226a35b1eff</t>
  </si>
  <si>
    <t>P145</t>
  </si>
  <si>
    <t>Zhang, R.; Hao, G.; Zhang, K.; Li, Z.</t>
  </si>
  <si>
    <t>Unmanned aerial vehicle navigation in underground structure inspection: A review</t>
  </si>
  <si>
    <t>Many years after construction, a number of existing old tunnels and underground structures are deteriorating with time as evidenced by cracks, large deformations, water leakage and so forth, which usually require regular site inspections to record their structural deterioration by taking high-pixel, high-overlap images along miles of a tunnel network. For complex underground structures (e.g., long tunnels and large caves), unmanned aerial vehicles (UAVs) may be adaptive in acquiring images at multiple heights and angles with low operational costs. So far, UAV underground structural health monitoring has become mature for open-air surveying with rapid developments in robotic software and hardware. However, the UAV image acquisition for underground working conditions still faces a number of key challenges. This paper aims to provide an overview of UAV navigation techniques in confined dark spaces for geotechnical engineers, geologists, drone developers and other interdisciplinary researchers &amp; professionals in the structural health monitoring field. It specifies the challenges for UAV application in underground space, mainly including lack of Global Navigation Satellite System (GNSS) signals, poor lighting conditions, weak features and obstacle avoidance and then followed by strategic solutions. For example, in light of poor GNSS signals, the fusion of multi-sensors (e.g., laser imaging, detection and ranging (LiDAR) and multi-cameras) can enhance localization accuracy in low-luminance underground conditions. To address obstacle avoidance, computer vision (CV)-based navigation algorithms (e.g., deep reinforced learning [DRL]) enable effective navigation in complex 3D spaces, but their adaptability is limited by arithmetic power and pre-training needs. The review of relevant previous studies concludes that further development for UAVs in underground space inspection may focus on operation in large-scale geometric inspection environments, obstacle avoidance, features and semantic recognition. © 2023 The Authors. Geological Journal published by John Wiley &amp; Sons Ltd.</t>
  </si>
  <si>
    <t>navigation; structural inspection; underground environment; unmanned aerial vehicle; aerial survey; cracking (fracture); deformation; detection method; geotechnical engineering; GNSS; image analysis; infiltration; interdisciplinary approach; leakage; navigation; robotics; site investigation; structural analysis; tunnel; underground construction; unmanned vehicle</t>
  </si>
  <si>
    <t>10.1002/gj.4763</t>
  </si>
  <si>
    <t>https://www.scopus.com/inward/record.uri?eid=2-s2.0-85159901229&amp;doi=10.1002%2fgj.4763&amp;partnerID=40&amp;md5=b869995b0dd1d5113736a827e2b5c3b9</t>
  </si>
  <si>
    <t>P146</t>
  </si>
  <si>
    <t>Li, D.; Yang, X.; Zhou, F.; Wang, D.; Al-Dhahir, N.</t>
  </si>
  <si>
    <t>Mode Adaptive Secure UAV Relay Transmissions</t>
  </si>
  <si>
    <t>Unmanned aerial vehicles (UAV) can enhance wireless transmission security by improving the secrecy rate through relaying the legitimate transmission and injecting artificial noise to the eavesdroppers. However, due to the inherent mechanical energy consumption and the long-range signal propagation pathloss, the traditional cruising and hovering UAV relay modes are deficient in energy utilization and secrecy rate, respectively. Modeling of the secrecy energy efficiency with respect to UAV mode adaptation is limited in the literature and deserves further investigation. Therefore, in this paper, we propose a secrecy rate-energy efficient UAV relay mode adaptation scheme for secure wireless communications scenarios where the eavesdropping locations are known, i.e., the eavesdropper is a hijacked internal legitimate node. In this secure system, the UAV cooperatively assists the legitimate transmissions and injects artificial interference to the eavesdropper. We investigate optimum UAV placement and relay period planning for the hovering and the cruising relay modes, respectively. By modeling the UAV modes transfer and maximizing the secrecy energy efficiency, the optimum mode adaptation ratios are obtained under both the secrecy rate-prioritized and the energy-saving criteria. In addition, the proposed UAV relay mode adaptation mechanism is further studied for each UAV task division, to adapt to the dynamic channel variations and enhance the security. Our theoretical analysis shows that the mode adaptation ratio is determined by the secrecy rate-energy gain between the cruising and the hovering modes, and by the energy consumption threshold of the UAV relays. Our numerical results demonstrate that the proposed scheme achieves higher secrecy energy efficiency than the traditional schemes.  © 2017 IEEE.</t>
  </si>
  <si>
    <t>energy efficiency; mode adaptation; relay; secrecy rate; UAV; Antennas; Autonomous vehicles; Drones; Energy efficiency; Three dimensional displays; Vehicle to vehicle communications; Vehicle transmissions; Aerial vehicle; Eavesdropping; Mode adaptation; Relay; Secrecy rate; Security; Three-dimensional display; Unmanned aerial vehicle; Wireless communications; Energy utilization</t>
  </si>
  <si>
    <t>10.1109/TGCN.2023.3243394</t>
  </si>
  <si>
    <t>https://www.scopus.com/inward/record.uri?eid=2-s2.0-85148438700&amp;doi=10.1109%2fTGCN.2023.3243394&amp;partnerID=40&amp;md5=f0e4bf0ac25a7ec6f5d858e878138636</t>
  </si>
  <si>
    <t>P147</t>
  </si>
  <si>
    <t>Li, J.; Zhang, W.; Meng, Y.; Li, S.; Ma, L.; Liu, Z.; Zhu, H.</t>
  </si>
  <si>
    <t>Secure and Efficient UAV Tracking in Space-Air-Ground Integrated Network</t>
  </si>
  <si>
    <t>With the development of 5G and other communication techniques, the space-air-ground integrated network (SAGIN) is regarded as a promising solution to provide wide-range, cost-effective, and real-time wireless access. Unmanned Aerial Vehicle (UAV) Tracking plays a crucial role in guaranteeing the performance of SAGIN. However, UAV tracking still faces a series of challenges in the real-world deployment, especially in the case of the presence of malicious attackers, who may launch a series of attacks (e.g., message spoofing attack, routing misbehavior attack) to disrupt the systems. In this study, to enhance the security and efficiency of SAGIN when conducting object tracking, we propose a novel and secure object tracking system named SecTracker to overcome the emerging security problems in the SAGIN. Focusing on the unmanned aerial vehicle (UAV) tracking, we design the Local Voting based Detection Module to defend the message spoofing attack and implement the Routing Evidence based Detection Module to defend the routing misbehavior attack. Besides, efficiency enhancement mechanisms (i.e., probabilistic detection algorithm and game theory based algorithm) are proposed in this paper to improve the efficiency of SecTracker. Considering the above-mentioned attacks, the overall tracking accuracy is improved from 88.16% in existing schemes to 96.64% in SecTracker, which demonstrates the effectiveness of the proposed system.  © 1967-2012 IEEE.</t>
  </si>
  <si>
    <t>message spoofing; misbehavior attack; Space-air-ground integrated network; UAV tracking; Antennas; Cost effectiveness; Drones; Efficiency; Game theory; Network security; Probabilistic logics; Quality of service; Aerial vehicle; Air grounds; Integrated networks; Message spoofing; Misbehavior attack; Misbehaviour; Quality-of-service; Routings; Security; Space-air-ground integrated network; Unmanned aerial vehicle tracking; Aircraft detection</t>
  </si>
  <si>
    <t>10.1109/TVT.2023.3253894</t>
  </si>
  <si>
    <t>https://www.scopus.com/inward/record.uri?eid=2-s2.0-85149859492&amp;doi=10.1109%2fTVT.2023.3253894&amp;partnerID=40&amp;md5=d9e51f4e598f6b7893e8a3031e490da3</t>
  </si>
  <si>
    <t>P148</t>
  </si>
  <si>
    <t>Ren, M.; Wang, B.; Yang, H.</t>
  </si>
  <si>
    <t>Key Technologies for Heterogeneous Unmanned Aerial Vehicle Swarm Cross-Domain Collaborative Operations</t>
  </si>
  <si>
    <t>The Russia-Ukraine conflict and the Nagorno Karabakh war show that the unmanned combat force represented by UAVs has become an important part of the joint combat force system, playing an increasingly prominent role as an efficiency multiplier. In recent years, military powers such as the United States and Britain have taken cross domain collaboration as an important development direction for unmanned aerial vehicle swarm warfare. Section 1 analyzes the main characteristics of using drone swarms to perform tasks. Section 2 analyzes the latest progress of drone swarm projects at research institutions such as DARPA and Dassault Aircraft in France. Section 3 studies the key technologies to achieve cross domain application of heterogeneous UAV swarms, mainly including the overall swarm command and control architecture design, UAV swarm combat support system, swarm collaborative planning technology, and so on. The research provides key technical support for suppressing, jamming, and attacking the enemy's modern air defense early warning system using heterogeneous drone swarms. © Chinese Institute of Command and Control 2024.</t>
  </si>
  <si>
    <t>Heterogeneous cross domain collaboration; Key technology; UAV swarm; Antennas; Command and control systems; Military applications; Military vehicles; Aerial vehicle; Collaborative operations; Combat forces; Cross domain collaboration; Cross-domain; Force systems; Heterogeneous cross domain collaboration; Key technologies; UAV swarm; Ukraine; Drones</t>
  </si>
  <si>
    <t>10.1007/978-981-99-9021-4_12</t>
  </si>
  <si>
    <t>https://www.scopus.com/inward/record.uri?eid=2-s2.0-85185711422&amp;doi=10.1007%2f978-981-99-9021-4_12&amp;partnerID=40&amp;md5=3a4092e261ead16c04c13413d9cbfcc2</t>
  </si>
  <si>
    <t>P149</t>
  </si>
  <si>
    <t>Sihag, V.; Choudhary, G.; Choudhary, P.; Dragoni, N.</t>
  </si>
  <si>
    <t>Cyber4Drone: A Systematic Review of Cyber Security and Forensics in Next-Generation Drones</t>
  </si>
  <si>
    <t>Cyber Security and forensics for Unmanned Aerial Vehicles (UAVs) pose unique requirements, solutions, and challenges. As UAVs become increasingly prevalent for legitimate and illegal use, ensuring their security and data integrity is important. Solutions have been developed to tackle these security requirements. Drone forensics enables the investigation of security incidents involving UAVs, aiding in identifying attackers or determining the cause of accidents. However, challenges persist in the domain of UAV security and forensics. This paper surveys drone threat models, security, and privacy aspects. In particular, we present the taxonomy of drone forensics for investigating drone systems and talk about relevant artifacts, tools, and benchmark datasets. While solutions exist, challenges such as evolving technology and complex operational environments must be addressed through collaboration, updated protocols, and regulatory frameworks to ensure drones’ secure and reliable operation. Furthermore, we also point out the field’s difficulties and potential future directions. © 2023 by the authors.</t>
  </si>
  <si>
    <t>digital investigation; drone forensics; drone security; unmanned aerial vehicles; Aircraft accidents; Crime; Cyber attacks; Target drones; Aerial vehicle; Cyber forensics; Cyber security; Data integrity; Digital investigation; Drone forensic; Drone security; Systematic Review; Unmanned aerial vehicle; Vehicle pose; Drones</t>
  </si>
  <si>
    <t>10.3390/drones7070430</t>
  </si>
  <si>
    <t>https://www.scopus.com/inward/record.uri?eid=2-s2.0-85166320586&amp;doi=10.3390%2fdrones7070430&amp;partnerID=40&amp;md5=95088640d7628800e3d43d11d8b707ae</t>
  </si>
  <si>
    <t>P15</t>
  </si>
  <si>
    <t>Wang, Y.; Lv, J.; Qiao, S.</t>
  </si>
  <si>
    <t>Secure physical layer transport strategies in mobile edge computing</t>
  </si>
  <si>
    <t>In the past, mobile edge computing faced problems such as information leakage and eavesdropping during offloading of computing resources. To bolster the comprehensive security of the mobile edge computing system, a physical layer secure transmission strategy in mobile edge computing is proposed. First, a drone-mobile edge computing system is studied, which consists of M legitimate drones, N user devices, and K eavesdropping drones. Second, a multi-intelligence deep deterministic policy gradient algorithm is used to optimize the flight path, transmit power, and offloading ratio of the legitimate UAVs in combination with a prioritized empirical replay mechanism. Finally, under the premise of guaranteeing offloading, it realizes that the user's confidential information is not stolen by eavesdroppers, safeguards the overall security of the system, and maximizes the efficiency of security computing. In this paper, the proposed algorithm enhances security transmission efficiency by 50% compared to other benchmark schemes. This demonstrates that the algorithm is effective. © Published under licence by IOP Publishing Ltd.</t>
  </si>
  <si>
    <t>Computation offloading; Information leakage; Mobile edge computing; Computing resource; Computing system; Deterministics; Edge computing; Information leakage; Physical layers; Secure transmission; Transmission strategies; Transport strategies; User devices; Drones</t>
  </si>
  <si>
    <t>10.1088/1742-6596/2807/1/012020</t>
  </si>
  <si>
    <t>https://www.scopus.com/inward/record.uri?eid=2-s2.0-85201289295&amp;doi=10.1088%2f1742-6596%2f2807%2f1%2f012020&amp;partnerID=40&amp;md5=ea8e291b833d5ce3d03127740ba3b3e0</t>
  </si>
  <si>
    <t>P150</t>
  </si>
  <si>
    <t>Mynuddin, M.; Khan, S.U.; Ahmari, R.; Landivar, L.; Mahmoud, M.N.; Homaifar, A.</t>
  </si>
  <si>
    <t>Trojan Attack and Defense for Deep Learning-Based Navigation Systems of Unmanned Aerial Vehicles</t>
  </si>
  <si>
    <t>As unmanned aerial vehicles (UAVs) become increasingly integrated across various domains, both military and civilian, safeguarding the security of their navigation systems becomes paramount. In the contemporary age, the prominence of cybersecurity for UAVs has grown due to a rising number of cyberattacks on these systems. Notably, over the past decade, several significant cybersecurity breaches have impacted UAVs due to inadequate vulnerability assessments and security measures. Deep learning (DL)-based algorithms show immense potential for enabling autonomous UAV navigation. However, these algorithms are susceptible to malicious attacks, such as DL-based Trojan attacks, which can compromise the integrity and reliability of UAV navigation systems. This paper addresses potential vulnerabilities in DL-based UAV navigation systems and emphasizes the importance of securing these systems against DL-based Trojan attacks. We design various trigger patterns for collision and steering angle of the DroNet model incorporating adversarial inputs to test the robustness of the deep learning algorithm used for UAV navigation. By simulating potential attacks and studying their effects, we aim to highlight the weaknesses and potential entry points for malicious interference. We assess the effectiveness of Trojan attacks on the DroNet model using poisoned collision and steering angle datasets. Subsequently, we regulate the intensity of the designed triggers and evaluate the performance of the DroNet architecture. Additionally, we propose mitigation strategies to enhance the robustness and security of navigation systems against these attacks. To identify the likelihood of the trained model being trojaned or not, we have developed a Trojan detector and created distinct DroNet Trojan Model Datasets for this purpose. That the DroNet model is vulnerable to DL-based Trojan attacks, as evidenced by the successful manipulation of collision and steering angle predictions. The Trojan detector effectively identifies potential compromises within the model, highlighting the necessity for enhanced security measures. © 2024 The Authors.</t>
  </si>
  <si>
    <t>cyber-security; deep learning; trigger intensity; trojan attacks; Unmanned aerial vehicles; Air navigation; Antennas; Automobile steering equipment; Cybersecurity; Deep learning; Learning algorithms; Malware; Military vehicles; Navigation systems; Network security; Aerial vehicle; Collision angles; Cyber security; Deep learning; Steering angles; Trigger intensity; Trojan attack; Trojans; Unmanned aerial vehicle; Drones</t>
  </si>
  <si>
    <t>10.1109/ACCESS.2024.3419800</t>
  </si>
  <si>
    <t>https://www.scopus.com/inward/record.uri?eid=2-s2.0-85197090848&amp;doi=10.1109%2fACCESS.2024.3419800&amp;partnerID=40&amp;md5=3ec11c8bbb3984587b40514a30680184</t>
  </si>
  <si>
    <t>P151</t>
  </si>
  <si>
    <t>Steiner, J.; Cerny, M.</t>
  </si>
  <si>
    <t>Drone e-ID Vulnerability to GNSS Interference</t>
  </si>
  <si>
    <t>Global Navigation Satellite Systems (GNSS) are a key source of position, navigation, and timing for Unmanned Aircraft Systems. This holds true for the new e-ID technology as well, which is compulsory for drones operating in the SPECIFIC category since 2024. Both portable and embedded e-ID devices are a new addition to the market as a reaction to the new legislation. However, these electronic visibility enablers may be susceptible to GNSS interference, possibly leading to denial of service or false position and time information being reported. To assess the vulnerability of these newly introduced e-ID devices, two of them were subjected to a series of GNSS interference attacks. The testing included jamming-only attacks, spoofing-only attacks and attacks combining jamming with subsequent spoofing. The results show the impact of all these attacks on the position and time information, the number of satellites in view and other parameters. Additionally, the results highlight the differences between a GNSS-only e-ID device and an e-ID device with both GNSS and inertia sensors. Finally, the potential of using accuracy indicators in e-ID messages for GNSS interference detection is discussed. © 2024 Czech Technical University in Prague.</t>
  </si>
  <si>
    <t>drones; e-ID; electronic identification; GNSS; jamming; spoofing; UAS</t>
  </si>
  <si>
    <t>10.23919/NTCA60572.2024.10517822</t>
  </si>
  <si>
    <t>https://www.scopus.com/inward/record.uri?eid=2-s2.0-85193060622&amp;doi=10.23919%2fNTCA60572.2024.10517822&amp;partnerID=40&amp;md5=2b4a8e3271b5868dec53a1c7a102a1f4</t>
  </si>
  <si>
    <t>N (Conf proceedings)</t>
  </si>
  <si>
    <t>P152</t>
  </si>
  <si>
    <t>Ouiazzane, S.; Addou, M.; Barramou, F.</t>
  </si>
  <si>
    <t>DoS and DDoS Cyberthreats Detection in Drone Networks</t>
  </si>
  <si>
    <t>Nowadays, civilian drones are the current trend area and the scientific community continues to come up with new approaches to make this technology more and more sophisticated. In addition, most of the research works conducted by the community mainly focused on a few aspects, namely drone functionality, routing protocols and battery life. However, the study of the computational security posture of drones is ignored and few research works focused on it at a time when cybercriminal actions take advantage of it to compromise the security principles of drone components. Moreover, the geospatial data transiting or stored in drone networks is of a very critical and sensitive nature, as a simple compromise of this data could have adverse impacts that could go as far as endangering human lives, especially in the case of intercepting drones used for blood delivery. Well-known cyber-attacks affecting drone security include Denial of Service (DoS) and Distributed DoS (DDoS) intrusions. DoS and DDoS attacks do not require hacking expertise, and even script kiddies can use tools published on the Internet to implement this type of attack against drone networks. DoS and DDoS attacks can easily result in the loss of the drone and the violation of its security policies. Therefore, protecting drone systems from these intrusions is a vital mission that must be taken seriously to ensure the proper functioning of this technology under safer conditions with a much-reduced risk of falling victim to DoS/DDoS attacks. In this work, we proposed an intrusion detection system capable of detecting known and unknown DoS attacks based on artificial intelligence techniques such as multi-agent systems and machine learning algorithms. © The Author(s), under exclusive license to Springer Nature Switzerland AG 2024.</t>
  </si>
  <si>
    <t>Cyber-attacks; Cybercriminality; Cybersecurity; Cyberthreats; DDoS; DoS; Drone; Fleet of drones; Intrusions; Security; UAV; Aircraft detection; Crime; Cybersecurity; Denial-of-service attack; Intrusion detection; Learning algorithms; Machine learning; Multi agent systems; Network security; Personal computing; 'current; Cyber security; Cyber-attacks; Cybercriminality; Cyberthreats; Denial of Service; Distributed DoS; Fleet of drone; Intrusion; Security; Drones</t>
  </si>
  <si>
    <t>10.1007/978-3-031-47672-3_13</t>
  </si>
  <si>
    <t>https://www.scopus.com/inward/record.uri?eid=2-s2.0-85187790879&amp;doi=10.1007%2f978-3-031-47672-3_13&amp;partnerID=40&amp;md5=ad46db038bb16568e0d54b0986af34f0</t>
  </si>
  <si>
    <t>P153</t>
  </si>
  <si>
    <t>Sadhu, V.; Anjum, K.; Pompili, D.</t>
  </si>
  <si>
    <t>On-Board Deep-Learning-Based Unmanned Aerial Vehicle Fault Cause Detection and Classification via FPGAs</t>
  </si>
  <si>
    <t>With the increase in the use of unmanned aerial vehicles (UAVs)/drones, it is important to detect and identify causes of failure in real time for proper recovery from a potential crash-like scenario or postincident forensics analysis. The cause of crash could be either a fault in the sensor/actuator system, a physical damage/attack, or a cyber attack on the drone's software. In this work, we propose novel architectures based on deep convolutional and long short-term memory neural networks to detect (via autoencoder) and classify drone misoperations based on real-time sensor data. The proposed architectures are able to learn high-level features automatically from the raw sensor data. Empirical results show that our solution is able to detect (with over 90% accuracy) and classify various types of drone misoperations [with about 99% accuracy (simulation data) and up to 85% accuracy (experimental data)]. Furthermore, with the help of field programmable gate array-based hardware acceleration, we achieved a speedup of 40x (∼2.6 ms) for detection, while consuming half the amount of power compared with onboard GPU devices, such as NVIDIA Jetson TX2. © 2004-2012 IEEE.</t>
  </si>
  <si>
    <t>Approximate computing; artificial neural networks; fault detection; fault diagnosis; reconfigurable architectures; Aircraft accidents; Aircraft detection; Antennas; Deep learning; Fault detection; Field programmable gate arrays (FPGA); Network architecture; Neural networks; Reconfigurable architectures; Actuator system; Aerial vehicle; Approximate computing; Faults detection; Faults diagnosis; Forensic analysis; Misoperation; Real- time; Sensor/actuator; Sensors data; Drones</t>
  </si>
  <si>
    <t>10.1109/TRO.2023.3269380</t>
  </si>
  <si>
    <t>https://www.scopus.com/inward/record.uri?eid=2-s2.0-85169461034&amp;doi=10.1109%2fTRO.2023.3269380&amp;partnerID=40&amp;md5=ad0493bc687d8be774ac595024dd324e</t>
  </si>
  <si>
    <t>P154</t>
  </si>
  <si>
    <t>Niyonsaba, S.; Konate, K.; Soidridine, M.M.</t>
  </si>
  <si>
    <t>A Survey on Cybersecurity in Unmanned Aerial Vehicles: Cyberattacks, Defense Techniques and Future Research Directions</t>
  </si>
  <si>
    <t>Today, Unmanned Aerial Vehicles (UAV), also known as drones, are increasingly used by organizations, businesses and governments in a variety of military and civilian applications, including reconnaissance, border surveillance, port security, transportation, public safety surveillance, agriculture, scientific research, rescue and more. However, drone cybersecurity has become a major concern due to the growing risk of cyberattacks aimed at compromising the confidentiality, integrity and availability of drone systems. These cyberattacks can have serious consequences, such as disclosure or theft of sensitive data, loss of drones, disruption of drone performance, etc. In the existing literature, little work has been devoted to the cybersecurity of UAV systems. To fill this gap, a taxonomy of cyberattacks in UAV is proposed focusing on the three main categories, namely interception attacks against confidentiality, modification or fabrication attacks against integrity and disruption attacks against data availability. Next, a survey of defense techniques that can be used to protect UAV systems is carried out. Finally, a discussion is held on technologies for improving drone cybersecurity, such as Blockchain and Machine Learning, as well as the challenges and future direction of research. © 2023 EverScience Publications. All rights reserved</t>
  </si>
  <si>
    <t>Blockchain; Cyberattacks; Cybersecurity; Defense Techniques; Machine Learning; Taxonomy; UAV</t>
  </si>
  <si>
    <t>10.22247/ijcna/2023/223417</t>
  </si>
  <si>
    <t>https://www.scopus.com/inward/record.uri?eid=2-s2.0-85176119366&amp;doi=10.22247%2fijcna%2f2023%2f223417&amp;partnerID=40&amp;md5=4b7fff63c974245f86601eb655016394</t>
  </si>
  <si>
    <t>P155</t>
  </si>
  <si>
    <t>Ferrão, I.G.; da Silva, L.M.; Bonilla, D.; Espes, D.; Dezan, C.; Branco, K.C.</t>
  </si>
  <si>
    <t>Detecting Spoofing and GPS Jamming in UAVs: Multiclass Approach to Attack Diagnosis</t>
  </si>
  <si>
    <t>As Unmanned Aerial Vehicles (UAVs) become increasingly popular and affordable, it is essential to ensure their safe operation, especially around critical devices such as the aircraft's Global Positioning System (GPS). GPS plays an indispensable role in aviation systems. This study presents an efficient multiclass detection method to identify GPS attacks on UAVs, focusing on differentiating between spoofing and jamming attacks. The proposed approach outperforms existing methods. The results obtained in this study contribute to increasing the security of UAVs and provide valuable information for developing robust detection systems to combat evolving threats in the UAV domain. © 2024 IEEE Computer Society. All rights reserved.</t>
  </si>
  <si>
    <t>Detection Attacks; GPS Attacks; Security Failure; Smart Detection; Unmanned Aerial Vehicles; Aircraft detection; Antennas; Jamming; Unmanned aerial vehicles (UAV); Aerial vehicle; Attack diagnosis; Critical device; Detection attack; Global positioning system attack; Global positioning systems jamming; Safe operation; Security failure; Smart detection; Unmanned aerial vehicle; Global positioning system</t>
  </si>
  <si>
    <t>https://www.scopus.com/inward/record.uri?eid=2-s2.0-85197375589&amp;partnerID=40&amp;md5=e268c5234c34b1bc6ecd2658ed46e79f</t>
  </si>
  <si>
    <t>P156</t>
  </si>
  <si>
    <t>Latha, S.; Asha, P.; Srinivasan, V.P.; Elangovan, K.; Thamizhamuthu, R.; Sujatha, S.</t>
  </si>
  <si>
    <t>Enhancing Facility Safety for Autonomous Gas Inspection Drones Leveraging Convolutional Neural Networks and loT Technology</t>
  </si>
  <si>
    <t>To increase facility safety by integrating autonomous gas inspection drones with Convolutional Neural Networks (CNNs) and Internet of Things (loT) technologies. Due to their ability to reach difficult situations, unmanned aerial vehicles are increasingly used for gas inspection in industry. However, drone safety and gas detection accuracy remain major issues. It offers a comprehensive method that uses CNN s for real-time image analysis and classification to help the drone locate gas leaks with high accuracy. CNN is trained on a broad dataset of gas leak situations and environmental conditions. loT technology also allows the drone and centralized monitoring system to communicate in real-time for data sharing and decision-making. Our method can adjust to changing lighting and weather and discriminate between innocuous abnormalities and gas leaks. Advanced navigation algorithms let the drone traverse complicated industrial sites while avoiding obstacles and maximizing coverage. Experimental findings show the suggested technology improves facility safety by lowering gas leak reaction times and operator risk. CNNs with loT technologies increase gas leak detection and allow proactive maintenance, improving industrial facility safety and efficiency. It advances autonomous systems for industrial applications by tackling gas inspection safety problems. The suggested framework lays the groundwork for integrating innovative technology to improve autonomous gas inspection drone capabilities and safety. © 2024 IEEE.</t>
  </si>
  <si>
    <t>Environmental conditions; Gas inspection; Gas leak detection; Industrial environments; Real-time image analysis; Accident prevention; Antennas; Convolution; Convolutional neural networks; Decision making; Drones; Environmental technology; Image analysis; Image enhancement; Inspection; Aerial vehicle; Convolutional neural network; Detection accuracy; Environmental conditions; Gas detection; Gas inspection; Gas leak detection; Gas leaks; Industrial environments; Real-time image analysis; Gases</t>
  </si>
  <si>
    <t>10.1109/ICRITO61523.2024.10522305</t>
  </si>
  <si>
    <t>https://www.scopus.com/inward/record.uri?eid=2-s2.0-85193834830&amp;doi=10.1109%2fICRITO61523.2024.10522305&amp;partnerID=40&amp;md5=d20769c65ef1f9679a3d6f5f92cd84f3</t>
  </si>
  <si>
    <t>P157</t>
  </si>
  <si>
    <t>Liu, S.; Yang, H.; Xiao, L.; Zheng, M.; Lu, H.; Xiong, Z.</t>
  </si>
  <si>
    <t>Learning-Based Resource Management Optimization for UAV-Assisted MEC Against Jamming</t>
  </si>
  <si>
    <t>In recent years, jointly optimizing unmanned aerial vehicle (UAV) hover point selection and resource management for UAV-assisted mobile edge computing (MEC) is a hot research topic. Unlike previous studies, this paper investigates the optimization problem of hover point selection and resource management under dynamic jamming attacks, where the objective is to maximize overall communication and computing efficiency while taking into account constraints on total UAV power and the availability of channels. Due to the non-convex problem and highly dynamic environments, we then propose an advanced deep reinforcement learning (DRL) algorithm to jointly optimize UAV hover point selection, task collection time ratio, transmission power, channel selection, and task offloading ratio to improve the efficiency of UAV-assisted MEC. Specifically, the algorithm optimizes UAV hover point selection to minimize the negative effect of jamming attacks, and then manages resources to improve UAV task processing capacity and reduce energy consumption while mitigating jamming. Simulation results demonstrate that our proposed learning-based algorithm significantly enhances the computing and offloading efficiency in complex and dynamic UAV-assisted MEC environments against jamming compared to other existing algorithms.  © 1972-2012 IEEE.</t>
  </si>
  <si>
    <t>anti-jamming; mobile edge computing; reinforcement learning; resource management; UAV communication; Antennas; Computation offloading; Computing power; Deep learning; Drones; Energy utilization; Heuristic algorithms; Job analysis; Learning algorithms; Mobile edge computing; Natural resources management; Optimization; Resource allocation; Aerial vehicle; Anti-jamming; Computational modelling; Heuristics algorithm; Jamming; Optimisations; Reinforcement learnings; Resource management; Task analysis; Unmanned aerial vehicle communication; Vehicle communications; Reinforcement learning</t>
  </si>
  <si>
    <t>10.1109/TCOMM.2024.3374356</t>
  </si>
  <si>
    <t>https://www.scopus.com/inward/record.uri?eid=2-s2.0-85187988073&amp;doi=10.1109%2fTCOMM.2024.3374356&amp;partnerID=40&amp;md5=4ff22d2c4932269f5076971b15e83931</t>
  </si>
  <si>
    <t>P158</t>
  </si>
  <si>
    <t>Wu, L.; Wang, W.; Ji, Z.; Yang, Y.; Cumanan, K.; Chen, G.; Ding, Z.; Dobre, O.A.</t>
  </si>
  <si>
    <t>UAV-Assisted Maritime Legitimate Surveillance: Joint Trajectory Design and Power Allocation</t>
  </si>
  <si>
    <t>This paper investigates a novel maritime wireless surveillance scenario, where a legitimate monitor vessel moves around to eavesdrop the suspicious communication from a suspicious unmanned aerial vehicle (UAV) to a suspicious vessel with the help of a cooperative UAV. Specifically, the cooperative UAV can adjust its jamming power and trajectory to exactly control the transmission rate of the suspicious link, thus improving the monitor vessel's surveillance performance. Furthermore, since the cooperative UAV cannot land or replenish energy on the sea surface, its jamming power allocation on the ocean should be carefully designed by the energy thresholds. Under such setup, we formulate a sum eavesdropping rate maximization problem, which jointly optimizes the jamming power and three-dimensional (3D) trajectory of the cooperative UAV, as well as the two-dimensional (2D) trajectory of the monitor vessel. To address this non-convex optimization problem, we decompose the design problem into three subproblems and propose an iterative algorithm to find its suboptimal solution. Numerical results show that the proposed jamming-assisted 3D joint design can significantly improve the eavesdropping rate and save the jamming power compared to the benchmark schemes. © 1967-2012 IEEE.</t>
  </si>
  <si>
    <t>Maritime legitimate surveillance; power allocation; trajectory design; UAV cooperative jamming; Antennas; Autonomous vehicles; Convex optimization; Cooperative communication; Drones; Iterative methods; Jamming; Security systems; Three dimensional displays; Vehicle to vehicle communications; Aerial vehicle; Cooperative jamming; Eavesdropping; Jamming; Maritime legitimate surveillance; Power allocations; Surveillance; Three-dimensional display; Trajectory designs; Unmanned aerial vehicle cooperative jamming; Wireless communications; Trajectories</t>
  </si>
  <si>
    <t>10.1109/TVT.2023.3276323</t>
  </si>
  <si>
    <t>https://www.scopus.com/inward/record.uri?eid=2-s2.0-85162855144&amp;doi=10.1109%2fTVT.2023.3276323&amp;partnerID=40&amp;md5=3d3989870467d17613ad6153ff2b39ed</t>
  </si>
  <si>
    <t>P159</t>
  </si>
  <si>
    <t>Jalil Hadi, H.; Cao, Y.; Li, S.; Hu, Y.; Wang, J.; Wang, S.</t>
  </si>
  <si>
    <t>Real-Time Collaborative Intrusion Detection System in UAV Networks Using Deep Learning</t>
  </si>
  <si>
    <t>Unmanned aerial vehicles (UAVs) are being used extensively in various fields. UAVs provide various services to users, including monitoring, logistics, and sensing, because of their flexible deployment and dynamic reconfigurability. However, UAV networks have become more susceptible to malicious threats because of their multiconnectivity and openness. A great effort has been made to develop an effective intrusion detection system (IDS) based on machine-learning approaches for UAVs. Unfortunately, existing methods were unable to identify real time and zero-day attacks for UAV networks. This is due to that existing methods have still used obsolete data sets and past knowledge-based detection. Also, the shortcomings of standalone IDS render them unsuitable for defending UAV networks from potential security risks. Further, the lack of precise identification for compromised UAV nodes in UAV networks poses a critical security gap, risking the entire network's integrity with the compromise of a single node. Therefore, in this work, we propose an autonomous collaborative IDS (UAV-CIDS) with a feedforward convolutional neural network (FFCNN), which accurately identifies zero-day with high accuracy. The proposed solution takes into account encoded Wi-Fi traffic logs of three popular UAVs types: 1) DBPower UDI; 2) parrot Bebop; and 3) DJI spark. Evaluation results indicate that our FFCNN model has produced outstanding results based on the UAVIDS data set with 98.23% accuracy compared to existing models. After the detection of attacks, their mitigation is equally significant. In addition, we also design and implement real-time incident response handling against cyber-attacks on UAV Networks. The incident response handling will assist in minimizing the effects of a security breach, remediate vulnerabilities and systematically secure the entire UAV networks.  © 2024 IEEE. Personal use is permitted, but republication/redistribution requires IEEE permission.</t>
  </si>
  <si>
    <t>Cyber incident response; feedforward convolutional neural network (FFCNN); intrusion detection system (IDS); unmanned aerial vehicle (UAV) networks; Aircraft detection; Antennas; Computer crime; Cyber attacks; Deep learning; Drones; Feature extraction; Feedforward neural networks; Interactive computer systems; Internet of things; Intrusion detection; Zero-day attack; Aerial vehicle; Convolutional neural network; Cybe incident response; Cyber-attacks; Features extraction; Feed forward; Feedforward convolutional neural network; Incident response; Intrusion Detection Systems; Intrusion-Detection; Real - Time system; Security; Unmanned aerial vehicle network; Vehicle network; Real time systems</t>
  </si>
  <si>
    <t>10.1109/JIOT.2024.3426511</t>
  </si>
  <si>
    <t>https://www.scopus.com/inward/record.uri?eid=2-s2.0-85198391881&amp;doi=10.1109%2fJIOT.2024.3426511&amp;partnerID=40&amp;md5=18c157c801b00c2823f9bbe7e1fa0f1d</t>
  </si>
  <si>
    <t>P16</t>
  </si>
  <si>
    <t>Thangam, S.; Gupta, P.K.; Kartthikeyan, N.; Mukil, L.D.; Niranjan, D.K.</t>
  </si>
  <si>
    <t>Low-Cost Network Jammer for Wi-Fi Network in Civilian Areas</t>
  </si>
  <si>
    <t>This application presents a novel approach to address the challenge of intercepting unmanned aerial vehicles (UAVs) operating within the 2.4 GHz frequency band. Jamming device operating at 2.4 GHz, with an Arduino Nano microcontroller and nRF24L01 module included. The device is designed to accurately search available wireless networks in a specific frequency range, focused on intercepting connections between drones in this spectrum Real-time system identifies networks and selects the channels, thus disconnecting targeted frequency devices Security measures in the presence of counter-drone activities are required This technology is an important tool for growth. Using Arduino Nano and nRF24L01 modules, the jamming device offers a flexible and scalable solution designed for network security professionals. The 2.4 GHz jammer provides precise interference, allowing targeted disruption of drones operating in a specific frequency band. In addition, the paper provides a detailed introduction to well-known drones operating in the 2.4 GHz frequency range, such as the DJI Phantom series and the Parrot Bebop series, and understanding these drones is crucial for planning effective countermeasures. The paper includes implementation data and results of experimental tests, providing insights into the efficiency and feasibility of a 2.4 GHz jammer designed to combat interference in UAV networks in a specific frequency band to be used.  © 2024 IEEE.</t>
  </si>
  <si>
    <t>2.4 GHz; Network disturbance; Security; Wi-Fi disturbance; Carrier sense multiple access; Drones; Jamming; Medium access control; Target drones; Wi-Fi; 2.4 GHz; Aerial vehicle; GHz frequencies; Jammers; Jamming devices; Network disturbances; Security; Specific frequencies; WI - FI; Wi-fi disturbance; Antennas</t>
  </si>
  <si>
    <t>10.1109/ICOSEC61587.2024.10722738</t>
  </si>
  <si>
    <t>https://www.scopus.com/inward/record.uri?eid=2-s2.0-85209943378&amp;doi=10.1109%2fICOSEC61587.2024.10722738&amp;partnerID=40&amp;md5=8e29ddee59542601e00e8cafbb626128</t>
  </si>
  <si>
    <t>P160</t>
  </si>
  <si>
    <t>Wan, Z.; Cho, J.-H.; Zhu, M.; Anwar, A.H.; Kamhoua, C.; Singh, M.</t>
  </si>
  <si>
    <t>Deception in Drone Surveillance Missions: Strategic vs. Learning Approaches</t>
  </si>
  <si>
    <t>Unmanned Aerial Vehicles (UAVs) have been used for surveillance operations, search and rescue missions, and delivery services. Given their importance and versatility, they naturally become targets for cyberattacks. Denial-of-Service (DoS) attacks are commonly considered to exhaust their resources or crash UAVs (or drones). This work proposes a unique proactive defense using honey drones (HD) for UAVs during surveillance operations. These HDs use lightweight virtual machines to lure and redirect potential DoS attacks. Both the choice of target by the attacker and the HD's deceptive tactics are influenced by the strength of the radio signal. However, a critical trade-off exists in that stronger signals can deplete battery life, while weaker signals can negatively affect the connectivity of a drone fleet network. To address this, we formulate an optimization problem to select the best strategies for an attacker or defender in selecting their signal strength level. We propose a novel HD-based defense to identify the optimal setting using deep reinforcement learning (DRL) or game theory and compare their performance with that of non-HD-based methods, such as Intrusion Detection Systems and ContainerDrone. Our experiments demonstrate the unique benefits and superior efficacy of each HD-based defense across various attack scenarios.  © 2023 Owner/Author(s).</t>
  </si>
  <si>
    <t>deep reinforcement learning; defensive deception; game theory; honey drone; mission effectiveness; unmanned aerial vehicle; Antennas; Deep learning; Denial-of-service attack; Drones; Economic and social effects; Food products; Intrusion detection; Network security; Reinforcement learning; Aerial vehicle; Deep reinforcement learning; Defensive deception; Denialof- service attacks; Honey drone; Mission effectiveness; Reinforcement learnings; Surveillance missions; Surveillance operations; Unmanned aerial vehicle; Game theory</t>
  </si>
  <si>
    <t>10.1145/3565287.3616525</t>
  </si>
  <si>
    <t>https://www.scopus.com/inward/record.uri?eid=2-s2.0-85176106458&amp;doi=10.1145%2f3565287.3616525&amp;partnerID=40&amp;md5=df49f12d535844279fbea146cd32d6f4</t>
  </si>
  <si>
    <t>y</t>
  </si>
  <si>
    <t>P161</t>
  </si>
  <si>
    <t>Dubravova, H.; Bures, V.; Velf, L.</t>
  </si>
  <si>
    <t>Drones as an Example of the Use of Smart Technologies in Cooperation with the State Security Forces in the Context of the Smart Cities Concept in the Czech Republic</t>
  </si>
  <si>
    <t>Using unmanned aerial vehicles (drones) in security has become common in the Czech Republic. This paper focuses on using drones as an example of the application of smart technologies in conjunction with the Internet of Things (IoT) and state security forces, especially in cooperation with the police, fire and medical emergency services in the context of the new Smart Cities concept. Drones are one of the most suitable examples of use along with IoT within the security sector, which play a key role in the daily protection of citizens' safety, public order security and crisis management. It is related to developing and implementing 5G networks, which allow real-time transmission of data obtained by drones directly to information systems, and is also gaining importance. This technology enables fast and efficient communication between the different actors involved in an intervention and creates a platform for fast and effective emergency response. Among other things, paying attention to cybersecurity, such as securing data transmissions, protecting against cyber threats, complying with security standards and legislation, and introducing special procedures and methodologies applicable in crisis, is essential. © 2024 The Authors. Published by ELSEVIER B.V.</t>
  </si>
  <si>
    <t>cities; county; firefighters; IoT; police; security; Smart Cities; 5G mobile communication systems; Antennas; Cybersecurity; Emergency services; Internet of things; Law enforcement; Real time systems; Smart city; Aerial vehicle; City; County; Czech Republic; Fire emergencies; Firefighter; Medical emergency; Security; Security forces; Smart technology; Drones</t>
  </si>
  <si>
    <t>10.1016/j.procs.2024.05.100</t>
  </si>
  <si>
    <t>https://www.scopus.com/inward/record.uri?eid=2-s2.0-85195370142&amp;doi=10.1016%2fj.procs.2024.05.100&amp;partnerID=40&amp;md5=fade43fb263ce504090edf00b7f2c892</t>
  </si>
  <si>
    <t>P162</t>
  </si>
  <si>
    <t>Wu, Q.; Zhang, Y.; Yang, Z.; Shikh-Bahaei, M.R.</t>
  </si>
  <si>
    <t>Deep Learning for Secure UAV Swarm Communication Under Malicious Attacks</t>
  </si>
  <si>
    <t>Unmanned aerial vehicle (UAV) swarms have become a promising solution to enhance modern wireless communication in complicated environments. However, due to the existence of real-world malicious attacks, the performance of prediction and optimisation methods used for UAV swarms are easily degraded. In this paper, we propose a novel deep learning-based user mobility prediction, user assignment and drone position optimisation scheme for a UAV swarm-enabled wireless communication system in the presence of malicious Global Navigation Satellite System (GNSS) spoofing attackers. Specifically, a robust deep learning-based user mobility prediction model, namely denoising autoencoder recurrent transformer (DART), is designed. Additionally, two efficient user assignment and drone position optimisation methods are proposed. The proposed deep learning model forecasts user locations, on which we construct and solve assignment and position optimisation problems. Simulation results show that the proposed deep learning-based prediction-optimisation scheme can provide up to 30% higher overall sum rate compared with the adversarially trained long short-term memory (LSTM) baseline and almost double the overall sum rate compared with the vanilla LSTM baseline. © 2024 IEEE.</t>
  </si>
  <si>
    <t>deep learning; denoising autoencoder recurrent transformer (DART); differential programming; malicious attack; Unmanned aerial vehicle swarm; Antennas; Drones; Forecasting; Global positioning system; Swarm intelligence; Vehicle to vehicle communications; Aerial vehicle; Auto encoders; De-noising; Deep learning; Denoising autoencoder recurrent transformer; Differential programming; Malicious attack; Optimization method; Unmanned aerial vehicle swarm; Users' mobility; Long short-term memory</t>
  </si>
  <si>
    <t>10.1109/TWC.2024.3419923</t>
  </si>
  <si>
    <t>https://www.scopus.com/inward/record.uri?eid=2-s2.0-85197494826&amp;doi=10.1109%2fTWC.2024.3419923&amp;partnerID=40&amp;md5=76ebce5ca0a0a586ac5fd0450679af42</t>
  </si>
  <si>
    <t>P163</t>
  </si>
  <si>
    <t>Sharma, J.; Mehra, P.S.</t>
  </si>
  <si>
    <t>Secure communication in IOT-based UAV networks: A systematic survey</t>
  </si>
  <si>
    <t>IoT (Internet of Things) has revolutionized the world with its applications like home automation, transportation, agriculture, etc. IoT-based Unmanned Aerial Vehicle (UAV) networks are an emerging field that introduces the UAV network with the power of the Internet.IoT-based UAV networks are a network of interconnected UAVs which are then equipped with sensors, a microcontroller to exchange collected data with each other, and a GCS (Ground Control Station) over the internet. IoT-based UAV network system is used for surveillance, monitoring, payload delivery, and much more which generate a plethora of sensitive information which can be obtained by adversaries in the middle. The communication between UAVs and GCS is vulnerable to security threats using jamming and eavesdropping attacks. The message between UAV and GCS is not enciphered which makes them error-prone. Attacks like GPS (Global Positioning System) spoofing can be possible by sending fake coordinates to trick UAV's control. Although much effort has been made toward UAV security. However, there is a dearth of descriptive reviews on secure communication in IoT-based UAV networks. The purpose of this paper is to find and examine peer-reviewed literature that discusses previous six-year established papers with existing attacks such as physical, and logical attacks with suggested solutions such as trajectory planning, lightweight schemes, solutions based on blockchain, quantum cryptography, etc. This paper analyzes the secure communication network between UAVs by systematically answering research questions based on the research methodology for the relevant study. Finally, the paper addresses several issues and guidelines for future research. © 2023 Elsevier B.V.</t>
  </si>
  <si>
    <t>Drones; Flying adhoc networks (FANET); Ground control station (GCS); Internet of Things (IoT); Secure communication; Survey; Unmanned aerial vehicle (UAV)</t>
  </si>
  <si>
    <t>10.1016/j.iot.2023.100883</t>
  </si>
  <si>
    <t>https://www.scopus.com/inward/record.uri?eid=2-s2.0-85166307799&amp;doi=10.1016%2fj.iot.2023.100883&amp;partnerID=40&amp;md5=2b161f8c81519ccf2fcb1529c0a473ad</t>
  </si>
  <si>
    <t>P164</t>
  </si>
  <si>
    <t>Astor, Y.; Nabesima, Y.; Utami, R.; Sihombing, A.V.R.; Adli, M.; Firdaus, M.R.</t>
  </si>
  <si>
    <t>Unmanned aerial vehicle implementation for pavement condition survey</t>
  </si>
  <si>
    <t>The Utilization of Unmanned Aerial Vehicle (UAV) as a vehicle for comprehensive and fast road condition data acquisition is expected to minimize or even replace conventional road condition surveys in the field. In addition, the final UAV product in the form of a 2D/3D model of road conditions has been proven to be used as a medium for interpreting road damage and measuring the dimensions of road damage without having to do it in the field. The significant difference between this study and other studies is found in the use of the Surface Distress Index and Pavement Condition Index methods for assessing road conditions on the 2D/3D model of the UAV results. No research compares the use of the two methods in 2D/3D models. This research took photos of pavement conditions using drones to produce 2D and 3D models as visual media for assessing pavement conditions using the Pavement Condition Index and Surface Distress Index methods. The results of the assessment on the model compared with the assessment in the field. In comparison, the dimension level of accuracy of pavement distress in the model against the results of manual measurements in the field, edge cracking has the lowest accuracy value of 75.72%, and joint reflective crack has the highest accuracy value of 97.86%. The linear regression equation for the Pavement Condition Index method in the model against manual in the field is y = 0.931x + 3.6003 with a coefficient of determination r2 = 0.86 and an MSE of 121.333, while the linear regression equation for the Surface Distress Index method in the model against manual in the field is y = 0.5831x + 28.867 with a coefficient of determination that is r2 = 0.653 and MSE = 2115. Based on the comparison above, in this study, the application of UAV for pavement condition assessment is more precise using the Pavement Condition Index method. © 2023 The Author(s)</t>
  </si>
  <si>
    <t>Pavement distress; PCI; SDI; UAV; Antennas; Pavements; Unmanned aerial vehicles (UAV); 3D models; 3d-modeling; Aerial vehicle; Pavement condition indices; Pavement distress; PCI; Road condition; SDI; Surface distress; Unmanned aerial vehicle; Data acquisition</t>
  </si>
  <si>
    <t>10.1016/j.treng.2023.100168</t>
  </si>
  <si>
    <t>https://www.scopus.com/inward/record.uri?eid=2-s2.0-85149681140&amp;doi=10.1016%2fj.treng.2023.100168&amp;partnerID=40&amp;md5=ed763e42444ab01c3b99f7feeb914736</t>
  </si>
  <si>
    <t>P165</t>
  </si>
  <si>
    <t>Agnew, D.; Aguila, A.D.; Mcnair, J.</t>
  </si>
  <si>
    <t>Enhanced Network Metric Prediction for Machine Learning-Based Cyber Security of a Software-Defined UAV Relay Network</t>
  </si>
  <si>
    <t>Unmanned aerial vehicles (UAVs), e.g., drones, have become crucial assets in the military's fleet of vehicles. UAVs can provide limited bandwidth for tactical communications and can act as relays over battlefields. Modern drones provide much higher bandwidth than their legacy predecessors with dynamic antenna capabilities that would be useful in communicating around obstacles, such as urban corridors formed by rows of tall buildings that limit terrestrial lines of sight and attenuate high frequencies. While it is still more likely that one UAV is used for this purpose, a well-managed cluster of UAVs could increase the functionality of the entire terrestrial-drone network. Software-defined networking (SDN) is recognized as an effective way to manage distributed wireless networks. In our previous research, we used a software-defined UAV (SD-UAV) network to offer organized and secure communication resources and relaying capabilities to soldiers, military vehicles, and assets on the ground in a signal-challenged urban environment. Additionally, we developed a framework for detecting common multiple types of cyberattacks (black hole, gray hole, and jamming) using the Light Gradient Boosting machine learning algorithm. However, zero-day attacks are newly developed cyberattacks that can cause significant harm to the functionality of a SD-UAV network. Due to the novelty of these attacks, there is a lack of data samples for ML model training and testing. In order to tackle this problem, this paper provides a predictive queuing analysis of a SD-UAV network. To our knowledge, no previous work has proposed using queuing analysis to predict network performance statistics of SD-UAV networks for the purpose of enhancing security against zero-day cyberattacks. This analysis allows the network operator to calculate the expected theoretical values of the average interarrival time, transmission delay, and packet count of each SD-UAV in a swarm under normal, non-attack operating conditions. This allows the network operator to establish a normal baseline for ML training in order to compare and detect zero-day attacks by detecting any malicious or abnormal SD-UAV network behavior. In this study, we conduct an analysis, simulation, and discussion of the results of our predictive queuing analysis. Our simulation results confirm the accuracy of our predictive queuing analysis we obtained for the average interarrival times, transmission delay, and packet count for the SD-UAVs in the swarm. Our predictive queuing analysis enables the network operator to predict network performance statistics of the SD-UAVs for the purpose of enhancing security against zero-day cyberattacks.  © 2013 IEEE.</t>
  </si>
  <si>
    <t>cybersecurity; machine learning; Software-defined networking (SDN); UAVs; zero-day; Adaptive boosting; Aircraft detection; Antennas; Artificial intelligence; Bandwidth; Computer crime; Drones; Face recognition; Fleet operations; Learning systems; Military vehicles; Personnel training; Queueing networks; Queueing theory; Security systems; Software defined networking; Tall buildings; Zero-day attack; Aerial vehicle; Cyber security; Cyber-attacks; Machine-learning; Queueing analysis; Software-defined networking; Software-defined networkings; Training data; Unmanned aerial vehicle; Zero-day; Cybersecurity</t>
  </si>
  <si>
    <t>10.1109/ACCESS.2024.3387728</t>
  </si>
  <si>
    <t>https://www.scopus.com/inward/record.uri?eid=2-s2.0-85190336976&amp;doi=10.1109%2fACCESS.2024.3387728&amp;partnerID=40&amp;md5=ee42258dbcd233a790a7d3f8d6f6fe59</t>
  </si>
  <si>
    <t>P166</t>
  </si>
  <si>
    <t>Wei, S.; Fan, Z.; Chen, G.; Blasch, E.; Chen, Y.; Pham, K.</t>
  </si>
  <si>
    <t>TADAD: Trust AI-based Decentralized Anomaly Detection for Urban Air Mobility Networks at Tactical Edges</t>
  </si>
  <si>
    <t>Urban Air Mobility (UAM) networks pose challenges to confidentiality, availability, and integrity within security and safety concerns. Successfully planning and executing today's complex operations in defense of national interests requires timely, accurate, trusted, and unambiguous communications up, down, and across an extended chain of command spanning multi-national air, ground, sea, and cyber forces. Understanding the underlying reasons for predictions in machine learning (ML)-based spoofing detection is crucial for gaining insights into attack tactics while improving the detection accuracy, and informing mitigation strategies. ML prediction enhances the interpretability, trust, and accountability in unmanned systems security and enables proactive defense measures and informed decision-making. In this paper, we introduce a Trust AI-based Decentralized Anomaly Detection (TADAD) framework to enhance the UAM capability to allow secured data accessing and sharing with low-latency and high explainable reliability among aircraft and Air Traffic Service (ATS) providers or ground stations within dynamic network environments. TADAD extends the existing airborne networks to heterogeneous open networks with advanced and autonomous detection at tactical edges. TADAD utilizes a software-in-the-loop (SITL) simulator to emulate the data communication messages (e.g., MAVLink) among UAVs and generates both benign and attack samples. An ML-based approach is then developed to incorporate explainable artificial intelligence (AI) techniques, specifically Shapley Additive Explanations (SHAP), to analyze why a signal is classified as an anomaly. Our experimental study validates the performance of TADAD in detecting accuracy and explainability against typical cyber-attacks (e.g., GPS spoofing).  © 2024 IEEE.</t>
  </si>
  <si>
    <t>Air Traffic Service (ATS); Drone Resiliency; Explainable Artificial Intelligence (XAI); Hardware-In-The-Loop (HITL); Shapley Additive Explanations (SHAP); Urban Air Mobility (UAM); Additives; Air traffic control; Aircraft detection; Anomaly detection; Computer software; Cybersecurity; Decision making; Drones; Network security; Air traffic service; Air traffic services; Drone resiliency; Explainable artificial intelligence (XAI); Hardware in the loops; Hardware-in-the-loop; Shapley; Shapley additive explanation; Urban air; Urban air mobility; Air mobility</t>
  </si>
  <si>
    <t>10.1109/ICNS60906.2024.10550825</t>
  </si>
  <si>
    <t>https://www.scopus.com/inward/record.uri?eid=2-s2.0-85196787932&amp;doi=10.1109%2fICNS60906.2024.10550825&amp;partnerID=40&amp;md5=9abff39445dc85945df66dcbdf5fbbe3</t>
  </si>
  <si>
    <t>P167</t>
  </si>
  <si>
    <t>Nguyen, T.N.; Tu, L.-T.; Fazio, P.; Van Chien, T.; Le, C.V.; Binh, H.T.T.; Voznak, M.</t>
  </si>
  <si>
    <t>On the Dilemma of Reliability or Security in Unmanned Aerial Vehicle Communications Assisted by Energy Harvesting Relaying</t>
  </si>
  <si>
    <t>In this study, we investigate the trade-off between reliability and security in unmanned aerial vehicle (UAV) communications systems, considering a UAV-terrestrial network aided by a relay powered by a dedicated power beacon. For this system, we derive the outage probability (OP) under both exact and approximate frameworks and compute the approximations in the closed-form expressions. For the security aspect, we also derive the intercept probability (IP) under exact and approximated frameworks. To minimize the IP, a friendly jamming technique is employed whereby the power beacon constantly broadcasts artificial noise (AN) toward an eavesdropper. Based on the derived mathematical framework, we then formulate a bi-objective optimization problem by jointly minimizing the OP and IP with respect to the UAV's position and the time-switching (TS) ratio. A suitable algorithm, named non-dominated sorting genetic algorithm version II (NSGA-II), is deployed to obtain the sub-optimal solution. Finally, numerical results are presented to verify the accuracy of the proposed mathematical framework and the superiority of jointly minimizing both the OP and IP using only the channel statistics.  © 1983-2012 IEEE.</t>
  </si>
  <si>
    <t>Energy harvesting; intercept probability; outage probability; positioning; unmanned aerial vehicle; Antennas; Autonomous vehicles; Drones; Economic and social effects; Energy harvesting; Genetic algorithms; Internet protocols; Jamming; Network security; Vehicle to vehicle communications; Aerial vehicle; Intercept probability; Intercept probability network; Jamming; Optimisations; Outage probability; Positioning; Relay; Security; Unmanned aerial vehicle; Reliability</t>
  </si>
  <si>
    <t>10.1109/JSAC.2023.3322756</t>
  </si>
  <si>
    <t>https://www.scopus.com/inward/record.uri?eid=2-s2.0-85174832766&amp;doi=10.1109%2fJSAC.2023.3322756&amp;partnerID=40&amp;md5=da76557b17ed11e0923c64f211935e09</t>
  </si>
  <si>
    <t>P168</t>
  </si>
  <si>
    <t>Zhang, S.; Wang, R.; Wu, D.; Luo, C.</t>
  </si>
  <si>
    <t>Secure Wireless Networks: AI-Driven UAV Data Relay</t>
  </si>
  <si>
    <t>The openness of wireless networks makes sensing data collection tasks vulnerable to jamming attacks. Techniques such as frequency hopping or spoofing are not suitable for multiuser data transmission scenarios because they require additional channels or come at the expense of designated users&amp;#x2019; benefits. Unmanned aerial vehicles (UAVs), with their advantage of communication coverage and channel quality, have become an effective paradigm for anti-jamming through data relay. However, current research primarily focuses on transmitting devices in stationary environments. When these devices are in motion, such as in the case of UAVs performing data relay, they may encounter challenges including degradation in channel quality and failures in coverage. In this paper, we propose employing a UAV to consistently track mobile devices(MDs), ensuring superior channel quality while simultaneously providing data relay. To address the unpredictable movement of MDs and varying jamming power, we formulate the UAV&amp;#x2019;s interaction within the existing environment as a Markov Decision Process (MDP). Our approach involves joint optimization of UAV flight speed, direction, and relay decisions to minimize data transmission delay. We then propose the Deep Deterministic Policy Gradient (DDPG) to account for the non-convexity of the optimization problem. Additionally, we consider the complexity and frequency of the action space, decomposing it, and optimizing it by alternating between upper and lower-level policies. Experimental results demonstrate that the proposed scheme can quickly converge to the optimal solution, significantly reducing data transmission delays. IEEE</t>
  </si>
  <si>
    <t>Anti-jamming; Autonomous aerial vehicles; Consumer electronics; Data collection; Data communication; hierarchical reinforcement learning; Interference; Jamming; mobile wireless network; physical layer security; Relays; unmanned aerial vehicle; Antennas; Data acquisition; Data communication systems; Data transfer; Drones; E-learning; Jamming; Network layers; Network security; Reinforcement learning; Security systems; Vehicle to vehicle communications; Vehicle transmissions; Wireless networks; Aerial vehicle; Anti-jamming; Data collection; Data-communication; Hierarchical reinforcement learning; Interference; Jamming; Mobile wireless network; Physical layer security; Relay; Unmanned aerial vehicle; Markov processes</t>
  </si>
  <si>
    <t>10.1109/TCE.2024.3412097</t>
  </si>
  <si>
    <t>https://www.scopus.com/inward/record.uri?eid=2-s2.0-85196056784&amp;doi=10.1109%2fTCE.2024.3412097&amp;partnerID=40&amp;md5=d7a0319be012472cc9bfc61a4e18d5a7</t>
  </si>
  <si>
    <t>P169</t>
  </si>
  <si>
    <t>Lee, S.; Shin, J.S.</t>
  </si>
  <si>
    <t>A new location verification protocol and blockchain-based drone rental mechanism in smart farming</t>
  </si>
  <si>
    <t>In smart farming, information and communication technologies such as IoT are driving the agricultural industry towards improved efficiency and productivity while reducing human intervention. As agricultural systems become increasingly connected to the Internet, they provide many new opportunities but also introduce new challenges. Connecting such systems to a network exposes them to cyberattacks and vulnerabilities; therefore, security and privacy are important challenges that should be addressed. Specifically, because of the distinct characteristics of smart farming such as environmental and farm conditions, security solutions suitable for smart farming are indispensable. In this paper, we propose a location verification (LV) protocol as a security solution for autonomous and intelligent moving devices such as drones and robots deployed in smart farming. Moreover, as an application of the proposed LV protocol, we propose a blockchain-based secure drone rental mechanism for smart farming. We present a security analysis in which the proposed LV protocol and rental mechanism are secure against man-in-the-middle, impersonation, modification, replay, and relay attacks, with the rental mechanism providing mutual authentication. Through a performance evaluation of the LV protocol in terms of the communication overhead, computation cost, and storage cost and a performance evaluation of the blockchain for drone rental with regard to throughput and latency, we confirm the feasibility and efficiency of the LV protocol and drone rental mechanism in the smart farming. © 2023 The Authors</t>
  </si>
  <si>
    <t>Drone; Drone rental; Location verification; Moving device; Unmanned aerial vehicle (UAV); Agricultural robots; Agriculture; Antennas; Blockchain; Efficiency; Intelligent robots; Location; Aerial vehicle; Block-chain; Drone rental; Information and Communication Technologies; Location verification; Moving device; Performances evaluation; Security solutions; Unmanned aerial vehicle; Verification protocol; agroindustry; communication; farming system; innovation; robotics; security threat; unmanned vehicle; Drones</t>
  </si>
  <si>
    <t>10.1016/j.compag.2023.108267</t>
  </si>
  <si>
    <t>https://www.scopus.com/inward/record.uri?eid=2-s2.0-85173227058&amp;doi=10.1016%2fj.compag.2023.108267&amp;partnerID=40&amp;md5=2fb0464a8c3f4d648f1a5831923128ce</t>
  </si>
  <si>
    <t>P17</t>
  </si>
  <si>
    <t>Vitale, M.; Barresi, A.; Demichela, M.</t>
  </si>
  <si>
    <t>The Use of Aerial Platforms for Identification of Loss of Containment</t>
  </si>
  <si>
    <t>Containment leaks in process plants pose a substantial risk, leading to potential fires, explosions, and toxic releases. Given the complexity of spill detection, monitoring is essential to promptly identify LOCs and minimize consequences. For in-depth analysis, it is important to constantly monitor large areas over time to gain a global view and identify any changes. At the same time, immediate inspection provides detailed data in real-time, allowing you to respond quickly in critical situations and it is particularly useful for analysing specific details. The utilization of aerial platforms, such as unmanned aerial vehicles (UAVs or drones), can be adopted for instant inspections, significantly improving their effectiveness. Initially employed for monitoring civil structures, drones have found applications in the process industry due to their flexibility, versatility, and precision. Equipped with carefully chosen sensors, drones can provide detailed information by approaching dispersed gases, enabling accurate calculations of quantities. Additionally, drones equipped with cameras offer the capability to visualize released gases and detect small fires from a safe distance, allowing for detailed observation without direct exposure to potential dangers. This research represents a review of the state of the art with a specific focus on a gas, hydrogen, with significant potential to reduce environmental pollution and fossil fuel dependence. The wide flammability range and the low ignition heat of hydrogen pose risks of forming flammable mixtures with air during leaks, leading to spontaneous ignition. While existing studies have explored leak detection methodologies through mathematical models and laboratory-scale simulations, there is a gap in addressing real-scale hydrogen leak detection. The research proposes a meticulously designed monitoring system to safely identify hydrogen leaks, crucial in preventing potential jet fire phenomena when mixed with the surrounding air. Copyright © 2024, AIDIC Servizi S.r.l.</t>
  </si>
  <si>
    <t>10.3303/CET24111013</t>
  </si>
  <si>
    <t>https://www.scopus.com/inward/record.uri?eid=2-s2.0-85206528810&amp;doi=10.3303%2fCET24111013&amp;partnerID=40&amp;md5=41dfcf74803ea50ea9562e0a9cef4e33</t>
  </si>
  <si>
    <t>P170</t>
  </si>
  <si>
    <t>AL-Dosari, K.; Deif, A.M.; Kucukvar, M.; Onat, N.; Fetais, N.</t>
  </si>
  <si>
    <t>Security Supply Chain Using UAVs: Validation and Development of a UAV-Based Model for Qatar’s Mega Sporting Events</t>
  </si>
  <si>
    <t>Unmanned aircraft vehicles (UAVs) are now used to support security precautions in search and rescue operations to track and evaluate critical services, to provide cybersecurity measures by transporting security supply chain management (SCM) to sports events, and to aid efforts to safeguard the spectators from attacks. A drone may quickly fly over sports grounds, scan the area for potential dangers, and offer aerial footage and still photographs. Although UAVs provide benefits to their operators, there is a possibility that they may also pose cybersecurity threats. This guide offers recommendations for best security practices, intending to assist sports operators in protecting their networks, materials, and staff for Qatar’s mega sporting events. The literature comprises several theoretical frameworks and conceptual models for security supply chains. Unfortunately, there is no practical model for measuring the behavioral intentions of professional IT and security experts. Therefore, this study conducted research in two stages. In the first stage, an in-depth systematic literature review was conducted to identify the factors and themes of UAV-based SCM for security measures. In the second phase, a survey questionnaire (N = 712) was implemented, comprising the themes and items from the literature review among professional IT and security experts. Exploratory factor analysis (EFA) was carried out with IBM SPSS, and confirmatory factor analysis (CFA) was employed with IBM AMOS. This study proposed and developed a UAV-based SCM model to provide security for Qatar’s mega sporting events, which comprised five factors: traceability, security and privacy, trust, acceptability, and preparedness. This study also confirmed the validity and reliability of the newly developed scales, offering practical and proposed implications for the IT and security industries. The key findings of the study are: (1) a valid and reliable UAV-based cybersecurity framework for FIFA mega sporting events was developed; (2) five critical factors were identified, including traceability, security and privacy, trust, acceptability, and preparedness; (3) all factors were significantly and positively correlated, highlighting the complexity of managing security systems in mega sporting events. © 2023 by the authors.</t>
  </si>
  <si>
    <t>Qatar’s mega-sporting events; scale development; supply chain management (SCM); UAVs; Aerial photography; Decision making; Geological surveys; Supply chain management; Aircraft vehicles; Chain management; Cyber security; Professionals IT; Qatar’s mega-sporting event; Scale development; Security experts; Supply chain management; Unmanned aircraft vehicle; Unmanned aircrafts; Unmanned aerial vehicles (UAV)</t>
  </si>
  <si>
    <t>10.3390/drones7090555</t>
  </si>
  <si>
    <t>https://www.scopus.com/inward/record.uri?eid=2-s2.0-85172299515&amp;doi=10.3390%2fdrones7090555&amp;partnerID=40&amp;md5=f8875adbff02c26212f64b70d28c73c3</t>
  </si>
  <si>
    <t>P171</t>
  </si>
  <si>
    <t>Ghelani, J.; Gharia, P.; El-Ocla, H.</t>
  </si>
  <si>
    <t>Gradient Monitored Reinforcement Learning for Jamming Attack Detection in FANETs</t>
  </si>
  <si>
    <t>Unmanned Aerial Vehicles (UAVs) have several military and civilian applications to perform tasks that do not require a central processing unit or human involvement. There are various vulnerable characteristics, alternatively limitations, in UAV systems such as data loss, signals interference, disabling sensors, misleading weapons, cyber attacks, disrupting services, etc. Jamming attack is one of the cyber threats that likely lead to denial of service that often occurs in wireless communication systems like Flying ad hoc networks (FANETs) and Internet of Drones (IoD). Over years, there are several approaches proposed by researchers to detect jamming attacks such as rule-based jamming attack detection mechanism, Bayesian game-theoretic mechanism, IoD-based protection mechanism, communication channel techniques (channel hopping, spectrum spreading, MIMO-based jamming mitigation, coding, etc), delay tolerant networking technique, and cryptographic algorithms, however, these methods were not suitable for jamming detection in UAV environment. The major challenges are on the delivery efficiency, processing time, accuracy, energy consumption, flight distance, and flight autonomy. In this paper, we introduce a method to detect the jamming attack using Reinforcement Learning-based Gradient Monitored (RLGM) mechanism. RLGM maintains safe regions and reduces gradient variance for intended training and this provides a better accuracy of the learning goal. In addition, RLGM achieves prompt training progress and selects precisely the series of parameters required by the network during the training phase. RLGM produces spontaneous derivation of the essential deep network scale over the training process drawing on automatically unvarying trained weights. Our proposed approach outperforms other reinforcement learning methods such as Federated RL, Deep Q Learning (DQL), in addition to non-machine learning based techniques such as GA-AOMDV.  © 2013 IEEE.</t>
  </si>
  <si>
    <t>Ad hoc; attack; FANET; flying ad hoc network; gradient and detection; jamming; learning; network; Q learning; reinforcement; Aircraft detection; Antennas; Deep learning; Denial-of-service attack; Drones; Energy utilization; Game theory; Jamming; Learning algorithms; Military applications; Military vehicles; MIMO systems; Network security; Program processors; Ad hoc; Ad-hoc networks; Attack; Energy-consumption; Flying ad hoc network; Jamming; Learning; Network; Q-learning; Reinforcement learnings; Routings; Reinforcement learning</t>
  </si>
  <si>
    <t>10.1109/ACCESS.2024.3361945</t>
  </si>
  <si>
    <t>https://www.scopus.com/inward/record.uri?eid=2-s2.0-85184826931&amp;doi=10.1109%2fACCESS.2024.3361945&amp;partnerID=40&amp;md5=555a25495a26720a033a1c823d60e883</t>
  </si>
  <si>
    <t>P172</t>
  </si>
  <si>
    <t>AlRushood, M.A.; Rahbar, F.; Selim, S.Z.; Dweiri, F.</t>
  </si>
  <si>
    <t>Accelerating Use of Drones and Robotics in Post-Pandemic Project Supply Chain</t>
  </si>
  <si>
    <t>The global COVID-19 pandemic forced the construction industry to a standstill. In the wake of the pandemic, this sector must be prepared to make bold, innovative moves to prepare for the future. Over the past few years, the use of drones and robotics has expanded with many commercial uses, including in the construction industry. Drone-driven automation has an enormous impact in improving productivity and reducing cost and schedule overruns. The use of drones, along with the application of Internet of Things (IoT) and robotics, can make a significant impact on the supply chain and improve inventory accuracy, leading to faster and more cost-effective building projects. This paper will propose and statistically substantiate an optimization model for supply chain management through the accelerated use of drones and Artificial Intelligence (AI) in the post-pandemic era. The use of smart devices and IoT will allow warehouse managers to have real-time visibility of the location and inventory tracking, as well as enabling warehouse workers to access information without being physically present. Cutting-edge drone technology can quickly perform inspections to make inventory control more economical and efficient. While they are certainly not a perfect fit for every building surveillance task, drones have many advantages for probing buildings in search of leaks, performing aerial surveys, and dealing with security issues more cost-effectively than manual procedures, thereby leading to improved communication and collaboration between different stakeholders. This paper includes a real-life case study and dynamic mathematical model to demonstrate how this approach results in a project’s materials becoming visible, traceable, and easily tracked from end to end. © 2023 by the authors.</t>
  </si>
  <si>
    <t>drones; IoT; pandemic; projects; supply chain; UAVs; Cost reduction; Critical path analysis; Inspection; Supply chain management; Building projects; Chain management; Commercial use; Cost and schedule; Cost effective; Inventory accuracy; Optimization models; Pandemic; Project; Reducing costs; Inventory control</t>
  </si>
  <si>
    <t>10.3390/drones7050313</t>
  </si>
  <si>
    <t>https://www.scopus.com/inward/record.uri?eid=2-s2.0-85160278370&amp;doi=10.3390%2fdrones7050313&amp;partnerID=40&amp;md5=33fa29dca7a83d713305733ee7afd297</t>
  </si>
  <si>
    <t>P173</t>
  </si>
  <si>
    <t>Rajora, R.; Rajora, A.; Sharma, B.; Aggarwal, P.; Thapliyal, S.</t>
  </si>
  <si>
    <t>The Impact of the IoT on Military Operations: A Study of Challenges, Applications, and Future Prospects</t>
  </si>
  <si>
    <t>Military operations are evolving rapidly due to technology. With its many innovations, IoT has transformed military operations. This research explores how IoT technology influences military combat efficiency, effectiveness, and security. The military must convert from traditional to networked and data-driven operations to use IoT. This trend impacts military strategy, decision-making, and personnel welfare. The IoT can track assets in real time, monitor troop health, ensure safe supply chain management, forecast equipment repair requirements, and convert UAVs and drones. Durable communication networks boost connection and data sharing for military tasks. However, military IoT integration is difficult. Military networks are sensitive and vulnerable to cyberattacks, making security and data privacy essential. Complex concerns include interoperability, scalability, power management, environmental resilience, network congestion, and legal and ethical restrictions. Cutting-edge technology, strict cybersecurity requirements, and strategic planning are needed to optimize IoT advantages including security and efficiency. This study seeks to discuss military growth through technological change. This study emphasizes security, privacy, and operational effectiveness while utilizing IoT in military contexts.  © 2024 IEEE.</t>
  </si>
  <si>
    <t>Battlefield Applications; Internet of Things; Military Technology; Sustainable Military Operations; UAV; Data privacy; Decision making; Efficiency; Environmental regulations; Military applications; Military operations; Network security; Supply chain management; Unmanned aerial vehicles (UAV); Application prospect; Battlefield application; Combat efficiency; Data driven; Future prospects; Management forecasts; Military technology; Real time monitors; Strategy decision makings; Sustainable military operation; Internet of things</t>
  </si>
  <si>
    <t>10.1109/ICIPTM59628.2024.10563671</t>
  </si>
  <si>
    <t>https://www.scopus.com/inward/record.uri?eid=2-s2.0-85197701205&amp;doi=10.1109%2fICIPTM59628.2024.10563671&amp;partnerID=40&amp;md5=cffa703fcc0f01d1a947fde93a6beb52</t>
  </si>
  <si>
    <t>P174</t>
  </si>
  <si>
    <t>Almeida, A.; Asif, M.; Rahman, M.T.; Rahman, M.A.</t>
  </si>
  <si>
    <t>Side-Channel-Driven Intrusion Detection System for Mission Critical Unmanned Aerial Vehicles</t>
  </si>
  <si>
    <t>Hardware Trojans (HTs) are gradually becoming a growing threat in the IoT landscape. This type of attack can result in catastrophic incidents for unmanned aerial vehicles (UAVs). Examples of these incidents could be information leakage, drone malfunction, which leads to crashes, and data integrity issues in information gathered by the sensors. Other papers have tried to resolve this issue by focusing on enhancing encryption and hardening the physical properties of the device to restrict information leakage. However, this research aims to demonstrate the efficacy of a side channel-based intrusion detection technique. This technique uses machine learning to detect HTs. We test this by constructing a PWM-inverting HT and implementing it into a UAV with a Pixhawk flight controller. By doing so, we demonstrate how this Intrusion Detection System (IDS) technique effectively detects incidents related to HT implementation on UAVs, analyzing discrepancies in the system's impedance. Our proposed IDS yields ROC and accuracy scores up to 99.5% and 98%, respectively, in detecting HTs.  © 2024 IEEE.</t>
  </si>
  <si>
    <t>hardware Trojans; impedance analysis; intrusion detection; side-channel analysis; Unmanned Aerial Vehicles; Aircraft detection; Antennas; Hardware security; Malware; Network security; Side channel attack; Unmanned aerial vehicles (UAV); Aerial vehicle; Catastrophic incidents; Impedance analyze; Information leakage; Intrusion Detection Systems; Intrusion-Detection; Mission critical; Side-channel; Side-channel analysis; Unmanned aerial vehicle; Intrusion detection</t>
  </si>
  <si>
    <t>10.1109/ISQED60706.2024.10528691</t>
  </si>
  <si>
    <t>https://www.scopus.com/inward/record.uri?eid=2-s2.0-85194108689&amp;doi=10.1109%2fISQED60706.2024.10528691&amp;partnerID=40&amp;md5=9d41d09d794496c882d7468acd58944f</t>
  </si>
  <si>
    <t>P175</t>
  </si>
  <si>
    <t>Deng, M.; Yao, Z.; Li, X.; Wang, H.; Nallanathan, A.; Zhang, Z.</t>
  </si>
  <si>
    <t>Dynamic Multi-Objective AWPSO in DT-Assisted UAV Cooperative Task Assignment</t>
  </si>
  <si>
    <t>In recent years, more and more attention has been paid to the unmanned aerial vehicle (UAV) cooperative task assignment. In order to complete the task with the lowest cost, some researchers use multi-objective optimization to solve the assignment problem. But few of them consider the complex dynamic scenarios. In this article, the time-varying resource supply and demands are provided by established digital twins (DTs) of UAVs and targets, thereby enabling accurate decision guidance for dynamic task assignment. It takes the scheduling cost, path cost, risk cost and total task time cost as the optimization objectives. To solve this model, an improved dynamic multi-objective adaptive weighted particle swarm Optimization algorithm (DMOAWPSO) is proposed. In the initialization stage, a heuristic method is used to increase the effectiveness of the solution. Besides, the adaptive mutation and subgroup methods are adopted to improve the diversity of the solution. Then, effective environment change detection and response strategies are designed to adapt to dynamic scenarios. Finally, the evaluation metrics are calculated in different instances. Compared with the popular and classic dynamic multi-objective algorithms, the simulation results verify that the proposed algorithm is effective and can cope with the environment changes better in solving the task assignment problem.  © 1983-2012 IEEE.</t>
  </si>
  <si>
    <t>digital twin; Dynamic multi-objective optimization; evolutionary algorithm; task assignment; UAV; Antennas; Combinatorial optimization; Costs; Drones; Heuristic methods; Job analysis; Multiobjective optimization; Particle swarm optimization (PSO); Signal detection; Aerial vehicle; Change detection algorithms; Dynamic multiobjective optimization; Heuristics algorithm; Jamming; Multi objective; Task analysis; Tasks assignments; Unmanned aerial vehicle; Weapon; Heuristic algorithms</t>
  </si>
  <si>
    <t>10.1109/JSAC.2023.3310056</t>
  </si>
  <si>
    <t>https://www.scopus.com/inward/record.uri?eid=2-s2.0-85169664239&amp;doi=10.1109%2fJSAC.2023.3310056&amp;partnerID=40&amp;md5=4482dfe033aba8acd1727920a0c9c68e</t>
  </si>
  <si>
    <t>P176</t>
  </si>
  <si>
    <t>Yin, Z.; Li, J.; Wang, Z.; Qian, Y.; Lin, Y.; Shu, F.; Chen, W.</t>
  </si>
  <si>
    <t>UAV Communication Against Intelligent Jamming: A Stackelberg Game Approach with Federated Reinforcement Learning</t>
  </si>
  <si>
    <t>This paper proposes a novel anti-intelligent jamming framework for unmanned aerial vehicle (UAV) networks. Multiple UAV-to-UAV communication pairs aim to maximize their sum rates with minimal power consumption, where each UAV adaptively adjusts its transmit channel and power in a distributed way to avoid intelligent jamming and co-channel interference. A ground jammer attempts to disrupt the communication quality of the UAV network by adaptively altering its jamming channel and power. We model the anti-jamming problem as a stochastic Stackelberg game, where the intelligent jammer is the leader and the UAV pairs are the followers. Considering that both parties are unwilling to share their utility functions and transmission policies, we propose reinforcement learning (RL) algorithms to solve the best response policies of each agent in the game. We adopt deep Q network (DQN) algorithm to decide the jamming policy at the jammer and propose a decentralized federated learning-assisted DQN algorithm to determine the collaborative anti-jamming policies at the UAV pairs. Simulation results demonstrate that the performance of the proposed algorithm achieves an improvement of 23.3% in anti-jamming performance compared with the independent DQN algorithm. © 2017 IEEE.</t>
  </si>
  <si>
    <t>anti-jamming; federated reinforcement learning; resource allocation; stochastic Stackelberg game; UAV; Antennas; Drones; Jamming; Learning algorithms; Random processes; Security systems; Signal receivers; Signal to noise ratio; Stochastic models; Stochastic systems; Aerial vehicle; Anti-jamming; Federated reinforcement learning; Game; Jamming; Receiver; Reinforcement learnings; Resources allocation; Stackelberg Games; Stochastic stackelberg game; Stochastics; Unmanned aerial vehicle; Reinforcement learning</t>
  </si>
  <si>
    <t>10.1109/TGCN.2024.3373886</t>
  </si>
  <si>
    <t>https://www.scopus.com/inward/record.uri?eid=2-s2.0-85187383875&amp;doi=10.1109%2fTGCN.2024.3373886&amp;partnerID=40&amp;md5=06de4171cf5f5c3b84e5e18921666b1e</t>
  </si>
  <si>
    <t>P177</t>
  </si>
  <si>
    <t>Saneiyan, S.; Mansourian, D.</t>
  </si>
  <si>
    <t>Locating undocumented orphaned oil and gas wells with smartphones</t>
  </si>
  <si>
    <t>It is estimated that about 3 million orphaned and abandoned oil and gas wells exist in the U.S. that are leaking greenhouse gases and dangerous chemicals into the environment and thus pose both environmental and health risks to the public. Although about 130,000 of these wells have been identified, a large portion of them have either missing or incomplete documents making them difficult to locate and plug. Most of these wells have been out of use since early 1900s and may be missing wellheads or are rusted and covered by overgrown vegetation. Therefore, they are difficult to visibly notice and locate. However, the majority of them used one form of iron alloy casings. Such alloys are magnetic material that can be sensed by magnetometers. Most smartphones nowadays come with a magnetometer (as a compass) sensor. Here we utilize an iPhone 12 mini for the purpose of locating two abandoned wells (one with an exposed wellhead and one without any visible signs at the surface). We designed a simple unmanned aerial vehicle (UAV) survey setup where the iPhone 12 mini was put inside a custom-made sleeve and hung from a DJI Phantom 4 drone at about 1.5 m below the drone. We surveyed the two sites by flying the drone at three different altitudes, 10 m, 15 m, and 20 m above ground level (AGL). Our results show that at altitude of 10 m AGL the iPhone 12 mini magnetometer could pick the magnetic anomaly of either of the wells at intensities ≥52 μT; sufficient to accurately locate the wells. At altitude of 15 m AGL the iPhone 12 mini was able to locate the wells but within ∼5 m radius of the actual wells' location, and it was unable to detect any magnetic anomalies at 20 m AGL. This UAV setup cost about $2000 and was simple to operate. No data processing was done to create the magnetic maps showing where the wells were located in the survey areas. Thus, this setup is accessible to a broad range of users who are looking for ways to locate orphaned wells fast and easily. © 2023 The Authors</t>
  </si>
  <si>
    <t>Drone; Magnetometry; Oil and gas; Orphaned wells; Smartphone; UAV; Antennas; Electromagnetic waves; Health risks; Iron alloys; Location; Magnetometers; Magnetometry; Risk perception; Smartphones; Above ground level; Aerial vehicle; Greenhouses gas; Magnetic anomalies; Oil and gas; Oil and gas well; Orphaned well; Simple++; Smart phones; Unmanned aerial vehicle; data processing; gas well; greenhouse gas; magnetic anomaly; magnetometer; oil well; unmanned vehicle; wellhead; Drones</t>
  </si>
  <si>
    <t>10.1016/j.jappgeo.2023.105224</t>
  </si>
  <si>
    <t>https://www.scopus.com/inward/record.uri?eid=2-s2.0-85175701315&amp;doi=10.1016%2fj.jappgeo.2023.105224&amp;partnerID=40&amp;md5=740b699e393222674d8667a77c717d01</t>
  </si>
  <si>
    <t>P178</t>
  </si>
  <si>
    <t>Svaigen, A.R.; Boukerche, A.; Ruiz, L.B.; Loureiro, A.A.F.</t>
  </si>
  <si>
    <t>Trajectory Matters: Impact of Jamming Attacks Over the Drone Path Planning on the Internet of Drones</t>
  </si>
  <si>
    <t>The Internet of Drones (IoD) is a network paradigm where drones will fly over well-defined airways. The Jamming Attack (JA) poses a severe risk to IoD, affecting the drone's trajectory. Although JA has been investigated in UAV-based networks, the current solutions consider the airspace free to fly, whereas IoD allows drones to fly over constrained airspace, named airways. This study investigates the impact of JA over IoD, mainly regarding the drone path planning and, therefore, the drone trajectory. Also, we conduct a thorough discussion regarding the current challenges. To overcome these challenges, we propose the IoD-JAPM, an airway-aware protection mechanism against JA on the IoD, ranging from analyzing the airway's availability to the potential reformulation of the drone path planning. We perform an experimental evaluation through simulations to compare IoD-JAPM with a baseline solution and an existing approach that considers the airspace free to fly, varying the IoD topology and the number of jammers in the environment. We analyze four different metrics to measure at what level IoD-JAPM can mitigate a JA. Through the results, we observe a relation between the impact of JA on the drone path planning and the robustness of the topology, where the more restricted the topology, the more impact JA causes. Also, IoD-JAPM mitigates the effects of JA on path planning, causing few reformulations or even flight cancellations. Specifically, IoD-JAPM prevents all drones from being attacked when the environment has one jammer and mitigates the attack at 30% for two jammers. Furthermore, IoD-JAPM overcomes the baseline study regarding the increasing drone flight distance, and power consumption. Since the drone propellers affect most of the drone battery, the more the flight distance the more the power consumption. Also, the results reinforce that “free-to-fly” approaches cannot be applied in airway-oriented environments with strong jamming signals. In a nutshell, IoD-JAPM represents a robust protection mechanism against JA considering the aerial space defined through airways, advancing the state of the art of IoD-based protection mechanisms against JA. © 2023 Elsevier B.V.</t>
  </si>
  <si>
    <t>Internet of Drones; Jamming Attack; UAV-based network; Antennas; Electric power utilization; Jamming; Motion planning; Topology; Trajectories; 'current; Baseline studies; Experimental evaluation; Flight cancellation; Internet of drone; Jammers; Jamming attacks; Over-constrained; Protection mechanisms; UAV-based network; Drones</t>
  </si>
  <si>
    <t>10.1016/j.adhoc.2023.103179</t>
  </si>
  <si>
    <t>https://www.scopus.com/inward/record.uri?eid=2-s2.0-85153685010&amp;doi=10.1016%2fj.adhoc.2023.103179&amp;partnerID=40&amp;md5=14e305201db17d96203bdf6f534d214f</t>
  </si>
  <si>
    <t>P179</t>
  </si>
  <si>
    <t>8th International Workshop on Advanced Computational Intelligence and Intelligent Informatics, IWACIII 2023</t>
  </si>
  <si>
    <r>
      <t>The proceedings contain 57 papers. The special focus in this conference is on Advanced Computational Intelligence and Intelligent Informatics. The topics include: Construction and Research of Pediatric Pulmonary Disease Diagnosis and Treatment Experience Knowledge Graph Based on Professor Wang Lie’s Experience; A Novel SEIAISRD Model to Evaluate Pandemic Spreading; keyword-based Research Field Discovery with External Knowledge Aware Hierarchical Co-clustering; an End-to-End Intent Recognition Method for Combat Drone Swarm; an Attention Detection System Based on Gaze Estimation Using Self-supervised Learning; effects of Pseudo Labels in Pose Estimation Models Using Semi-supervised Learning; sequential Masking Imitation Learning for Handling Causal Confusion in Autonomous Driving; proposal of Timestamp-Based Dynamic Context Features for Music Recommendation; method to Control Embedded Representation of Piece of Music in Playlists; Reducing Communication Consumption in Collaborative Visual SLAM with Map Point Selection and Efficient Data Compression; Design and Implementation of ANFIS on FPGA and Verification with Class Classification Problem; beacon Localization Method Based on Flower Pollination-Fireworks Algorithm; parameter Identification for Fictitious Play Algorithm in Repeated Games; an Improved Hypervolume-Based Evolutionary Algorithm for Many-Objective Optimization; reinforcement Learning-Based Policy Selection of Multi-sensor Cyber Physical Systems Under DoS Attacks;</t>
    </r>
    <r>
      <rPr>
        <sz val="11"/>
        <color rgb="FFFF0000"/>
        <rFont val="Calibri"/>
        <family val="2"/>
        <scheme val="minor"/>
      </rPr>
      <t xml:space="preserve"> A UAV Penetration Method Based on the Improved A* Algorithm;</t>
    </r>
    <r>
      <rPr>
        <sz val="11"/>
        <color theme="1"/>
        <rFont val="Calibri"/>
        <family val="2"/>
        <scheme val="minor"/>
      </rPr>
      <t xml:space="preserve"> Hybrid D-DEPSO for Multi-objective Task Assignment in Hospital Inspection; an Analysis of the Generalized Tit-for-Tat Strategy Within the Framework of Memory-One Strategies; stochastic Resource Allocation with Time Windows; optimal Information Fusion Descriptor Fractional Order Kalman Filter; multi-sensor Data Fusion Algorithm for Indoor Fire Detection Based on Ensemble Learning; research on Water Surface Environment Perception Method Based on Visual and Positional Information Fusion; Novel Fault Diagnosis Method Integrating D-L2-FDA and AdaBoost; structural Health Monitoring of Similar Gantry Crane Based on Federated Learning Algorithm.</t>
    </r>
  </si>
  <si>
    <t>https://www.scopus.com/inward/record.uri?eid=2-s2.0-85176932729&amp;partnerID=40&amp;md5=7b1f2bd890f51cdc5106401117c70b1f</t>
  </si>
  <si>
    <t>P18</t>
  </si>
  <si>
    <t>Petro, P.; Bauer, P.</t>
  </si>
  <si>
    <t>Mono camera-based GPS spoofing detection for aerial vehicles</t>
  </si>
  <si>
    <t>This paper presents mono camera-based GPS spoofing detection for aerial vehicles utilizing only image information besides the initial orientation of the vehicle. Orientation information is propagated and motion direction is estimated solely from the mono camera images through the estimation of the essential matrix. Histograms of Oriented Displacements and their correlation are considered to detect spoofing considering GPS and image-based data. Straight and turning simulated fight trajectories of a fixed wing research drone with different turbulence levels are compared to evaluate the method. The results are promising with timely detection of every spoofing scenario and without false alarm. The exploration of real fight data is the topic of future development.  © 2024 The Authors. This is an open access article under the CC BY-NC-ND license.</t>
  </si>
  <si>
    <t>GPS spoofing detection; mono camera relative motion; UAV; Global positioning system; Motion estimation; Unmanned aerial vehicles (UAV); Aerial vehicle; Camera images; Camera-based; GPS spoofing detection; Image information; Initial orientation; Mono camera relative motion; Motion direction; Orientation information; Relative motion; Aircraft detection</t>
  </si>
  <si>
    <t>10.1016/j.ifacol.2024.07.205</t>
  </si>
  <si>
    <t>https://www.scopus.com/inward/record.uri?eid=2-s2.0-85202902745&amp;doi=10.1016%2fj.ifacol.2024.07.205&amp;partnerID=40&amp;md5=88153416f1521eefad3021579044342d</t>
  </si>
  <si>
    <t>P180</t>
  </si>
  <si>
    <t>Hicks, D.; Benkhelifa, F.; Ahmad, Z.; Statheros, T.; Saied, O.; Kaiwartya, O.; Alsallami, F.M.</t>
  </si>
  <si>
    <t>Securing Non-Terrestrial FSO Link with Public Key Encryption against Flying Object Attacks</t>
  </si>
  <si>
    <t>Free Space Optical (FSO) communication has potential terrestrial and non-terrestrial applications. It allows large bandwidth for higher data transfer capacity. Due to its high directivity, it has a potential security advantage over traditional radio frequency (RF) communications. However, eavesdropping attacks are still possible in long non-terrestrial transmission FSO links, where the geometry of the link allows foreign flying objects such as Unmanned Aerial vehicles (UAVs) and drones to interrupt the links. This exposes non-terrestrial FSO links to adversary security attacks. Hence, data security techniques implementation is required to achieve immune FSO communication links. Unlike the commonly proposed physical layer security techniques, this paper presents a lab-based demonstration of a secured FSO communication link based on data cryptography using the GNU Radio platform and software-defined radio (SDR) hardware. The utilized encryption algorithm (Xsalsa20) in this paper requires high-time complexity to be broken by power-limited flying objects that interrupt the FSO beam. The results show that implementing cryptographic encryption techniques into FSO systems provided resilience against eavesdropping attacks and preserved data security. The experiment results show that, at a distance of 250 mm and laser output power of 10 mW, the system achieves a packet delivery rate of 92 (Formula presented.) and transmission rate of 10 Mbit/s. This is because the SDR used in this experiment requires a minimum received electrical amplitude of 27.5 mV to process the received signal. Long distance and higher data rates can be achieved using less sensitive SDR hardware. © 2023 by the authors.</t>
  </si>
  <si>
    <t>data security; free space optical communication; non-terrestrial communication; public key encryption; UAV</t>
  </si>
  <si>
    <t>10.3390/photonics10080884</t>
  </si>
  <si>
    <t>https://www.scopus.com/inward/record.uri?eid=2-s2.0-85168878710&amp;doi=10.3390%2fphotonics10080884&amp;partnerID=40&amp;md5=ccdab4357d9195c56dabb2bd1d2d48a8</t>
  </si>
  <si>
    <t>P181</t>
  </si>
  <si>
    <t>Licea, D.B.; Silano, G.; Ghogho, M.; Saska, M.</t>
  </si>
  <si>
    <t>OMNIDIRECTIONAL MULTI-ROTOR AERIAL VEHICLE POSE OPTIMIZATION: A NOVEL APPROACH TO PHYSICAL LAYER SECURITY</t>
  </si>
  <si>
    <t>The integration of Multi-Rotor Aerial Vehicles (MRAVs) into 5G and 6G networks enhances coverage, connectivity, and congestion management. This fosters communication-aware robotics, exploring the interplay between robotics and communications, but also makes the MRAVs susceptible to malicious attacks, such as jamming. One traditional approach to counter these attacks is the use of beamforming on the MRAVs to apply physical layer security techniques. In this paper, we explore pose optimization as an alternative approach to countering jamming attacks on MRAVs. This technique is intended for omnidirectional MRAVs, which are drones capable of independently controlling both their position and orientation, as opposed to the more common under-actuated MRAVs whose orientation cannot be controlled independently of their position. In this paper, we consider an omnidirectional MRAV serving as a Base Station (BS) for legitimate ground nodes, under attack by a malicious jammer. We optimize the MRAV pose (i.e., position and orientation) to maximize the minimum Signal-to-Interference-plus-Noise Ratio (SINR) over all legitimate nodes. ©2024 IEEE.</t>
  </si>
  <si>
    <t>communication-aware robotics; jamming; multirotor systems; relay; trajectory planning; UAVs; 5G mobile communication systems; Jamming; Network layers; Network security; Omnidirectional antennas; Robot programming; Aerial vehicle; Communication-aware; Communication-aware robotic; Jamming; Multi rotors system; Optimisations; Physical layer security; Relay; Trajectory Planning; Vehicle pose; Signal to noise ratio</t>
  </si>
  <si>
    <t>10.1109/ICASSP48485.2024.10447876</t>
  </si>
  <si>
    <t>https://www.scopus.com/inward/record.uri?eid=2-s2.0-85193783761&amp;doi=10.1109%2fICASSP48485.2024.10447876&amp;partnerID=40&amp;md5=0b2b5504770dc8cc1e6c240b23f8c4b4</t>
  </si>
  <si>
    <t>P182</t>
  </si>
  <si>
    <t>International Conference on Intelligent Systems and Smart Technologies, I2ST 2023</t>
  </si>
  <si>
    <r>
      <t xml:space="preserve">The proceedings contain 35 papers. The special focus in this conference is on Intelligent Systems and Smart Technologies. The topics include: </t>
    </r>
    <r>
      <rPr>
        <sz val="11"/>
        <color rgb="FFFF0000"/>
        <rFont val="Calibri"/>
        <family val="2"/>
        <scheme val="minor"/>
      </rPr>
      <t>DoS and DDoS Cyberthreats Detection in Drone Networks</t>
    </r>
    <r>
      <rPr>
        <sz val="11"/>
        <color theme="1"/>
        <rFont val="Calibri"/>
        <family val="2"/>
        <scheme val="minor"/>
      </rPr>
      <t>; artificial Intelligence in Supply Chain 4.0: Using Machine Learning in Demand Forecasting; COVID-19 Prediction Applying Machine Learning and Ontological Language; EEG-Based Drivers Drowsiness Prediction Using Personalized Features Extraction and Classification Methods Under Python; a Systematic Review on Blind and Visually Impaired Navigation Systems; Comparison of Deep Learning-Based Channel Estimator and Classical Estimators in VANET; decision Support Systems Based on Artificial Intelligence for Supply Chain Management: A Literature Review; a New Design of 5G Planar Antenna with Enhancement of the Gain Using Array Antenna; Minimization of Task Offloading Latency for COVID-19 IoT Devices; machine Learning, Deep Learning, and Computer Vision for Age and Gender Detection; grape and Apple Plant Diseases Detection Using Enhance DenseNet121 Based Convolutional Neural Network; operational Code Based on the Lattice Boltzmann Method for Coastal Flows: Application to Oualidia Lagoon; the Use of Chatbots as Supportive Agents in Air Transportation Systems; the Conception of a Controlled Trigonometric Phase Locked Loop Working Under Grid Anomalies Conditions; a Deep Learning Model for Intrusion Detection with Imbalanced Dataset; towards Complex Systems Behavioral Prediction: A Survey of Artificial Intelligence Applications; chaotic Image Encryption Scheme Based on Double Substitution and Diffusion Process; temperature Forecast Using Machine Learning; Improved YOLOv7 Models with Attention Mechanism for Inspection of Broken Glass Insulator on Power Line UAV Images; Physics-Informed Neural Network with PDE Soft Constraint Regularization Invariance.</t>
    </r>
  </si>
  <si>
    <t>https://www.scopus.com/inward/record.uri?eid=2-s2.0-85187995407&amp;partnerID=40&amp;md5=8ddabe121b3722f46c97173f8de01a55</t>
  </si>
  <si>
    <t>P183</t>
  </si>
  <si>
    <t>16th International Conference on Verification and Evaluation of Computer and Communication Systems, VECoS 2023</t>
  </si>
  <si>
    <t>The proceedings contain 12 papers. The special focus in this conference is on Verification and Evaluation of Computer and Communication Systems. The topics include: Blockchain-Based Trust Management for IoMT Environment; Command &amp; Control in UAVs Fleets: Coordinating Drones for Ground Missions in Changing Contexts; Verified High Performance Computing: The SyDPaCC Approach; A QoE Driven DRL Approach for Network Slicing Based on SFC Orchestration in SDN/NFV Enabled Networks; on Language-Based Opacity Verification Problem in Discrete Event Systems Under Orwellian Observation; an Enhanced Interface-Based Probabilistic Compositional Verification Approach; a Sound Abstraction Method Towards Efficient Neural Networks Verification; Towards Formal Verification of Node RED-Based IoT Applications; formal Verification of a Post-quantum Signal Protocol with Tamarin; a Comparative Study of Online Cybersecurity Training Platforms.</t>
  </si>
  <si>
    <t>https://www.scopus.com/inward/record.uri?eid=2-s2.0-85180734282&amp;partnerID=40&amp;md5=d7e11d8b1044f915bb9ad27f3daff08f</t>
  </si>
  <si>
    <t>P184</t>
  </si>
  <si>
    <t>Ivanytskyi, M.; Averyanova, Y.; Znakovska, Y.</t>
  </si>
  <si>
    <t>Security Analysis of Meteorological Support Software for UAS Flight Planning</t>
  </si>
  <si>
    <t>The unmanned aircraft system (UAS) operation depends on the weather significantly. This was the motivation to develop the decision support system that analyzes the range of factors including general and operative weather, type of aircraft, mission sensors, and area of flight to help remote pilots in their decision-making at the pre-flight stage and during the flight operation. Taking into account the cyber-physical nature of modern UAS it is important to evaluate the possible cyber risks that can be encountered during the operation of developed software. In this paper, the attack trees are built to understand how and for what reasons attacks on the software environment, database, or drone used to carry out the mission occur. The consequences of the cyber hazards are analyzed and some decisions on risk mitigations are made. © The Author(s), under exclusive license to Springer Nature Switzerland AG 2024.</t>
  </si>
  <si>
    <t>Air Navigation; Cyber threats; Decision Support; Risk analysis; Software; UAS; Weather hazards; Air navigation; Artificial intelligence; Cybersecurity; Decision making; Decision support systems; Hazards; Risk assessment; Trees (mathematics); Unmanned aerial vehicles (UAV); Cyber threats; Decision supports; Decisions makings; Flight planning; Security analysis; Software; Systems operation; Unmanned aircraft system; Weather hazards; Weather types; Risk analysis</t>
  </si>
  <si>
    <t>10.1007/978-3-031-60549-9_37</t>
  </si>
  <si>
    <t>https://www.scopus.com/inward/record.uri?eid=2-s2.0-85195319039&amp;doi=10.1007%2f978-3-031-60549-9_37&amp;partnerID=40&amp;md5=889d86e588ede869ba36be04c02e1fd9</t>
  </si>
  <si>
    <t>P185</t>
  </si>
  <si>
    <t>Oliveira, A.M.; Morais, A.S.; Lima, G.V.; Souza, R.M.J.A.; Oliveira-Lopes, L.C.</t>
  </si>
  <si>
    <t>Detection of Volatile Organic Compounds (VOCs) in Indoor Environments Using Nano Quadcopter</t>
  </si>
  <si>
    <t>The dispersion of chemical gases poses a threat to human health, animals, and the environment. Leaks or accidents during the handling of samples and laboratory materials can result in the uncontrolled release of hazardous or explosive substances. Therefore, it is crucial to monitor gas concentrations in environments where these substances are manipulated. Gas sensor technology has evolved rapidly in recent years, offering increasingly precise and reliable solutions. However, there are still challenges to be overcome, especially when sensors are deployed on unmanned aerial vehicles (UAVs). This article discusses the use of UAVs to locate gas sources and presents real test results using the SGP40 metal oxide semiconductor gas sensor onboard the Crazyflie 2.1 nano quadcopter. The solution proposed in this article uses an odor source identification strategy, employing a gas distribution mapping approach in a three-dimensional environment. The aim of the study was to investigate the feasibility and effectiveness of this approach for detecting gases in areas that are difficult to access or dangerous for humans. The results obtained show that the use of drones equipped with gas sensors is a promising alternative for the detection and monitoring of gas leaks in closed environments. © 2023 by the authors.</t>
  </si>
  <si>
    <t>automation; Crazyflie 2.1; gas detection; nano quadcopter; SGP40; UAVs; Aircraft accidents; Cobalt compounds; Copper compounds; Halocarbons; Indium compounds; Lanthanum compounds; Mercury compounds; Organometallics; Oxide semiconductors; Resins; Unmanned aerial vehicles (UAV); Aerial vehicle; Crazyflie 2.1; Gas detection; Human health; Indoor environment; Laboratory materials; Nano quadcopter; SGP40; Unmanned aerial vehicle; Volatile organics; Volatile organic compounds</t>
  </si>
  <si>
    <t>10.3390/drones7110660</t>
  </si>
  <si>
    <t>https://www.scopus.com/inward/record.uri?eid=2-s2.0-85178288277&amp;doi=10.3390%2fdrones7110660&amp;partnerID=40&amp;md5=e32285aaa6733270d28eac243353aa34</t>
  </si>
  <si>
    <t>P186</t>
  </si>
  <si>
    <t>Rawat, S.S.; Alotaibi, Y.; Malsa, N.; Gupta, V.</t>
  </si>
  <si>
    <t>Enhancement of UAV Data Security and Privacy via Ethereum Blockchain Technology</t>
  </si>
  <si>
    <t>Unmanned aerial vehicles (UAVs), or drones, have revolutionized a wide range of industries, including monitoring, agriculture, surveillance, and supply chain. However, their widespread use also poses significant challenges, such as public safety, privacy, and cybersecurity. Cyberattacks, targeting UAVs have become more frequent, which highlights the need for robust security solutions. Blockchain technology, the foundation of cryptocurrencies has the potential to address these challenges. This study suggests a platform that utilizes blockchain technology to manage drone operations securely and confidentially. By incorporating blockchain technology, the proposed method aims to increase the security and privacy of drone data. The suggested platform stores information on a public blockchain located on Ethereum and leverages the Ganache platform to ensure secure and private blockchain transactions. The MetaMask wallet for Ethbalance is necessary for BCT transactions. The present research finding shows that the proposed approach’s efficiency and security features are superior to existing methods. This study contributes to the development of a secure and efficient system for managing drone operations that could have significant applications in various industries. The proposed platform’s security measures could mitigate privacy concerns, minimize cyber security risk, and enhance public safety, ultimately promoting the widespread adoption of UAVs. The results of the study demonstrate that the blockchain can ensure the fulfillment of core security needs such as authentication, privacy preservation, confidentiality, integrity, and access control. © 2023 Tech Science Press. All rights reserved.</t>
  </si>
  <si>
    <t>blockchain; data privacy; Ethereum; network security; smart contract; Unmanned aerial vehicles (UAVs); Access control; Antennas; Blockchain; Cybersecurity; Data privacy; Drones; Ethereum; Network security; Risk assessment; Supply chains; Aerial vehicle; Block-chain; Cyber security; Cyber-attacks; Data security and privacy; Networks security; Public safety; Robust security; Security solutions; Unmanned aerial vehicle; Smart contract</t>
  </si>
  <si>
    <t>10.32604/cmc.2023.039381</t>
  </si>
  <si>
    <t>https://www.scopus.com/inward/record.uri?eid=2-s2.0-85173473061&amp;doi=10.32604%2fcmc.2023.039381&amp;partnerID=40&amp;md5=cdda5328deb0cc5d2b625fb6cc69e4ef</t>
  </si>
  <si>
    <t>P187</t>
  </si>
  <si>
    <t>Eshmawi, A.A.; Umer, M.; Ashraf, I.; Park, Y.</t>
  </si>
  <si>
    <t>Enhanced Machine Learning Ensemble Approach for Securing Small Unmanned Aerial Vehicles From GPS Spoofing Attacks</t>
  </si>
  <si>
    <t>Unmanned aerial vehicles (UAVs) substantially rely on the utilization of global positioning systems (GPS) to navigate. A simulator for commercial GPS applications with false GPS signals can lead to the deviation of a GPS-guided drone from its planned path. As a result, an anti-spoofing technology is required to assure UAV operating safety. Several approaches have been developed to detect GPS spoofing, however, predominantly such methods rely on additional hardware. Using additional hardware might not be an ideal solution for small and low-capacity UAVs. Detecting signal spoofing attacks in small UAVS has significant importance. This study presents a stacked ensemble approach to detect GPS signal spoofing within the context of small UAVs. The initial phase involves outlining the sequential procedures for obtaining and preparing the GPS signal dataset, including details about the UAV hardware, blocker, data collection timing, environmental factors, and the utilization of z-score normalization for preprocessing. Then controlled simulation tests with varying experimental conditions are conducted and the model is built using a support vector machine and convolutional neural network. Additionally, a comprehensive comparative assessment is conducted to analyze the efficacy of the proposed model against traditional machine learning models. Experimental results demonstrate notably good performance by the proposed model with a 99.74% accuracy, showing its superior performance in the context of GPS signal spoofing in small UAVs.  © 2013 IEEE.</t>
  </si>
  <si>
    <t>autonomous vehicles; cybersecurity; ensemble machine learning; GPS spoofing; Unmanned aerial vehicles; Air navigation; Aircraft detection; Antennas; Learning systems; Neural networks; Signal detection; Unmanned aerial vehicles (UAV); Aerial vehicle; Autonomous Vehicles; Cyber security; Ensemble learning; Ensemble machine learning; Global positioning system spoofing; Hardware; Machine-learning; Unmanned aerial vehicle; Global positioning system</t>
  </si>
  <si>
    <t>10.1109/ACCESS.2024.3359700</t>
  </si>
  <si>
    <t>https://www.scopus.com/inward/record.uri?eid=2-s2.0-85184334782&amp;doi=10.1109%2fACCESS.2024.3359700&amp;partnerID=40&amp;md5=3f5b7b37dfd9e95a0012bb8640e66de7</t>
  </si>
  <si>
    <t>P188</t>
  </si>
  <si>
    <t>Feng, Z.; Cao, G.; Grigoriadis, K.M.; Pan, Q.</t>
  </si>
  <si>
    <t>Secure MPC-Based Path Following for UAS in Adverse Network Environment</t>
  </si>
  <si>
    <t>This article considers the path-following problem for an unmanned aerial system (UAS), in which an online remote control station computes and sends control input signals to the vehicle over an adverse communication network. In that network configuration, the cyberattackers and malicious eavesdroppers are prone to erode the UAS's safety properties such as operational security and information privacy. To guarantee these properties, we introduce a secure model-predictive control (MPC) framework for achieving both optimal and safe path-following performance. The unique feature of this framework is that it can simultaneously address all the adversaries occurring in both remote station and network transmission links. Then, an encrypted MPC law is designed using an effective encoding scheme and the Paillier cryptography scheme. It is shown that the closed-loop stability can be guaranteed under the proposed MPC law. Simulation studies of UAS path following are conducted to validate the effectiveness of the proposed framework. © 2005-2012 IEEE.</t>
  </si>
  <si>
    <t>Model-predictive control (MPC); Paillier homomorphic encryption; security and privacy; unmanned aerial system (UAS); unmanned aerial vehicles (UAVs); Antennas; Cryptography; Drones; Network security; Predictive control systems; Remote control; Vehicle to vehicle communications; Aerial vehicle; Aerospace electronics; Hardware; Ho-momorphic encryptions; Homomorphic-encryptions; Model-predictive control; Optimisations; Paillier homomorphic encryption; Security; Security and privacy; Unmanned aerial systems; Unmanned aerial vehicle; Model predictive control</t>
  </si>
  <si>
    <t>10.1109/TII.2022.3232772</t>
  </si>
  <si>
    <t>https://www.scopus.com/inward/record.uri?eid=2-s2.0-85149363518&amp;doi=10.1109%2fTII.2022.3232772&amp;partnerID=40&amp;md5=cf53985ad3806c46ae2ed5f9f4c7c249</t>
  </si>
  <si>
    <t>P189</t>
  </si>
  <si>
    <t>Gowroju, S.; Santhosh Ramchander, N.</t>
  </si>
  <si>
    <t>Applications of drones-a review</t>
  </si>
  <si>
    <t>Reducing costs and expenditures while improving the efficiency of technological solutions is essential for large-scale industries. Industries such as mining, ports, gas, and large plants involve processes and applications where human power may be at risk or impossible to use. Areas of inspection may include infrastructure maintenance, leak detection, equipment monitoring, security surveillance, and quick hazard monitoring. In such areas, one can rely upon drone technology to assist in better visibility, investigation, and quick alerting of failures in various systems. Hence, large-scale industries are quite interested in investing in drones to maintain systems and infrastructure for efficiency and productivity. In this chapter, we identified various types of drones and drone technologies to help readers better understand the technology. Furthermore, note that challenges to drones or unmanned aerial vehicles (UAVs), especially obstacle detection, battery life, and attackers, need to be overcome for them to fly or operate effectively. Here, we discussed UAV categorization, automation systems, and future areas of interest in business and research. Various control techniques for their construction process, manufacture, and analysis are also explored in depth. Moreover, obstacles to UAV function or operations are highlighted and examined, including fast charging, emergency braking, and security. © 2023 Scrivener Publishing LLC. All rights reserved.</t>
  </si>
  <si>
    <t>Attackers; Drone technologies; Large scale industries; Unmanned aerial vehicle</t>
  </si>
  <si>
    <t>CHAP</t>
  </si>
  <si>
    <t>10.1002/9781394168002.ch8</t>
  </si>
  <si>
    <t>https://www.scopus.com/inward/record.uri?eid=2-s2.0-85161906478&amp;doi=10.1002%2f9781394168002.ch8&amp;partnerID=40&amp;md5=6097a455a1f220221811e91f38563136</t>
  </si>
  <si>
    <t>P19</t>
  </si>
  <si>
    <t>Alquwayzani, A.A.; Albuali, A.A.</t>
  </si>
  <si>
    <t>A Systematic Literature Review of Zero Trust Architecture for Military UAV Security Systems</t>
  </si>
  <si>
    <t>Over the last couple of years, the application of autonomous systems such as drones has been widely accepted, and these applications are used in the defense, safety, logistics, delivery, and consumer sectors. Unmanned Aerial Vehicles (UAVs) play a major role in contemporary battles by collecting intelligence, surveillance, reconnaissance, and aiding tactical procedures. Although the intricate interlinking of these systems and the high rate of cyber risk pose security challenges, there are ways to overcome them. Traditional security approaches based on border patrols and protective measures are unreliable against advanced and persistent threats. As a result, the Zero Trust (ZT) approach, which operates under the notion that no faith can be taken for granted in the network, is certainly the most appropriate way to deal with this issue. The main purpose of zero trust in UAV security is to reduce the vulnerability of the system to cyber threats. The core of zero trust is based on observing all activities and risks. This approach will help military UAV operators allow only genuine users to access UAV systems, thereby reducing the possibility of illegal access, hacking, and data breaches. This project aims to analyze the applicability of a zero-trust architecture model and machine learning to enhance the security of military drones. This study conducted a systematic review aimed at identifying different aspects of cybersecurity strategies for protecting UAV systems. Furthermore, a zero-trust architecture is presented in this study as an effective prospective solution to the security issues. © 2013 IEEE.</t>
  </si>
  <si>
    <t>Cybersecurity; Drone; Internet of Battlefield Things (IoBT); Military UAVs; Security; Suspicious Behavior; UAV; UAV Security; Zero Trust Architecture (ZTA); Cyber attacks; Intelligent systems; Military vehicles; Network security; Target drones; Aerial vehicle; Cyber security; Internet of battlefield thing; Military unmanned aerial vehicle; Security; Suspicious behaviours; Unmanned aerial vehicle; Unmanned aerial vehicle security; Vehicle security; Zero trust architecture; Drones</t>
  </si>
  <si>
    <t>10.1109/ACCESS.2024.3503587</t>
  </si>
  <si>
    <t>https://www.scopus.com/inward/record.uri?eid=2-s2.0-85210298511&amp;doi=10.1109%2fACCESS.2024.3503587&amp;partnerID=40&amp;md5=adb708bc137d1c71da1901c726cafeb7</t>
  </si>
  <si>
    <t>P190</t>
  </si>
  <si>
    <r>
      <t xml:space="preserve">The proceedings contain 57 papers. The special focus in this conference is on Advanced Computational Intelligence and Intelligent Informatics. The topics include: Construction and Research of Pediatric Pulmonary Disease Diagnosis and Treatment Experience Knowledge Graph Based on Professor Wang Lie’s Experience; A Novel SEIAISRD Model to Evaluate Pandemic Spreading; keyword-based Research Field Discovery with External Knowledge Aware Hierarchical Co-clustering; an End-to-End Intent Recognition Method for Combat Drone Swarm; an Attention Detection System Based on Gaze Estimation Using Self-supervised Learning; effects of Pseudo Labels in Pose Estimation Models Using Semi-supervised Learning; sequential Masking Imitation Learning for Handling Causal Confusion in Autonomous Driving; proposal of Timestamp-Based Dynamic Context Features for Music Recommendation; method to Control Embedded Representation of Piece of Music in Playlists; Reducing Communication Consumption in Collaborative Visual SLAM with Map Point Selection and Efficient Data Compression; Design and Implementation of ANFIS on FPGA and Verification with Class Classification Problem; beacon Localization Method Based on Flower Pollination-Fireworks Algorithm; parameter Identification for Fictitious Play Algorithm in Repeated Games; an Improved Hypervolume-Based Evolutionary Algorithm for Many-Objective Optimization; reinforcement Learning-Based Policy Selection of Multi-sensor Cyber Physical Systems Under DoS Attacks; </t>
    </r>
    <r>
      <rPr>
        <sz val="11"/>
        <color rgb="FFFF0000"/>
        <rFont val="Calibri"/>
        <family val="2"/>
        <scheme val="minor"/>
      </rPr>
      <t>A UAV Penetration Method Based on the Improved A* Algorithm</t>
    </r>
    <r>
      <rPr>
        <sz val="11"/>
        <color theme="1"/>
        <rFont val="Calibri"/>
        <family val="2"/>
        <scheme val="minor"/>
      </rPr>
      <t>; Hybrid D-DEPSO for Multi-objective Task Assignment in Hospital Inspection; an Analysis of the Generalized Tit-for-Tat Strategy Within the Framework of Memory-One Strategies; stochastic Resource Allocation with Time Windows; optimal Information Fusion Descriptor Fractional Order Kalman Filter; multi-sensor Data Fusion Algorithm for Indoor Fire Detection Based on Ensemble Learning; research on Water Surface Environment Perception Method Based on Visual and Positional Information Fusion; Novel Fault Diagnosis Method Integrating D-L2-FDA and AdaBoost; structural Health Monitoring of Similar Gantry Crane Based on Federated Learning Algorithm.</t>
    </r>
  </si>
  <si>
    <t>https://www.scopus.com/inward/record.uri?eid=2-s2.0-85176959694&amp;partnerID=40&amp;md5=78bf5aaa655dd41a735b9dc0115460d4</t>
  </si>
  <si>
    <t>P191</t>
  </si>
  <si>
    <t>Abdalla, A.S.; Marojevic, V.</t>
  </si>
  <si>
    <t>Multiagent Learning for Secure Wireless Access From UAVs With Limited Energy Resources</t>
  </si>
  <si>
    <t>The terrestrial wireless network deployment challenges and the high associated costs encourage the exploration of aerial base stations (ABSs). An ABS carried by an unmanned aerial vehicle (UAV) can be dispatched at a relatively low cost to provide coverage on demand, such as in emergency situations and during temporary hot-spot events. While relatively inexpensive, battery-powered UAVs have a limited flight time and can only provide temporary service in practice. This article, therefore, considers and monitors the available energy of UAVs as a constraint for the proposed communication architecture consisting of dynamically dispatched ABSs that are managed by a high-altitude platform station (HAPS) performing network optimization. We consider a fleet of UAVs for providing secure wireless service to sparsely distributed users in urban areas and propose an efficient coverage strategy to satisfy the users' data rate demands while meeting their secrecy rate requirements. Because of the complexity, dynamics, and distributed nature of the problem, we employ multiple ABSs as the agents and design a deep deterministic policy gradient (DDPG) algorithm to optimize their positions in the ABS network with time-constrained nodes. Numerical results illustrate how the DDPG-empowered HAPS is able to coordinate and leverage the ABSs fleet for wide-spread secure coverage and adjust the network deployment topology when nodes become unavailable. While the DDPG has a higher training complexity, it provides better performance over state-of-the-art solutions in terms of the number of securely served users. We discuss the practical implications of the training process and identify opportunities for research and development. © 2014 IEEE.</t>
  </si>
  <si>
    <t>Cellular communications; deep reinforcement learning (DRL); energy constraint; high-altitude platform station (HAPS); secrecy rate; security; unmanned aerial vehicle (UAV); Antennas; Autonomous agents; Autonomous vehicles; Complex networks; Constrained optimization; Deep learning; Drones; Electric load dispatching; Energy resources; Jamming; Multi agent systems; Network security; Vehicle to vehicle communications; Wireless networks; Aerial vehicle; Cellular network; Communication system security; Deep reinforcement learning; Eavesdropping; Energy constraint; High altitude platform station; Jamming; Reinforcement learnings; Secrecy rate; Security; Unmanned aerial vehicle; Urban areas; Wireless communications; Reinforcement learning</t>
  </si>
  <si>
    <t>10.1109/JIOT.2023.3303253</t>
  </si>
  <si>
    <t>https://www.scopus.com/inward/record.uri?eid=2-s2.0-85167830634&amp;doi=10.1109%2fJIOT.2023.3303253&amp;partnerID=40&amp;md5=9b1412a42b6192cf9cfa2fb3e8dce52f</t>
  </si>
  <si>
    <t>P192</t>
  </si>
  <si>
    <t>Unnisa, N.; Tatineni, M.; Fatima, K.; Pasha, M.M.</t>
  </si>
  <si>
    <t>Intelligent deep learning-aided future beam and proactive handoff prediction model in Unmanned Aerial Vehicle-assisted anti-jamming Terahertz communication system</t>
  </si>
  <si>
    <t>Wireless communications often suffer from legitimate transmissions regarding malicious jamming attacks launched through the smart jammer. The drone or unmanned aerial vehicle (UAV) communication networks derived with reconfigurable intelligent surfaces (RIS) increase the issues of beam selection and proactive handoff in terahertz (THz). Thus, a new heuristic strategy is designed for efficient and incorporated optimization of the beamforming vector and anti-jamming transmit power allocation in undefined environments. Here, the transmit power allocation and beamforming matrix of UAV are optimized with the developed hybrid heuristic algorithm of the Hybrid Crow Black Widow Search Optimization (HCBWSO) algorithm for maximizing the system achievable rate. Here, the HCBWSO algorithm is implemented to integrate with the Crow search algorithm (CSO) and Black Widow Optimization (BWO). The second contribution is to adopt RIS into THz–UAV communications, a new Enhanced Deep Temporal Convolutional Network (EDTCN) for predicting the future beam and proactive handoff of UAVs based on their prior analysis of the UAV locations, where the HCBWSO algorithm is utilized for recommending EDTCN. Here, the training of the EDTCN needs to be done with the collection of UAV information from the DEEPMIMO dataset for predicting the future beams and, also, tracking the location of the UAV. EDTCN helps in increasing the possibility of expanding the UAV coverage and also increases the consistency of the THz communication system. Thus, the prediction of the future beam increases the coverage area of the UAV and also maximizes the system rate in the THz communication system. © 2023 John Wiley &amp; Sons Ltd.</t>
  </si>
  <si>
    <t>anti-jamming; enhanced deep temporal convolutional network; future beam and proactive handoff prediction model; Hybrid Crow Black Widow Search Optimization; reconfigurable intelligent surfaces; THz communication system; unmanned aerial vehicle; Aircraft detection; Antennas; Convolution; Deep learning; Drones; Energy efficiency; Forecasting; Heuristic algorithms; Jamming; Optimization; Security systems; Aerial vehicle; Anti-jamming; Convolutional networks; Enhanced deep temporal convolutional network; Future beam and proactive handoff prediction model; Handoff prediction; Hybrid crow black widow search optimization; Prediction modelling; Proactive handoff; Reconfigurable; Reconfigurable intelligent surface; Search optimization; Terahertz communication systems; Unmanned aerial vehicle; Beamforming</t>
  </si>
  <si>
    <t>10.1002/dac.5504</t>
  </si>
  <si>
    <t>https://www.scopus.com/inward/record.uri?eid=2-s2.0-85164369497&amp;doi=10.1002%2fdac.5504&amp;partnerID=40&amp;md5=9c441dcf1390ed3f32135b829b4ef155</t>
  </si>
  <si>
    <t>P193</t>
  </si>
  <si>
    <t>Pecho, P.; Dianovsky, R.; Hruz, M.; Velky, P.</t>
  </si>
  <si>
    <t>Analysis of the ILS Antenna Systems Impact in the Process of UAS Deployment into Airport Infrastructure</t>
  </si>
  <si>
    <t>Unmanned aerial vehicles play an important role in everyday life. In the last ten years, they have become part of routine operations that in the past were purely human activities. Drones are entering areas where the presence of humans would not be problematic, but where drone flights could be impaired. These include electromagnetic fields, high-frequency fields and the like. Drones are increasingly being used in the area of airport security and inspection, whether for the inspection of signalling and control equipment or for perimeter surveillance. When inspecting airport premises, there is a possibility that a drone may change its flight path in the vicinity of systems that emit strong radio or electromagnetic radiation while carrying out a flight mission. Such systems can be, for example, meteorological or airborne radar or ILS systems. In this paper, the effects of radiation from ILS (Instrument Landing System) antennas on the flight of UAVs in their vicinity are investigated. The results of the research aim to recommend flight methods based on the evaluation of measurements of radio effects on UAV flights in the vicinity of ILS antennas. The use of UAVs in airport infrastructure has a huge potential and therefore it is necessary to know the limitations of the use of UAS technology, the flight zones and the possible effects of environmental factors on the safety of flight and the accuracy of the measurements performed in the case of sensor data collection. The conclusions of the paper contribute to a better understanding of UAV flight zones in airport infrastructure, and based on the results, flight paths can be better determined in the future with respect to potential interference. © 2024 Czech Technical University in Prague.</t>
  </si>
  <si>
    <t>Airport; ILS; Interference; Jamming; Radio; UAV</t>
  </si>
  <si>
    <t>10.23919/NTCA60572.2024.10517852</t>
  </si>
  <si>
    <t>https://www.scopus.com/inward/record.uri?eid=2-s2.0-85193043154&amp;doi=10.23919%2fNTCA60572.2024.10517852&amp;partnerID=40&amp;md5=1ae8538f67919e1589be13cfffb7b0b7</t>
  </si>
  <si>
    <t>P194</t>
  </si>
  <si>
    <t>Watanabe, K.; Sakai, R.; Tanaka, S.; Nagata, M.; Osaka, H.; Nakamura, A.; Wu, I.; Matsumoto, Y.; Gotoh, K.</t>
  </si>
  <si>
    <t>Electromagnetic Interference With the Mobile Communication Devices in Unmanned Aerial Vehicles and Its Countermeasures</t>
  </si>
  <si>
    <t>One of the threats to industrial unmanned aerial vehicles (UAVs), which require a high level of safety, is the degradation of control wireless communication performance due to electromagnetic interference. Self-jamming caused by unintentional electromagnetic (EM) noises from the multiple electronic devices installed in a UAV, such as the power supply and camera, is a fundamental issue independent of the surrounding environment. UAVs are susceptible to self-jamming since electronic devices as noise sources are densely mounted inside their chassis. Therefore, evaluating the self-jamming problem and taking countermeasures to achieve high safety in wireless communication performance are important. In this paper, we focus on mobile communications used for UAV operation and evaluate the impact of EM noise generated by a commercial industrial UAV on the receiver sensitivity of an onboard mobile communication device. It was found that EM noise generated by the UAV degrades the sensitivity in the three communication bands, 800 MHz, 1800 MHz, and 2100 MHz, used over the air. In particular, receiver sensitivity was degraded by up to 29 dB in the 800 MHz band. These results indicate that the self-jamming problem is not negligible for the safe operation of industrial UAVs. In addition, countermeasures for self-jamming were taken at the mechanical design level to suppress EM noise to a level that does not degrade mobile communication performance. This paper clarified that countermeasures for self-jamming are an important element for safe UAV operation.  © 2013 IEEE.</t>
  </si>
  <si>
    <t>Cellular communications; drone; electromagnetic compatibility (EMC); electromagnetic interference (EMI); EMC countermeasures; mobile communications; noise measurement; unmanned aerial vehicle (UAV); wireless communications; Accident prevention; Antennas; Drones; Electromagnetic compatibility; Electromagnetic pulse; Electromagnetic wave interference; Mobile telecommunication systems; Thermoelectric equipment; Vehicle performance; Aerial vehicle; Antennas measurement; Cellular network; Electromagnetic compatibility; Electromagnetic compatibility countermeasure; Electromagnetic interference; Mobile communications; Noise measurements; Performances evaluation; Sensitivity; Unmanned aerial vehicle; Wireless communications; Signal interference</t>
  </si>
  <si>
    <t>10.1109/ACCESS.2024.3351216</t>
  </si>
  <si>
    <t>https://www.scopus.com/inward/record.uri?eid=2-s2.0-85182377254&amp;doi=10.1109%2fACCESS.2024.3351216&amp;partnerID=40&amp;md5=3a98dde0b88f5971b490397858259ae3</t>
  </si>
  <si>
    <t>P195</t>
  </si>
  <si>
    <t>Atheeq, C.; Gulzar, Z.; Al Reshan, M.S.; Alshahrani, H.; Sulaiman, A.; Shaikh, A.</t>
  </si>
  <si>
    <t>Securing UAV Networks: A Lightweight Chaotic-Frequency Hopping Approach to Counter Jamming Attacks</t>
  </si>
  <si>
    <t>Drones, also known as unmanned aerial vehicles (UAVs), are becoming more and more widespread for a variety of uses, including delivery, inspection, and monitoring. On the other hand, safe communication between drones is a crucial problem that must be solved. The current lightweight authentication mechanisms designed to protect UAV communications have failed to mitigate jamming attacks effectively. In this work, we design a novel approach to secure UAV communication by the combination of frequency hopping and chaotic mapping. The designed approach mitigates jamming attacks, as Chaotic maps' unpredictability and randomness create a secure frequency hopping sequence. We describe in detail about planning, analysis, and application of the designed approach, and analyze the performance using a network simulator. The results show that our proposed work successfully mitigates jamming attacks and establishes secure UAV communication. Our work significantly enhances the design of a secure drone communication system. By incorporating our designed approach, flying robots can operate in a wide range of applications with high security and reliability. © 2013 IEEE.</t>
  </si>
  <si>
    <t>Authentication; communication; frequency hopping; jamming attack; UAV; Antennas; Authentication; Frequency hopping; Jamming; Spread spectrum communication; Vehicle to vehicle communications; Aerial vehicle; Communications channels; Communications systems; Flying robots; Jamming; Jamming assault; Land mobile radio; Safe communications; Security; Spread-spectrum communication; Drones</t>
  </si>
  <si>
    <t>10.1109/ACCESS.2024.3375343</t>
  </si>
  <si>
    <t>https://www.scopus.com/inward/record.uri?eid=2-s2.0-85187975248&amp;doi=10.1109%2fACCESS.2024.3375343&amp;partnerID=40&amp;md5=77b5df05ab1ef9440c68670411a8e06c</t>
  </si>
  <si>
    <t>P196</t>
  </si>
  <si>
    <t>Garcia, J.C.P.; Benslimane, A.; Braeken, A.; Su, Z.</t>
  </si>
  <si>
    <t>μtesla-Based Authentication for Reliable and Secure Broadcast Communications in IoD Using Blockchain</t>
  </si>
  <si>
    <t>The Internet of Drones (IoD) manages and coordinates communications between drones in Internet of Things (IoT) applications. Ensuring security and privacy in unmanned aerial vehicles (UAVs) networks, i.e., drones, is essential to protect data from cyber attacks. In this context, providing authentication is a major challenge due to the fact that drones are devices limited in power capabilities. The problem is aggravated by the dynamism of IoD networks due to the high mobility of drones, being sensitive to packet loss and handovers. Blockchain technology is attractive to address the problem of centralization of existing authentication protocols. In this article, we provide a decentralized, secure, and efficient authentication protocol, based on μ Tesla, that relies on Blockchain to manage drone authentication. We analyze the security and performance of the proposed solution. Simulation results show that the proposed solution outperforms several approaches in the literature, achieving an authentication delay of less than 250 ms with a low information exchange of 1024 bits for 128-bit security level while maintaining low computational requirements.  © 2014 IEEE.</t>
  </si>
  <si>
    <t>authentication; blockchain; Internet of Drones (IoD); unmanned aerial vehicle (UAV); Î¼Tesla; Antennas; Authentication; Blockchain; Cryptography; Cybersecurity; Internet of things; Network security; Aerial vehicle; Authentication protocols; Block-chain; Hand over; Internet of drone; Peer-to-peer computing; Security; Unmanned aerial vehicle; Μtesla; Drones</t>
  </si>
  <si>
    <t>10.1109/JIOT.2023.3280124</t>
  </si>
  <si>
    <t>https://www.scopus.com/inward/record.uri?eid=2-s2.0-85161060112&amp;doi=10.1109%2fJIOT.2023.3280124&amp;partnerID=40&amp;md5=7e82ded9b954bb5a870bdda09c187bd7</t>
  </si>
  <si>
    <t>P197</t>
  </si>
  <si>
    <t>Wisniewski, M.; Ona, I.G.; Chatzithanos, P.; Guo, W.; Tsourdos, A.</t>
  </si>
  <si>
    <t>Autonomous Navigation in Dynamic Maze Environments Under Adversarial Sensor Attack</t>
  </si>
  <si>
    <t>Autonomous navigation of complex and dynamically changing environments is challenging, but when the sensors that determine observables is unreliable, reliability is undermined. Current research largely focus on either efficient navigation with reliable sensors, or sensor fusion mechanisms to offer robust position estimation. In many sensor fusion cases, it assumes that there is a regular structure to the environment (e.g., road or cityscape) or that the attacks are intermittent, and hence leverages on Kalman filters or alternative sensors as a holding fusion mechanism. Here, we present work on reliable UAS navigation under adversarial sensor attack (e.g., persistent wide area or target following attacks) in irregular environments (e.g., a dynamic maze). We cannot rely on regularized routes in training, nor can we rely on a holding fusion algorithm to wait out an attack whilst simply estimating the next position in a smooth trajectory. The autonomous platform in our work needs to make rapid assessments and manoeuvres in the maze to reach its goal. In this work, we present initial findings on the effect of two types of attack on a reinforcement learning (RL) controlled drone: (1) a laser attack on the camera sensor, and (2) an area of effect denial attack on the lidar. We develop Variational autoencoder (VAE) based sensor filtering approaches to detect the effect of attacks with 95% success and assist in achieving robust navigation.  © 2024 IEEE.</t>
  </si>
  <si>
    <t>Autonomy; Navigation; Sensor Fusion; Denial-of-service attack; Dynamics; Kalman filters; Reinforcement learning; 'current; Alternative sensors; Autonomous navigation; Autonomy; Changing environment; Dynamic mazes; Fusion mechanism; Position estimation; Regular structure; Sensor fusion; Navigation</t>
  </si>
  <si>
    <t>10.1109/ICUAS60882.2024.10557088</t>
  </si>
  <si>
    <t>https://www.scopus.com/inward/record.uri?eid=2-s2.0-85197393359&amp;doi=10.1109%2fICUAS60882.2024.10557088&amp;partnerID=40&amp;md5=c5e78f5d45e9916cee3b180fc5f302a8</t>
  </si>
  <si>
    <t>P198</t>
  </si>
  <si>
    <t>Hai, T.; Bhuiyan, Z.A.; Rahouti, M.; Zhou, J.; Shen, J.</t>
  </si>
  <si>
    <t>Blockchain-Based Trustworthiness in Cross-Border Data Exchange in 5G-Powered Intelligent Connected Vehicles</t>
  </si>
  <si>
    <t>Emerging applications, such as Smart Grid (SG), UAV (drone)-based delivery (logistics) involve multiple networks, including 5G-powered intelligent UAVs (drones), ground intelligent Internet-connected vehicles (IIoCVs), and Edge-assisted Internet of Things (IoT). Data exchange in these cross-border network applications faces significant challenges due to cyberattacks and faults in the network. This leads to untrustworthy situations in network automation regarding secret data access, data sensitivity, wrong regional status, and false direction. In this paper, we propose bTrust design, a blockchain-based trustworthy data exchange framework to improve these situations in network automation. The framework development consists of five procedures regarding the data provider and data requester's trustworthiness. We adopt cloud computing to cover different terrain regions with Edge-computing units (ECUs, deployed at the IIoCVs), where one of the ECUs functions as the Edge server covering each region. When a drone claims that there is an untrustworthy action, such as compromised or incorrect data transmission against the IIoCV, the cloud authenticates the claims by inspecting the blockchain. It penalizes the compromised IIoCV if the claim is correct. Otherwise, the cloud can punish the drone itself (e.g., by reducing the trustworthiness score). As a result, bTrust enhances cross-regional data exchange trustworthiness using the blockchain that depends on a reduced trust assumption.  © 2024 IEEE.</t>
  </si>
  <si>
    <t>5G mobile communication systems; Blockchain; Cloud computing; Electronic data interchange; Internet of things; Network security; Smart power grids; Block-chain; Cloud-computing; Cross-border; Delivery logistics; Emerging applications; In networks; Multiple networks; Network applications; Network automations; Smart grid; Drones</t>
  </si>
  <si>
    <t>10.1109/MNET.2024.3399751</t>
  </si>
  <si>
    <t>https://www.scopus.com/inward/record.uri?eid=2-s2.0-85193223341&amp;doi=10.1109%2fMNET.2024.3399751&amp;partnerID=40&amp;md5=c661e9af326260bd87035813a95b0e0f</t>
  </si>
  <si>
    <t>P199</t>
  </si>
  <si>
    <t>Shaaban, A.; Jung, O.; Soro, F.; Fas-Millán, M.-A.</t>
  </si>
  <si>
    <t>Cybersecurity Analysis in the UAV Domain: the Practical Approach of the Labyrinth Project</t>
  </si>
  <si>
    <t>In the last decades, Unmanned Aerial Vehicles (UAVs) are finding more and more fields of application. Their flexibility and cost-efficiency make them useful to support complex operations in agriculture, remote sensing or construction, just to name a few. In the Labyrinth project we aim at investigating the applicability of UAV usage to critical scenarios like air, water and road traffic control or emergency, with a strict focus on safety, security and efficiency. This involves also the cybersecurity aspect, which is the main focus of this work. UAVs used in critical applications are in fact potentially exposed to a wide set of cyber threats. The NIST cybersecurity framework [17] defines five different security functions which are: identify, protect, detect, respond and recover. In this paper we address the identify and detect functions with an approach involving threat analysis and anomaly detection. Firstly, we identify which threats pose a significant risk to the Labyrinth use case, for instance leading to the collision of UAVs in case an attacker is successful. Secondly, we present a machine learning-based pipeline aimed at detecting deviations in the position reportings of the drone, to support the detect function during flight operations. The pipeline is tailored to the Labyrinth system reporting needs and is based on unsupervised machine learning to overcome the lack of labeled data. Anomalous points, i.e., points deviating from a coherent path, potentially because of a cyber-attack or a failure, are visually separated from the coherent ones and marked as noise. To prove its robustness, we test the pipeline introducing artificial perturbations in the data.  © 2023 Owner/Author.</t>
  </si>
  <si>
    <t>Anomaly Detection; Security Analysis; U-space; Unmanned Aerial Vehicles; Unmanned Traffic Management; Aircraft detection; Antennas; Cybersecurity; Efficiency; Machine learning; Pipelines; Remote sensing; Unmanned aerial vehicles (UAV); Aerial vehicle; Anomaly detection; Cost-efficiency; Cyber security; Security analysis; Traffic management; U-space; Unmanned aerial vehicle; Unmanned traffic management; Vehicle domain; Anomaly detection</t>
  </si>
  <si>
    <t>10.1145/3582515.3609566</t>
  </si>
  <si>
    <t>https://www.scopus.com/inward/record.uri?eid=2-s2.0-85174303239&amp;doi=10.1145%2f3582515.3609566&amp;partnerID=40&amp;md5=7adc278b57bea53e45f652bb861eb26e</t>
  </si>
  <si>
    <t>P2</t>
  </si>
  <si>
    <t>Vélez, S.; Ariza-Sentís, M.; Panić, M.; Ivošević, B.; Stefanović, D.; Kaivosoja, J.; Valente, J.</t>
  </si>
  <si>
    <t>Speeding up UAV-based crop variability assessment through a data fusion approach using spatial interpolation for site-specific management</t>
  </si>
  <si>
    <t>Innovations in precision agriculture enhance complex tasks, reduce environmental impact, and increase food production and cost efficiency. One of the main challenges is ensuring rapid information availability for autonomous vehicles and standardizing processes across platforms to maximize interoperability. The lack of drone technology standardisation, communication barriers, high costs, and post-processing requirements sometimes hinder their widespread use in agriculture. This research introduces a standardized data fusion framework for creating real-time spatial variability maps using images from different Unmanned Aerial Vehicles (UAVs) for Site-Specific Crop Management (SSM). Two spatial interpolation methods were used (Inverse Distance Weight, IDW, and Triangulated Irregular Networks, TIN), selected for their computational efficiency and input flexibility. The proposed framework can use different UAV image sources and offers versatility, speed, and efficiency, consuming up to 98 % less time, energy, and computing requirements than standard photogrammetry techniques, providing rapid field information, allowing edge computing incorporation into the UAV data acquisition phase. Experiments conducted in Spain, Serbia, and Finland in 2022 under the H2020 FlexiGroBots project demonstrated a strong correlation between results from this method and those from standard photogrammetry techniques (up to r = 0.93). In addition, the correlation with Sentinel 2 satellite images was as strong as that obtained with photogrammetry-based orthomosaics (up to r = 0.8). The proposed approach could support irrigation leak detection, soil parameter estimation, weed management, and satellite integration for agriculture. © 2024 The Author(s)</t>
  </si>
  <si>
    <t>IDW; Precision agriculture; Remote sensing; Satellite; Spatial variability; TIN</t>
  </si>
  <si>
    <t>10.1016/j.atech.2024.100488</t>
  </si>
  <si>
    <t>https://www.scopus.com/inward/record.uri?eid=2-s2.0-85196262805&amp;doi=10.1016%2fj.atech.2024.100488&amp;partnerID=40&amp;md5=a1e1d2616c40f33c73617841adf84c71</t>
  </si>
  <si>
    <t>P20</t>
  </si>
  <si>
    <t>Sabuwala, N.A.; Daruwala, R.D.</t>
  </si>
  <si>
    <t>An approach to enhance the security of unmanned aerial vehicles (UAVs)</t>
  </si>
  <si>
    <t>There is a significant surge in unmanned aerial vehicles’ (UAVs) popularity with an ongoing increase in demand due to their multi-functional uses. The capacity of the UAVs to respond to society and industry needs account for their pervasiveness. UAVs can be strategically deployed to enhance network efficiency and support critical missions, including vital tasks like infrastructure monitoring operations. To be effective, a UAV must interact securely with its network’s entities, such as ground control stations, other UAVs, air traffic control systems, and navigation satellite systems. UAVs are exposed to a dangerous and costly world of cyber dangers as a result of cyber technology and connections. The UAV and the Ground Control Station (GCS) exchange information using communication lines, which are vulnerable to cyber-attacks. As a result, detective, defensive, and preventative countermeasures are critical. The Micro Air Vehicle Link (MAVLink) protocol is a widely used lightweight communication protocol for enabling communication between UAVs and GCSs. It outlines communication exchanges between a GCS and a UAV. It carries information about the UAV’s condition as well as commands for control from the GCS. Although widely used, the MAVLink protocol lacks sufficient security measures and is susceptible to various types of attacks, which can pose significant risks to public safety. UAV data should be encrypted because they are very sensitive. To give a high level of security, complex operation encryption techniques are developed. These mathematical operations bring forth issues with efficiency and power usage, though. One of these methods, the ChaCha cipher, recently gained popularity after Google used it in several applications. In the current study, a new stream cipher method with low-duty cycles is proposed for protecting data in UAVs and is compared with existing security algorithms on the basis of various factors. The research findings show that by including the suggested method in MAVLink, it is possible to maintain both message secrecy and battery life for a resource-constrained UAV. This can be done while using comparable amounts of memory and CPU and without affecting MAVLink’s performance. © The Author(s), under exclusive licence to Springer Science+Business Media, LLC, part of Springer Nature 2023.</t>
  </si>
  <si>
    <t>Communication security; Internet of things (IoT); MAVLink; Stream cipher; Unmanned aerial vehicles (UAVs); Air navigation; Air traffic control; Aircraft communication; Aircraft control; Antennas; Cryptography; Cybersecurity; Flight control systems; Internet of things; Micro air vehicle (MAV); Network security; Risk assessment; Rock mechanics; Vehicle to vehicle communications; Aerial vehicle; Communications security; Ground-control stations; Internet of thing; Link protocols; Micro air vehicle link; Micro air-vehicles; Multi-functional; Stream Ciphers; Unmanned aerial vehicle; Efficiency</t>
  </si>
  <si>
    <t>10.1007/s11227-023-05811-1</t>
  </si>
  <si>
    <t>https://www.scopus.com/inward/record.uri?eid=2-s2.0-85179310352&amp;doi=10.1007%2fs11227-023-05811-1&amp;partnerID=40&amp;md5=f1a96cb99d846bae7139d6fb6a47ff5d</t>
  </si>
  <si>
    <t>P200</t>
  </si>
  <si>
    <t>Michieletto, G.; Formaggio, F.; Cenedese, A.; Tomasin, S.</t>
  </si>
  <si>
    <t>Robust Localization for Secure Navigation of UAV Formations Under GNSS Spoofing Attack</t>
  </si>
  <si>
    <t>Nowadays, aerial formations are frequently employed in outdoor scenarios to cooperatively explore and monitor wide areas of interest. In these applications, the vehicles are often exposed to relevant security vulnerabilities, as, for instance, the alteration of navigation signals from an attacker with map counterfeiting (if not even hijacking) purposes. In this work, we focus on an Unmanned Aerial Vehicle (UAV) formation that monitors an area, wherein navigation spoofing attacks may occur. Letting the UAVs cooperate and exploiting the redundancy in the available sensing information, a distributed procedure is proposed to i ) detect spoofing attacks, and ii ) support the navigation in adverse conditions. The validity of the designed approach is confirmed by numerical results. Aerial vehicles for outdoor operation are generally endowed with inertial measurements, relative ranging, and GNSS sensing capability. In this work, two cascaded estimation algorithms for concurrent GNSS spoofing detection and localization in a multi-UAV scenario is proposed, to attain robust navigation in areas subject to GNSS spoofing attacks. The attack detection leverages on information theoretic tools to provide a practical threshold test by checking the multimodal measurement consistency. The localization procedures exploit a decision logic relying on measurement reliability to combine information sources that are different in nature, for UAV self-localization in both safe and under-attack conditions. Note to Practitioners - Aerial vehicles for outdoor operation are generally endowed with inertial measurements, relative ranging, and GNSS sensing capability. In this work, two cascaded estimation algorithms for concurrent GNSS spoofing detection and localization in a multi-UAV scenario is proposed, to attain robust navigation in areas subject to GNSS spoofing attacks. The attack detection leverages on information theoretic tools to provide a practical threshold test by checking the multimodal measurement consistency. The localization procedures exploit a decision logic relying on measurement reliability to combine information sources that are different in nature, for UAV self-localization in both safe and under-attack conditions.  © 2004-2012 IEEE.</t>
  </si>
  <si>
    <t>Mobility and navigation; multi-robot systems; sensing and networks; unmanned aerial vehicles; Air navigation; Aircraft detection; Antennas; Computer circuits; Drones; Estimation; Inertial navigation systems; Information theory; Multipurpose robots; Reliability; Surveys; Aerial vehicle; Condition; Global Navigation Satellite Systems; Location awareness; Mobility and navigation; Multi-robot systems; Robot sensing system; Sensing and network; Spoofing attacks; Unmanned aerial vehicle; Global positioning system</t>
  </si>
  <si>
    <t>10.1109/TASE.2022.3208662</t>
  </si>
  <si>
    <t>https://www.scopus.com/inward/record.uri?eid=2-s2.0-85139494834&amp;doi=10.1109%2fTASE.2022.3208662&amp;partnerID=40&amp;md5=6c8fcea099c51793677ce7995afc6d47</t>
  </si>
  <si>
    <t>P201</t>
  </si>
  <si>
    <t>Sarumathi, A.; Latha, K.</t>
  </si>
  <si>
    <t>A comprehensive survey on Cyber security threats and its countermeasures for Unmanned Aerial Vehicles</t>
  </si>
  <si>
    <t>UAVs are utilized for objectionable monitoring, enforcement, and humanitarian tasks. The UAV systems send all mission-critical data over a wireless channel. So, securing the wireless links is crucial to their security. The availability of safe protocols, high computing complexity, and excessive delay are the most difficult aspects of secure information transmission. This study presents the major challenges in UAV communications in mission-critical operations and a summary of UAV safety risks and intrusions via countermeasures of pertinent research on Wi-Fi security, UAV network protection, malicious applications, and more. © The Institution of Engineering &amp; Technology 2023.</t>
  </si>
  <si>
    <t>cyber security; cyber-attacks; Drone; Unmanned Aerial Vehicle; Antennas; Cybersecurity; Network security; Wi-Fi; Aerial vehicle; Critical data; Cyber security; Cyber-attacks; Mission critical; Security threats; UAV systems; Unmanned aerial vehicle; Wireless channel; Wireless link; Drones</t>
  </si>
  <si>
    <t>10.1049/icp.2023.2876</t>
  </si>
  <si>
    <t>https://www.scopus.com/inward/record.uri?eid=2-s2.0-85188352194&amp;doi=10.1049%2ficp.2023.2876&amp;partnerID=40&amp;md5=35184a59a806dc1de4d0b5bb83594d87</t>
  </si>
  <si>
    <t>P202</t>
  </si>
  <si>
    <t>Shueb, M.M.; Che, X.</t>
  </si>
  <si>
    <t>A Review of Cybersecurity Advancements in Unmanned Aerial Vehicle</t>
  </si>
  <si>
    <t>Cybersecurity challenges hinder the growth of Unmanned Ariel Vehicles (UAVs or drones). The limitation of UAV onboard resources makes it difficult to implement effective cybersecurity solutions. Meanwhile, weaknesses in existing policies and regulations of UAVs have led to increased cyber-attacks. This paper focuses on recently published literature to review UAV architecture and recent development on UAV vulnerabilities, attacks, and countermeasures. © 2023, The Author(s), under exclusive license to Springer Nature Switzerland AG.</t>
  </si>
  <si>
    <t>Countermeasures; Cyberattacks; Cybersecurity; Drone; UAV; Antennas; Cybersecurity; Network security; Aerial vehicle; Countermeasure; Cyber security; Cyber-attacks; On-board resources; Policy and regulation; Unmanned ariel vehicles; Drones</t>
  </si>
  <si>
    <t>10.1007/978-3-031-33743-7_30</t>
  </si>
  <si>
    <t>https://www.scopus.com/inward/record.uri?eid=2-s2.0-85163330141&amp;doi=10.1007%2f978-3-031-33743-7_30&amp;partnerID=40&amp;md5=6130666617b4f107dd75e12668cce4e0</t>
  </si>
  <si>
    <t>P203</t>
  </si>
  <si>
    <t>Valderrama, S.L.R.; Aracena, N.A.M.M.</t>
  </si>
  <si>
    <t>Advancements in signal interference systems for targeted disruption of Unmanned Aerial Systems: An integrated approach using SDR and Custom RF Circuitry</t>
  </si>
  <si>
    <t>This paper presents a comprehensive study on signal interference techniques for neutralizing a DJI Mavic Air drone. The research involved both lab-controlled experiments and field tests conducted on campus. A Software Defined Radio (SDR) and a custom-designed RF circuit were employed to implement the interference system. The focus was on disrupting the drone's video transmission, telemetry communications channel, and Global Positioning System (GPS) signal. Mathematical models and signal parameters were utilized to evaluate the effectiveness of different jamming strategies. The results provide valuable insights into the interference methodology for the IEEE 802.11b/n/g Wi-Fi standard and GPS C/A L1 signal, which are commonly used in commercial drones.  © 2023 IEEE.</t>
  </si>
  <si>
    <t>Bit error Rate; Drone Neutralization; Jamming Signal Ratio; SNR; Software defined Radio; Analog circuits; Antennas; Drones; Global positioning system; IEEE Standards; Image communication systems; Radio; Radio interference; Radio receivers; Signal to noise ratio; Software radio; Timing circuits; Bit-error rate; Drone neutralization; Integrated approach; Jamming signal ratio; Jamming signals; Neutralisation; Signal ratios; SNR; Software-defined radios; Unmanned aerial systems; Bit error rate</t>
  </si>
  <si>
    <t>10.1109/CHILECON60335.2023.10418703</t>
  </si>
  <si>
    <t>https://www.scopus.com/inward/record.uri?eid=2-s2.0-85189564680&amp;doi=10.1109%2fCHILECON60335.2023.10418703&amp;partnerID=40&amp;md5=8fe0ba16c80e1ca5193e57e15f77e10c</t>
  </si>
  <si>
    <t>P204</t>
  </si>
  <si>
    <t>Kacem, T.</t>
  </si>
  <si>
    <t>UASChainSec: A Blockchain Based Framework for Secure 5G-Capable UAS Communication</t>
  </si>
  <si>
    <t>In recent years, smart cities have been transforming the way people interact with services thanks to the technological advances in wireless networks, cloud computing and sensors. In this contextm Unmanned Aerial Systems (UASs) are considered as one of the novel technologies that will revolutionize smart cities even further in the coming years. In fact, its use has been continuously growing to reach a wide variety of civilian, commercial, and military applications. In particular, 5G UASs have been gaining popularity within industry major players including retailers and cellular providers thanks to the numerous advantages 5G brings to UAS operations. Despite these attractive features, there are some considerable setbacks that are holding further development in this field. First, there is no global consensus on a unified communication protocol that the growing number of UASs should use. Second, there is a lack of adequate regulations that would help streamline the operations and safety of UASs. Third, there is lack of mechanisms to detect and thwart cyber-attacks targeting UASs. In this paper, we propose UASChainSec, a framework that enables UASs to exchange information in a secure way by leveraging blockchains and 5G communication. UASChainSec abstracts away the burden to define a new protocol for UAS communication by using blockchains. It also solves the cryptographic key distribution in the presence of growing number of drones. Finally, it has the potential to thwart common cyber attacks threatening the operations of UASs. We support our findings by describing the details of the blockchain-based approach and by evaluating the potential of using blockchains to secure UAS communication.  © 2023 IEEE.</t>
  </si>
  <si>
    <t>5G; Blockchain; Cyber Security; UAS; 5G mobile communication systems; Blockchain; Computer crime; Crime; Cyber attacks; Internet of things; Military applications; Network security; Smart city; Unmanned aerial vehicles (UAV); 5g; Block-chain; Cellulars; Cloud-computing; Cyber security; Cyber-attacks; System communications; Systems operation; Technological advances; Unmanned aerial systems; Antennas</t>
  </si>
  <si>
    <t>10.1109/RAST57548.2023.10197868</t>
  </si>
  <si>
    <t>https://www.scopus.com/inward/record.uri?eid=2-s2.0-85168414364&amp;doi=10.1109%2fRAST57548.2023.10197868&amp;partnerID=40&amp;md5=bbf02baacda2bedc47133873ee6466b2</t>
  </si>
  <si>
    <t>P205</t>
  </si>
  <si>
    <t>Hadi, H.J.; Cao, Y.; Nisa, K.U.; Jamil, A.M.; Ni, Q.</t>
  </si>
  <si>
    <t>A comprehensive survey on security, privacy issues and emerging defence technologies for UAVs</t>
  </si>
  <si>
    <t>In the past two decades, there has been a rapid development in the drone industry known as Unmanned Aerial Vehicles (UAVs). Currently, the use of commercial UAVs has increased a lot due to their affordability, but lack of security implementations has introduced many threats and vulnerabilities in UAVs. In addition, software, and hardware complexity in UAVs also triggers privacy and security issues as well as causes critical challenges for government, industry and academia. Firstly, in this research review, we broadly survey privacy and security issues of UAVs by dividing them into three classes: Software, Hardware and Communication. Particularly, for each class, we systematically survey the common vulnerabilities causing potential attacks to UAVs. Secondly, a review of prevailing threats that are threatening civilian UAVs’ applications is also a part of this survey. Thirdly, a comprehensive discussion of passive and active attacks from adversaries, for compromising privacy and security of UAVs is given as well. Fourthly, we provide detail description of existing mitigation techniques and countermeasures, to protect UAVs. Fifthly, the solution architecture part includes discussion about emerging technologies such as, blockchain usage, machine learning, intrusion detection systems and secure communication protocols. To store all data in transit, blockchain can be used cryptographically and protect it from eavesdropping and tampering. In this research review, key points that highlighted the lessons learned about security and privacy of UAVs are also summarized. Lastly, the survey is concluded by discussing important pitfalls as well as suggestions for future research directions, concerning privacy and security of UAVs. © 2023 Elsevier Ltd</t>
  </si>
  <si>
    <t>Adversarial machine learning; Blockchain; Cyber security and privacy; Digital forensic; Intrusion detection system; Vulnerabilities; Antennas; Blockchain; Computer crime; Digital forensics; E-learning; Intrusion detection; Machine learning; Network architecture; Network security; Unmanned aerial vehicles (UAV); Adversarial machine learning; Aerial vehicle; Block-chain; Cybe security and privacy; Cyber security; Intrusion Detection Systems; Machine-learning; Privacy and security; Security and privacy; Vulnerability; Cybersecurity</t>
  </si>
  <si>
    <t>10.1016/j.jnca.2023.103607</t>
  </si>
  <si>
    <t>https://www.scopus.com/inward/record.uri?eid=2-s2.0-85149803229&amp;doi=10.1016%2fj.jnca.2023.103607&amp;partnerID=40&amp;md5=192eb2c913f1dbea299e41b7fea8f3ca</t>
  </si>
  <si>
    <t>P206</t>
  </si>
  <si>
    <t>Tsou, Y.-C.; Chou, R.-H.; Chen, Y.-J.</t>
  </si>
  <si>
    <t>A High-security Internet of Drones Design by Integrating Physical-layer Key Generation and Blockchain</t>
  </si>
  <si>
    <t>Unmanned aerial vehicle (UAV) has received a lot of attention in recent years due to its potential applications in military, surveillance, package delivery, agriculture, and disaster management. Typically, these applications require multiple drones to build a network, transmit and receive data from IoT devices, and offload the task to a cloud server. However, the Internet of Drones (IoD) is vulnerable to a variety of attacks associated with IoT ecosystems, such as eavesdropping and identity spoofing. In this paper, we propose a secure IoD system in which the data transmission between UAVs and IoT devices is protected by physical-layer secrecy and the identity authentication is strengthened by blockchain. To the best of our knowledge, this work is the first to explore the joint design of physical-layer security and blockchain for protecting IoD systems. We demonstrate the feasibility of our designed IoD framework using experiment results from our testbed implementation.  © 2023 IEEE.</t>
  </si>
  <si>
    <t>blockchain; Internet of Drones (IoD); physical layer key generation (PLKG); Unmanned aerial vehicle (UAV); Antennas; Blockchain; Disaster prevention; Disasters; Internet of things; Military applications; Network security; Aerial vehicle; Block-chain; Drone system; High securities; Internet of drone; Key generation; Military surveillance; Physical layer key generation; Physical layers; Unmanned aerial vehicle; Drones</t>
  </si>
  <si>
    <t>10.1109/ICCE-Taiwan58799.2023.10226673</t>
  </si>
  <si>
    <t>https://www.scopus.com/inward/record.uri?eid=2-s2.0-85174962027&amp;doi=10.1109%2fICCE-Taiwan58799.2023.10226673&amp;partnerID=40&amp;md5=e0487ddcf8f339114ce88eaef441b702</t>
  </si>
  <si>
    <t>P207</t>
  </si>
  <si>
    <t>Loertthiraporn, T.; Silakorn, P.; Witoonsoontorn, K.; Lertthanasart, A.; Thepsriha, S.; Laemkhowthong, C.</t>
  </si>
  <si>
    <t>Plant Integrity Assurance by the Development and Deployment of Advanced NDE and Digitalization</t>
  </si>
  <si>
    <t>In the Gulf of Thailand, PTT Exploration and Production are operating 231 platforms. And with facility ages up to 40 years, inspection programs are required to be more rigorous. Conventional inspection concepts, mainly requiring human direct assessment and data manipulation, are labor-intensive and requires facility shutdown for safe access. Therefore, company have been developing and deploying advanced NDE and digitalization to assure integrity with optimum inspection strategies, while keeping operational cost reasonable and avoiding work backlogs. The initiatives of advanced NDE (Non-Destructive Examination) and digitalization started in 2016, throughout the process of technical survey, feasibility study, proof-of-concept testing and field testing. Specific tools, parameters, demonstration pieces, procedures and interpretation have been chosen, analyzed and developed for specific inspection tasks for acceptable sensitivity and accuracy of NDE. At the same time, under the concept of total inspection and integrity management, company have implemented digitalization. The digitalization has been developed to supplement, aid and even replace conventional inspection data manipulation methods, which are based mainly on personnel. In this paper, sample cases of the applications of LRUT (Long Range Ultrasonic Testing) to detect and monitor corrosion under riser clamps, PAUT (Phase Arrayed Ultrasonic Testing) to monitor thermal fatigue cracking of vessels, and home-made Drones to monitor flares (while operating) and inspect tank internals are discussed. It has been found that, with proven, specific tool parameters and procedures, target damages and defects can be identified and monitored. 62% reduction in downtime per year required for safe access and assessment are attained. From the sample cases, cost saving at 17.83MMUSD per year is realized. Also, sample cases of digitalization are discussed. The paper describes cases of ML (Machine Learning) for image processing to detect and identify cracking, for characterization and prediction of metal loss. cases of RPA (Robot Processing Automation) for manipulating inspection results are described too. It has been found that ML provides 80% improvement in terms of accuracy and of interpretation time. RPA 71% reduces the time of manipulating inspection/NDE data, anomalies and metal loss calculation, apart from eliminating human errors. Finally, integrity management platform 21% saves direct inspection cost, by improving inspection strategies. As on-stream inspection concept is more important for increasing numbers of aging Oil and Gas facilities, advanced NDE methods play more vital roles. And with increasingly powerful computer-processing, digitalization is proven to provide higher accuracy and efficiency, with minimal errors. Concepts and sample cases explained in this paper reinforce these ideas with realized benefits of both cost saving and integrity assurance. Copyright © 2023, International Petroleum Technology Conference.</t>
  </si>
  <si>
    <t>Gasoline; Image processing; Inspection; Plant shutdowns; Ultrasonic testing; Cost saving; Data manipulations; Inspection strategy; Integrity assurance; Integrity management; Machine-learning; Metal loss; Non-destructive examination; Specific tool; Tool parameter; Nondestructive examination</t>
  </si>
  <si>
    <t>10.2523/IPTC-22869-MS</t>
  </si>
  <si>
    <t>https://www.scopus.com/inward/record.uri?eid=2-s2.0-85150599954&amp;doi=10.2523%2fIPTC-22869-MS&amp;partnerID=40&amp;md5=9918832e5f3514a334dc136cc2893219</t>
  </si>
  <si>
    <t>P208</t>
  </si>
  <si>
    <t>Gaber, T.; Guo, X.F.; Salloum, S.</t>
  </si>
  <si>
    <t>DoS Attacks Detection in the Network of Drones: An Efficient Decision Tree-Based Model</t>
  </si>
  <si>
    <t>This study examines the detection of the denial of service (DoS) attacks on Wi-Fi-based unmanned aerial vehicles (UAV). The paper proposed an efficient DoS attack detection method based on Decision Tree classifier. The method consists of preprocessing, feature extraction, and DoS attack detection. The preprocessing was proved to save drones’ resources and improve the detection rate. The investigation of different classifiers, i.e., KNN, Random Forest, Logistic Regression, and Decision Tree, the latter was concluded to be the best in detecting DoS attacks of types of De-authentication and UDP/TCP flood within the shortest runtime. The evaluation further showed that proposed DoS detection method is better than the most related work where it achieved detection with F1-score of 0.989 and with the shortest latency. © 2023, ICST Institute for Computer Sciences, Social Informatics and Telecommunications Engineering.</t>
  </si>
  <si>
    <t>Algorithm Latency; Decision Tree; DoS attack; Machine learning; Smart cities; Aircraft detection; Decision trees; Denial-of-service attack; Drones; Feature extraction; Internet of things; Random forests; Smart city; Aerial vehicle; Algorithm latency; Attack detection; Decision tree classifiers; Denialof- service attacks; Detection methods; Features extraction; Machine-learning; Tree-based model; Trees-based models; Antennas</t>
  </si>
  <si>
    <t>10.1007/978-3-031-33614-0_12</t>
  </si>
  <si>
    <t>https://www.scopus.com/inward/record.uri?eid=2-s2.0-85163289689&amp;doi=10.1007%2f978-3-031-33614-0_12&amp;partnerID=40&amp;md5=aa9dda10657dd3b2755cadf92cd54ad3</t>
  </si>
  <si>
    <t>P209</t>
  </si>
  <si>
    <t>Carpenter, W.; Omodara, P.; Babiceanu, R.; Kandel, L.N.</t>
  </si>
  <si>
    <t>An Extended Study of the Applications of Using Gesture Control to Pilot UAVs</t>
  </si>
  <si>
    <t>Unmanned Aerial Vehicles (UAVs) are normally piloted by a traditional ground controller (GRC). This paper proposes a modeling approach for gesture-based control of UAVs. While the GRC approach can be useful, there are several issues that can be improved by using only gestures. By using gesture control, users with no previous experience can instantly control an UAV at an elevated level. Because users only need gestures, UAVs can be used for more applications. Utilizing python code, gesture control was implemented on a DJI Tello drone using computer vision. The UAV camera recognizes user gestures and interprets them as written in the code. Using intuitive controls, users can use the unmanned systems in many ways and complete a wide variety of tasks. GRC signals are vulnerable to eavesdropping posing security risks. In contrast, gesture control, which relies on physical movements or hand gestures, eliminates the need for signal transmission susceptible to interception. By integrating gesture control into the authentication process, an additional layer of security can be established. © 2023 IEEE.</t>
  </si>
  <si>
    <t>facial recognition; gesture-based control; Unmanned Aerial Vehicles (UAV); Aircraft control; Face recognition; Gesture recognition; Rock mechanics; Security systems; Unmanned aerial vehicles (UAV); Aerial vehicle; Elevated level; Facial recognition; Gesture control; Gesture-based control; Ground controllers; Intuitive controls; Modeling approach; Python code; Unmanned aerial vehicle; Antennas</t>
  </si>
  <si>
    <t>10.1109/ICMLA58977.2023.00265</t>
  </si>
  <si>
    <t>https://www.scopus.com/inward/record.uri?eid=2-s2.0-85190112314&amp;doi=10.1109%2fICMLA58977.2023.00265&amp;partnerID=40&amp;md5=b53048986bfe600c30d0670249e31610</t>
  </si>
  <si>
    <t>P21</t>
  </si>
  <si>
    <t>Anghuwo, J.S.; Imanuel, P.; Nangolo, S.S.</t>
  </si>
  <si>
    <t>Anti-unmanned aerial vehicle detection system for airports: aviation and national security perspective</t>
  </si>
  <si>
    <t>Unmanned Aerial Vehicles gained significant popularity in the last decade as demonstrated by their wide usage in various fields. From around the year 2001, the usage of unmanned aerial vehicles’ technology was mainly confined to law enforcement agencies such as the military, police, and customs. In the contemporary, terrorists have also been observed to be using unmanned aerial vehicles to attack aviation facilities. The current paper examines the levels of vulnerability of the Namibian airports to possible intrusion and attack from unmanned aerial vehicles, a situation that could pose a serious threat to aviation and national security. Adopting a qualitative research approach, the study made use of a questionnaire and semi-structured interview guide to collect primary data from the participants. Microsoft Excel was used to analyse the data. The study establishes that Namibian airports are prone to attacks from unmanned aerial vehicles as there are no anti-unmanned aerial vehicle detection systems installed at all airports in the country. Thus, there is clear evidence that the Namibia Civil Aviation Authority and the Namibian Airport Company’s regulations and policies on aviation safety and security did not prioritise the installation of anti-unmanned aerial vehicle detection systems at all airports in Namibia. The paper suggests that, in order to enhance aviation safety and security, a joint civil/military Information Technology Unit, responsible for spoofing, detection, and the monitoring of illicit unmanned aerial vehicle operations should be set up and operations activated at all airports and other public infrastructures in Namibia. © The Author(s) 2024.</t>
  </si>
  <si>
    <t>Airports’ vulnerability; Anti-unmanned aerial vehicle detection system; Aviation safety and security; National security; UAV attack; UAVs</t>
  </si>
  <si>
    <t>10.1007/s12198-024-00280-w</t>
  </si>
  <si>
    <t>https://www.scopus.com/inward/record.uri?eid=2-s2.0-85193254114&amp;doi=10.1007%2fs12198-024-00280-w&amp;partnerID=40&amp;md5=760c51441934acfdeefd202f86a6ca51</t>
  </si>
  <si>
    <t>P210</t>
  </si>
  <si>
    <t>Lofu, D.; Gennaro, P.D.; Tedeschi, P.; Noia, T.D.; Sciascio, E.D.</t>
  </si>
  <si>
    <t>URANUS: Radio Frequency Tracking, Classification and Identification of Unmanned Aircraft Vehicles</t>
  </si>
  <si>
    <t>Safety and security issues for Critical Infrastructures are growing as attackers adopt drones as an attack vector flying in sensitive airspaces, such as airports, military bases, city centers, and crowded places. Despite the use of UAVs for logistics, shipping recreation activities, and commercial applications, their usage poses severe concerns to operators due to the violations and the invasions of the restricted airspaces. A cost-effective and real-time framework is needed to detect the presence of drones in such cases. In this contribution, we propose an efficient radio frequency-based detection framework called URANUS. We leverage real-time data provided by the Radio Frequency/Direction Finding system, and radars in order to detect, classify and identify drones (multi-copter and fixed-wings) invading no-drone zones. We adopt a Multilayer Perceptron neural network to identify and classify UAVs in real-time, with 90% accuracy. For the tracking task, we use a Random Forest model to predict the position of a drone with an MSE approx 0.29, MAE 0.04, and R2 0.93. Furthermore, coordinate regression is performed using Universal Transverse Mercator coordinates to ensure high accuracy. Our analysis shows that URANUS is an ideal framework for identifying, classifying, and tracking UAVs that most Critical Infrastructure operators can adopt.  © 2023 The Authors.</t>
  </si>
  <si>
    <t>cyber physical systems; drone; machine learning; safety; security; UAV; Accident prevention; Aircraft accidents; Aircraft detection; Antennas; Cost effectiveness; Critical infrastructures; Cyber Physical System; Cybersecurity; Embedded systems; Explosives detection; Extraction; Fixed wings; Machine learning; Public works; Radio frequency identification (RFID); Tracking radar; Cybe-physical systems; Cyber-physical systems; Machine-learning; Predictive models; Radiofrequencies; Random forests; Real- time; Security; Task analysis; Drones</t>
  </si>
  <si>
    <t>10.1109/OJVT.2023.3333676</t>
  </si>
  <si>
    <t>https://www.scopus.com/inward/record.uri?eid=2-s2.0-85178017451&amp;doi=10.1109%2fOJVT.2023.3333676&amp;partnerID=40&amp;md5=f7e4703e8ed391c426800fd05d23875d</t>
  </si>
  <si>
    <t>P211</t>
  </si>
  <si>
    <t>Sarvesh, E.; Jinesh, J.; Chitrakala, S.</t>
  </si>
  <si>
    <t>MedUAV: Drone-based Emergency Medical Supply System using Decentralized Autonomous Organization (DAO)</t>
  </si>
  <si>
    <t>Unmanned Aerial Vehicles (UAV), often referred to as drones, have the potential to revolutionize the healthcare industry. They offer speed and accessibility in delivering medical supplies, making them the superior mode of transport for inaccessible and remote areas. Though drone-based systems are advantageous, there is a need for an end-to-end system that could provide a secure platform to use drones in a flawless manner to perform transactions. Drones are vulnerable to hacking and data interception, which may lead to the exfiltration of collected data by malicious users. In this study, MedUAV, a prototype for a drone-based decentralized autonomous emergency medicine supply system, is proposed. It leverages the security aspects of blockchain and smart contracts. The proposed system is deployed and tested in the Polygon Main network, and significant conclusions about the performance of the system are discussed. © 2023 Elsevier B.V.. All rights reserved.</t>
  </si>
  <si>
    <t>Blockchain; Decentralized Autonomous Organization; Medical emergency Supply; Security; Smart contract; UAV; Antennas; Blockchain; Drones; Medicine; Personal computing; Aerial vehicle; Block-chain; Decentralised; Decentralized autonomous organization; Healthcare industry; Medical emergency; Medical emergency supply; Security; Supply system; Unmanned aerial vehicle; Smart contract</t>
  </si>
  <si>
    <t>10.1016/j.procs.2023.12.128</t>
  </si>
  <si>
    <t>https://www.scopus.com/inward/record.uri?eid=2-s2.0-85184108406&amp;doi=10.1016%2fj.procs.2023.12.128&amp;partnerID=40&amp;md5=7bd13758a9191055dacd11f0edbdb8fb</t>
  </si>
  <si>
    <t>P212</t>
  </si>
  <si>
    <t>Aruna Devi, K.; Ranjitha, M.; Divya, M.O.</t>
  </si>
  <si>
    <t>Blockchain Powered IoT Platform for Autonomous Drone Operations in Smart Farming for Environment Sustainability</t>
  </si>
  <si>
    <t>A blockchain based platform can be decentralized, meaning that it is not controlled by a single entity or organization. This can help to cut down the risk of data manipulation or fraud, and can also make the platform more resilient to cyber-attacks or other security threats. By automating many of the processes involved in data collection and analysis, blockchain technology can assist farmers to decrease their costs and increase profitability. Architecture for blockchain powered IoT platform for autonomous drone operations in smart farming is proposed. It has three layers which include data acquistion and encryption in IoT layer and creation and management of ledger in the blockchain layer and service provider layer that include user interaction and farming software. Agriculture integrates many of the new automation technologies already in their routine. The proposed architecture enriches the functioning of farming without affecting the current framework. Overall, the blockchain powered IoT platform for autonomous drone operations in smart farming can help farmers improve their efficiency, increase transparency and security, reduce costs, and ultimately achieve more environment sustainability and profitable farming practices.  © Published under licence by IOP Publishing Ltd.</t>
  </si>
  <si>
    <t>Agriculture; Blockchain; Environment Sustainability; IoT; UAV</t>
  </si>
  <si>
    <t>10.1088/1755-1315/1237/1/012016</t>
  </si>
  <si>
    <t>https://www.scopus.com/inward/record.uri?eid=2-s2.0-85176609043&amp;doi=10.1088%2f1755-1315%2f1237%2f1%2f012016&amp;partnerID=40&amp;md5=76477a231d1e50247db299a5529ee9bc</t>
  </si>
  <si>
    <t>P213</t>
  </si>
  <si>
    <t>Singh, A.; Sharma, G.; Krishnamurthi, R.; Kumar, A.; Bhatia, S.; Mashat, A.</t>
  </si>
  <si>
    <t>Cybersecurity for Battlefield of Things - A Comprehensive Review</t>
  </si>
  <si>
    <t>Battlefield of Things (BoT) is a modern defense network that connects smart military devices to strategic networks. Cybersecurity plays a vital role in maintaining the security of BoT networks and provides encrypted communication networks with combat devices on an end-to-end or peer-to-peer basis. This paper proposes approaches to BoT networks that operate on a three-tier architecture, starting with an application and service layer, a network and cybersecurity layer, and finally, a battlefield layer; implements CNN-YOLO-based target detection; and also formulates information security policies, privacy, and IT laws to maintain algorithmic data access and authorization. It connects a battlefield combat equipment network to a command data center's ground base station wireless, Bluetooth, sensor, radio, and ethernet cable. This paper analyzes prior Internet of Things (IoT) device attack strategies by collecting data sets of IoT security breaches from external sources. How the system security works, what breach techniques an attacker can use, how to avoid these, and how our systems can be strengthened to protect us from future attacks are discussed in detail.  © 2022 World Scientific Publishing Company.</t>
  </si>
  <si>
    <t>Artificial intelligence; Battlefield of Things (BoT); communication network; cybersecurity; drone system; Internet of Things (IoT) attacks; security policy and law; sensors and actuators; threat intelligence system; UAV - unmanned aerial vehicle; Antennas; Authorization; Cybersecurity; Network architecture; Network layers; Network security; Peer to peer networks; Security systems; Unmanned aerial vehicles (UAV); Battlefield of thing; Communications networks; Cyber security; Drone system; Intelligence systems; Internet of thing  attack; Policies and laws; Security laws; Security policy; Sensors and actuators; Threat intelligence system; Internet of things</t>
  </si>
  <si>
    <t>10.1142/S0218126622300100</t>
  </si>
  <si>
    <t>https://www.scopus.com/inward/record.uri?eid=2-s2.0-85136203824&amp;doi=10.1142%2fS0218126622300100&amp;partnerID=40&amp;md5=a438a3dd452e809b33bcbb194a8ae59f</t>
  </si>
  <si>
    <t>P214</t>
  </si>
  <si>
    <t>Abro, G.E.M.; Zulkifli, S.A.B.M.; Masood, R.J.; Asirvadam, V.S.; Laouti, A.</t>
  </si>
  <si>
    <t>Comprehensive Review of UAV Detection, Security, and Communication Advancements to Prevent Threats</t>
  </si>
  <si>
    <t>It has been observed that unmanned aerial vehicles (UAVs), also known as drones, have been used in a very different way over time. The advancements in key UAV areas include detection (including radio frequency and radar), classification (including micro, mini, close range, short range, medium range, medium-range endurance, low-altitude deep penetration, low-altitude long endurance, and medium-altitude long endurance), tracking (including lateral tracking, vertical tracking, moving aerial pan with moving target, and moving aerial tilt with moving target), and so forth. Even with all of these improvements and advantages, security and privacy can still be ensured by researching a number of key aspects of an unmanned aerial vehicle, such as through the jamming of the control signals of a UAV and redirecting them for any high-assault activity. This review article will examine the privacy issues related to drone standards and regulations. The manuscript will also provide a comprehensive answer to these limitations. In addition to updated information on current legislation and the many classes that can be used to establish communication between a ground control room and an unmanned aerial vehicle, this article provides a basic overview of unmanned aerial vehicles. After reading this review, readers will understand the shortcomings, the most recent advancements, and the strategies for addressing security issues, assaults, and limitations. The open research areas described in this manuscript can be utilized to create novel methods for strengthening the security and privacy of an unmanned aerial vehicle. © 2022 by the authors.</t>
  </si>
  <si>
    <t>advancement; classification; tracking and communication threats; unmanned aerial vehicle; Aircraft communication; Aircraft detection; Antenna grounds; Jamming; Publishing; Advancement; Aerial vehicle; Low altitudes; Medium range; Moving targets; Security and privacy; Tracking and communication threat; Unmanned aerial vehicle; Vehicle security; Vehicles detection; Drones</t>
  </si>
  <si>
    <t>10.3390/drones6100284</t>
  </si>
  <si>
    <t>https://www.scopus.com/inward/record.uri?eid=2-s2.0-85140591725&amp;doi=10.3390%2fdrones6100284&amp;partnerID=40&amp;md5=f25399f223ff2be91caed90d89b77e16</t>
  </si>
  <si>
    <t>P215</t>
  </si>
  <si>
    <t>Minhas, D.</t>
  </si>
  <si>
    <t>GPS Spoofing Attacks Detection Using Defensive Schemes in FANETs</t>
  </si>
  <si>
    <t>Groups of UAVs working together in an Ad-Hoc net are called Flying Ad-Hoc Networks (FANETs). owing to their cheap cost &amp; excellent efficiency, UAVs have attracted hostile safety risks owing to their broad adoption. The failure of UAVs to avoid these assaults is based on their processing limitations, battery life, particularly the complexity of the algorithms they can run. GPS, or the Global Positioning System, is essential for geolocation in FANETs. One of the major difficulties with FANETs is GPS tampering an attack that may be launched with relative ease. In this scenario, fake GPS coordinates are used to fool civilian unencrypted GPS transmissions &amp; cause UAVs to crash into one other or be kidnapped. Several solutions were presented by the research community to protect FANETs against GPS Spoofing attacks. This work presents a thorough literature review of GPS spoofing assaults in FANETs along with defensive mechanisms to aid future research. Existing defensive systems were categorized according to their goals (detection, reduction, and/or avoidance) as well as the basis (relying on measurements collected by different drones' devices/sensors, analyzing the signals obtained from various sensors, utilizing machine learning computations, leveraging game theory, or utilizing cryptographic methods to verify and safeguard the secrecy of GPS signals). Finally, a game-theoretic approach is suggested for identifying GPS spoofing attacks. © 2023 IEEE.</t>
  </si>
  <si>
    <t>Attack Detection and Prevention System; FANETs; GPS Spoofing Attacks; Security and Privacy; UAVs; Ad hoc networks; Computational complexity; Cryptography; Drones; Game theory; Global positioning system; Ad-hoc networks; Attack detection; Attack detection and prevention system; Attack prevention; Detection system; Flying ad-hoc network; GPS spoofing attack; Prevention systems; Security and privacy; Spoofing attacks; Aircraft detection</t>
  </si>
  <si>
    <t>10.1109/ICDSNS58469.2023.10245583</t>
  </si>
  <si>
    <t>https://www.scopus.com/inward/record.uri?eid=2-s2.0-85173609572&amp;doi=10.1109%2fICDSNS58469.2023.10245583&amp;partnerID=40&amp;md5=d7cc3a8922590fa45451844d52e3e8e7</t>
  </si>
  <si>
    <t>P216</t>
  </si>
  <si>
    <t>McNerney, M.T.; Bishop, G.; Saur, V.</t>
  </si>
  <si>
    <t>Experiences Gained and Benefits from Using Uncrewed Aerial Systems to Calculate Pavement Condition Index at over 80 Airports in the United States</t>
  </si>
  <si>
    <t>Silent Falcon has developed a process for efficiently collecting pavement condition inspections at over 80 airports in the United States. The project planning process ensures that 100% coverage of the airfield pavements to be acquired at less than 2 mm ground pixel resolution tied into the National Geodetic Survey grid. The operations team has developed an excellent coordination process with the airport and air traffic control tower to ensure the minimum time on the runways and safe airport operations. Depending on the size of the airport, the data collection phase is accomplished using multiple UAS with FAA licensed pilots. Lessons were learned about the best overlap, best altitudes, and best processes for orthorectification of the stitched images. The distresses are quality control reviewed with a professional pavement engineer for final calculation of the Pavement Condition Index. The pavement inspection is delivered to the client in ArcGIS Pro with individual distresses in separate layers geolocating the distress and severities. Utah DOT compared the previously collected manual pavement inspections with the UAS calculated PCI and have been incredibly happy with the correlations. The ArcGIS deliverable provides the ability to compare the PCI and individual distresses with the detailed imagery, which allows for further field inspection of areas of interest. This detailed imagery is a great benefit to the airport or airport consultant. The total quantities of cracking and other distresses that are calculated supply data for preliminary engineering of rehabilitation options. Silent Falcon has gone beyond the research phase and is progressing with full-scale implementation of the system that has been developed. Feedback provided by other states' aviation officials and airports has been incredibly positive. © ASCE 2023. All rights reserved.</t>
  </si>
  <si>
    <t>Air navigation; Air traffic control; Antennas; Geographic information systems; Human resource management; Inspection; Pavements; Unmanned aerial vehicles (UAV); Aerial systems; Airfield pavement; Geodetic survey; Ground pixels; Pavement condition; Pavement condition indices; Pavement inspections; Pixel resolution; Planning process; Project planning; Airports</t>
  </si>
  <si>
    <t>10.1061/9780784484906.023</t>
  </si>
  <si>
    <t>https://www.scopus.com/inward/record.uri?eid=2-s2.0-85165749763&amp;doi=10.1061%2f9780784484906.023&amp;partnerID=40&amp;md5=de426f52e925021d000ff29381b9cd43</t>
  </si>
  <si>
    <t>P217</t>
  </si>
  <si>
    <t>Ahnaf Shihab, U.L.M.; Apsaan, M.T.M.S.; Fayas Ahamed, M.H.; Razeeya, M.R.F.; Juhaniya, A.I.S.</t>
  </si>
  <si>
    <t>An Adaptive YOLO Model for Detection of Faulty Insulators in Power Transmission Network Using Unmanned Aerial Vehicle</t>
  </si>
  <si>
    <t>Effective monitoring and problem detection are thought necessary for assuring continuous power supply. This study developed a machine learning approach to detect and diagnose insulator failures in power transmission lines by analyzing photos of cracked, polluted, and flash-overed insulators recorded using a drone. Through numerous rounds of the object recognition model YOLO (You Only Look Once), a diverse dataset of power transmission line photos was used to train and compare the performance of an enhanced YOLOv8x model versus YOLOv5n, YOLOv5x, YOLOv7, YOLOv7x, and YOLOv8n. Furthermore, approaches such as transfer learning and augmentation have been used to improve the model's performance. The YOLOv8x model outperformed the other YOLO models tested, with an accuracy of 0.94, recall of 0.934, and Mean Average Precision (mAP) at 0.5 of 0.944 for insulator failure detection. The suggested fault detection machine learning approach combined with a drone-based system provides an adaptive fault monitoring system with high precision and low cost. © 2023 IEEE.</t>
  </si>
  <si>
    <t>drone; insulator faults; machine learning; power transmission line; unmanned aerial vehicle; Aircraft detection; Antennas; Electric lines; Electric power transmission; Electric power transmission networks; Fault detection; Image enhancement; Learning systems; Machine learning; Object recognition; Power transmission; Vehicle transmissions; Aerial vehicle; Faulty insulators; Insulator fault; Machine learning approaches; Machine-learning; Power supply; Power transmission lines; Power transmission networks; Problem detection; Unmanned aerial vehicle; Drones</t>
  </si>
  <si>
    <t>10.1109/MERCon60487.2023.10355499</t>
  </si>
  <si>
    <t>https://www.scopus.com/inward/record.uri?eid=2-s2.0-85184368582&amp;doi=10.1109%2fMERCon60487.2023.10355499&amp;partnerID=40&amp;md5=2002bc773c04f59603d8d42e89c90d8b</t>
  </si>
  <si>
    <t>P218</t>
  </si>
  <si>
    <t>Li, H.; Guo, Y.; Bai, Y.; Liu, E.</t>
  </si>
  <si>
    <t>UAV Localisation and Formation Analysis Based on Passive Dual-station Localisation and after Optimised Models</t>
  </si>
  <si>
    <t>UAV navigation and positioning research is critical to flight safety, complex environment response and aviation technology advancement. Global research has focused on multi-sensor fusion and visual navigation, but challenges such as positioning accuracy, multi-modal fusion and real-time performance still need to be addressed. Continued in-depth research will improve UAV positioning accuracy, environment awareness and autonomous navigation capabilities, and promote the expansion of UAV technology applications. This paper focuses on the advantages of radar and unmanned aerial vehicles (UAVs), such as strong concealment and anti-jamming, which are one of the key equipments in modern military operations. The existing passive positioning methods have the defect of large target positioning error, which cannot meet the needs of today's warfare. Therefore, this study proposes a UAV positioning and formation analysis based on passive dual-station positioning and optimised models. The results show that the model proposed in this study has good robustness. © 2023 SPIE.</t>
  </si>
  <si>
    <t>Navigator; Orientation; Unmanned aerial vehicle; Air navigation; Antennas; Military vehicles; Unmanned aerial vehicles (UAV); Aerial vehicle; Localisation; Navigator; Optimized models; Orientation; Positioning accuracy; Unmanned aerial vehicle; Vehicle formations; Vehicle localization; Vehicle positioning; Military operations</t>
  </si>
  <si>
    <t>10.1117/12.3008183</t>
  </si>
  <si>
    <t>https://www.scopus.com/inward/record.uri?eid=2-s2.0-85172918893&amp;doi=10.1117%2f12.3008183&amp;partnerID=40&amp;md5=6c1de9962f9ceaf0fd247a52791d9062</t>
  </si>
  <si>
    <t>P219</t>
  </si>
  <si>
    <t>Corbett, A.; Smith, B.J.; Melton, B.</t>
  </si>
  <si>
    <t>Deployment of an In-Situ Tunable Diode Laser Absorption Spectrometer (TDLAS) on Unmanned Aerial Systems (UAS) to Quantify Offshore Emissions from Facility Level Down to Equipment Group Level</t>
  </si>
  <si>
    <t>As political, environmental, and social pressures build, oil and gas operators are searching for ways to effectively reduce methane emissions. The first step to emission reduction is to understand the current state of facility emissions, which is typically estimated using bottom-up estimations or measured using a variety of technologies. Increasingly, these bottom-up estimations are under scrutiny due to their lack of agreement with independent, contemporaneous measurements from mass-balance methods or remote-sensing observations. In an offshore environment methane emissions measurement is particularly challenging, especially considering the absorption/reflectivity characteristics of water which inhibits sensors that measure backscatter, such as LiDAR and satellites. Deploying a high-resolution methane sensor onboard a UAS maximizes safety while allowing for accurate emission quantifications, in a way that most other approaches cannot. In this work, methane emissions are detected and quantified in an offshore environment using the SeekIR sensor, an in-situ tunable diode laser absorption spectrometer (TDLAS), mounted on a vertical takeoff and landing (VTOL) Uncrewed Aerial System (UAS). In Fall 2021, methane leak detection and quantification surveys were conducted at offshore facilities in the North Sea and northwest Europe. The TDLAS system was deployed on a DJI M300 multi-rotor drone from a contracted supply vessel to detect and quantify methane emissions at the facilities. Methane concentration, wind data, and other ancillary data were used to perform a mass-balance calculation that resulted in facility-level emissions, independent from background methane concentrations. Operational challenges were encountered and overcome, such as vessel contracting, weather, survey design, and strategizing on valuable data products. Using algorithms that have been validated in third party field trials and metered controlled release experiments, methane emissions were calculated using the measured methane mixing ratios and wind data collected during the survey. Methane emissions were detected and quantified from the 5 offshore facilities, with the results from the surveys used to compare with the bottom-up calculation performed during the same operational period. In one of the first applications of its kind for industry, high-spatiotemporal, high-spatiotemporal methane emission measurement surveys were conducted in an offshore environment, showcasing the application of small unmanned systems proximal to offshore assets as a viable operational approach to meet internal, voluntary, and/or regulatory emissions reporting. Using UAS systems with a TDLAS sensor allows for effective, safe, and accurate methane emissions quantification offshore, saving time and limiting any potential scheduling issues involved with sending manned crews onto the platform. The closed system sensor can be used offshore over water and other high reflective surfaces, allowing for estimates of methane emissions of individual equipment groups. © OE 2023. All rights reserved.</t>
  </si>
  <si>
    <t>methane emissions; OGMP 2.0; reconciliation; TDLAS; Top-down; Antennas; Emission control; Gas emissions; Remote sensing; Semiconductor lasers; Spectrometers; Unmanned aerial vehicles (UAV); Water absorption; Bottom-up estimations; Emission measurement; Methane emissions; Offshore environments; Offshores; OGMP 2.0; Reconciliation; Topdown; Tunable diode laser absorption spectrometers; Unmanned aerial systems; Methane</t>
  </si>
  <si>
    <t>10.2118/215547-MS</t>
  </si>
  <si>
    <t>https://www.scopus.com/inward/record.uri?eid=2-s2.0-85172368420&amp;doi=10.2118%2f215547-MS&amp;partnerID=40&amp;md5=5ac3bed8034661f18aeeb7a1cdd7e54d</t>
  </si>
  <si>
    <t>P22</t>
  </si>
  <si>
    <t>Alzahrani, M.Y.</t>
  </si>
  <si>
    <t>Enhancing Drone Security Through Multi-Sensor Anomaly Detection and Machine Learning</t>
  </si>
  <si>
    <t>Unmanned Aerial Vehicles (UAVs), commonly referred to as drones, have determined numerous applications across industries, ranging from aerial surveillance to package shipping. As drones are used in vital operations, ensuring cyberattacks and anomalies protect them from attackers is now a big challenge. This research study presents a complete approach to enhancing drone safety by integrating multi-sensor anomaly detection and superior machine learning techniques. The proposed methodology capitalizes on the rich sensor suite embedded in present-day drones, encompassing GPS receivers, accelerometers, gyroscopes, cameras, communication modules, and more. Leveraging an array of sensors in drones, our technique detects abnormal drone behavior indicative of unauthorized access, GPS spoofing, communication jamming, and malicious activities. By extracting features from sensor records, we develop a robust anomaly detection framework using the “uav attack dataset” able to identify deviations from normal flight patterns, communication signals, and environmental interactions. Central to our methodology is the utilization of machine learning algorithms. These algorithms are skilled on labeled datasets containing numerous flight eventualities, each normal and hostile, together with the ones discovered inside the “uav attack dataset”. The obtained results are eventually evaluated using rigorous performance metrics to quantify their effectiveness in distinguishing genuine anomalies from benign variations. The findings of our study underscore the capacity of multi-sensor anomaly detection for drones. By harnessing the power of machine learning and sensor fusion, we exhibit the ability to hit upon attacks at an early level, mitigating capability harm and permitting rapid responses. This study contributes now not only to the field of drone safety but also to the broader panorama of self-sustaining systems protection, highlighting the importance of adaptive and proactive protection mechanisms. Results show that an accuracy of 99% with AUC of 100$ was achieved when all the sensors were used. © The Author(s), under exclusive licence to Springer Nature Singapore Pte Ltd. 2024.</t>
  </si>
  <si>
    <t>Anomaly Detection; Drone Security; Machine Learning for Drones; Multi-Sensor Anomaly Detection; Sensor Fusion</t>
  </si>
  <si>
    <t>10.1007/s42979-024-02983-2</t>
  </si>
  <si>
    <t>https://www.scopus.com/inward/record.uri?eid=2-s2.0-85195944082&amp;doi=10.1007%2fs42979-024-02983-2&amp;partnerID=40&amp;md5=6200a876d8badd2677146c02a2082dfb</t>
  </si>
  <si>
    <t>P220</t>
  </si>
  <si>
    <t>Bhattacharya, A.; Fatma, A.; Pathak, P.; Bhatt, V.</t>
  </si>
  <si>
    <t>Cybersecurity in the Heritage Tourism - A Bibliometric Analysis on Usage of UAV &amp; Drones</t>
  </si>
  <si>
    <t>The global military UAV and drone market size in 2018 stood at over USD 8 billion and is projected to rise with a CAGR of 12.4% and is expected to reach USD 21.76 billion by 2026. Drone-enabling technologies and their future applications in tourism are already diverse and rapidly developing. Unmanned Aerial Vehicles (UAV) are used for general applications like destination surveillance and inspection and ample information on tourists. Hence, to maintain confidentiality, integrity, and data availability, UAVs and drones must be highly confidential and protected from tampering. Various incidents exhibit that the race between cyberattacks and cybersecurity is perpetual and requires continuous development. Government regulations on UAVs and drones also need to be updated regularly regarding the constant growth in the technologies of drones. The proliferation of drones presents an opportunity for regulators to stimulate a new industry. Regulators may help, impede, or act neutrally in creating innovations when faced with disruptive technological change. The main challenge is determining if current regulatory structures are adequate for mitigating potential negative consequences while enabling drone services to grow. Drone legislation must address public concerns about performance, competitiveness, and long-term viability. This study examines the literature on cybersecurity in various research domains during the last decade regarding metrics like Year of Publication, most active publishers, most relevant research domain, and most used keywords. These parameters were considered through systematic bibliometric analysis using MS Excel and Python to visualize and forecast the results. This paper discusses and analyses the specifications (electronic and physical), networking architecture, types of cyber threats, governance regulations, cryptographic algorithms, standards of UAVs and drones, and their prospective usage in heritage preservation. The results highlight the factors responsible for Cybersecurity in UAVs and drones.  © 2023 IEEE.</t>
  </si>
  <si>
    <t>cyber network; Cybersecurity; drones; heritage; tourism; UAV.; Antennas; Cybersecurity; Laws and legislation; Tourism; Aerial vehicle; Bibliometrics analysis; Cybe network; Cyber security; Enabling technologies; Heritage; Heritage tourisms; Market sizes; Research domains; Unmanned aerial vehicle.; Drones</t>
  </si>
  <si>
    <t>10.1109/ICSH57060.2023.10482823</t>
  </si>
  <si>
    <t>https://www.scopus.com/inward/record.uri?eid=2-s2.0-85190495336&amp;doi=10.1109%2fICSH57060.2023.10482823&amp;partnerID=40&amp;md5=598d336cbf9c9257c88b01ef7943be06</t>
  </si>
  <si>
    <t>P221</t>
  </si>
  <si>
    <t>Freeman, K.; Gillem, N.; Jones, A.R.; Sharma, N.</t>
  </si>
  <si>
    <t>A Blockchain Case Study for Urban Air Mobility Operational Intent</t>
  </si>
  <si>
    <t>To realize the potential of Urban Air Mobility (UAM), an assurance of cybersecurity is critical for public acceptance. UAM is a concept that proposes to develop short-range, point-to-point transportation systems in metropolitan areas using vertical takeoff and landing (VTOL) aircraft to overcome increasing surface congestion. The growth in the development of UAM systems, and the associated data exchange and service interactions will be at risk due to numerous types of cybersecurity attacks. The intent of this work is to leverage a permissioned blockchain to simulate secure data exchange and storage for the UAM operational intent use case. In this case study, two vehicle operators are operating in the same airspace. Their intent is to fly vehicles that land at a shared vertiport, securely. © 2023, American Institute of Aeronautics and Astronautics Inc, AIAA. All rights reserved.</t>
  </si>
  <si>
    <t>Blockchain; Cybersecurity; Digital storage; Electronic data interchange; Block-chain; Case-studies; Cyber security; Metropolitan area; Mobility systems; Public acceptance; Service interaction; Transportation system; Urban air; Vertical takeoff and landing aircrafts; Air mobility</t>
  </si>
  <si>
    <t>10.2514/6.2023-3401</t>
  </si>
  <si>
    <t>https://www.scopus.com/inward/record.uri?eid=2-s2.0-85199874804&amp;doi=10.2514%2f6.2023-3401&amp;partnerID=40&amp;md5=d77e1fe3139deabe3809dd8b9dba4bc1</t>
  </si>
  <si>
    <t>P222</t>
  </si>
  <si>
    <t>Souli, N.; Kolios, P.; Ellinas, G.</t>
  </si>
  <si>
    <t>Multi-Agent System for Rogue Drone Interception</t>
  </si>
  <si>
    <t>A multitude of applications based on unmanned aircraft vehicles (UAVs), in conjunction with the UAVs' diminishing costs and increasing capabilities, present a major threat to public safety as well as critical infrastructure security, leading to the need for versatile and robust counter-drone solutions. This work presents a novel multi-agent jamming system, where a group of cooperative autonomous agents employ various algorithms (detection, tracking, jamming, and self-localization) to counter unauthorized drone operations. The proposed system employs a joint wireless jamming and cooperative positioning framework to best track and intercept the moving rogue drone, utilizing a relative positioning system based on signals of opportunity in conjunction with inertial and vision measurements. Software-defined radio technology is incorporated on the pursuer agent to achieve rogue drone GPS disruption, while at the same time the autonomous agents cooperate to compute the location estimate of the pursuer agent. In the presence of jamming, to improve the wireless communication performance of the autonomous agents, a cellular communication architecture is also used as an additional channel for control and information exchange. For evaluation purposes, a prototype multi-agent system is designed, implemented, and tested in a real-world environment to demonstrate its enhanced localization and jamming performance, when compared to single-agent approaches.  © 2016 IEEE.</t>
  </si>
  <si>
    <t>Aerial systems: perception and autonomy; localization; multi-robot systems; sensor fusion; Aircraft detection; Antennas; Autonomous agents; Drones; Multi agent systems; Multipurpose robots; Software radio; Aerial system: perception and autonomy; Aerial systems; Global Navigation Satellite Systems; Jamming; Localisation; Location awareness; Multi-robot systems; Prototype; Sensor fusion; System perception; Global positioning system</t>
  </si>
  <si>
    <t>10.1109/LRA.2023.3245412</t>
  </si>
  <si>
    <t>https://www.scopus.com/inward/record.uri?eid=2-s2.0-85149390810&amp;doi=10.1109%2fLRA.2023.3245412&amp;partnerID=40&amp;md5=d13b6aee315309e6a7d2b504bedbb586</t>
  </si>
  <si>
    <t>P223</t>
  </si>
  <si>
    <t>Xie, Y.; Gardi, A.; Sabatini, R.</t>
  </si>
  <si>
    <t>Cybersecurity Risks and Threats in Avionics and Autonomous Systems</t>
  </si>
  <si>
    <t>Ongoing advances in digitization and automation of critical infrastructures, particularly in terms of aeronautical Communication, Navigation, and Surveillance (CNS) technologies, has led to the fusion of intricate physical and information networks with artificial intelligence (AI) systems. This integration is empowered avionics and Air Traffic Management (ATM) systems with enhanced data processing capabilities, interactive information exchange, and expansive geographic distribution. However, these advancements also expose the systems to increasing cybersecurity threats, physical vulnerabilities, and data integrity risks. The complexity and interconnectedness of CNS infrastructure, combined with ATM systems, amplify the potential scope and depth of attacks and increase their ability to spread through interconnected components. As a result, both ATM and UAS Traffic Management (UTM) systems face an escalation in security challenges. While the concept of cybersecurity within aviation has a long history, its seamless integration into aviation systems remains a significant challenge. Just as AI technology is harnessed to improve the overall operational efficiency and reliability of aviation systems, it has also emerged as a pivotal battleground for cybersecurity risks and threats. Increasingly, AI-driven intrusion and theft methods are replacing traditional approaches. In response, researchers have put forth defensive strategies rooted in AI technology. This paper critically evaluates cybersecurity vulnerabilities and threats that may confront ATM and UTM systems. It systematically categorizes a variety of potential threat actors along with their corresponding targets, based on their objectives, motivations, and capabilities. Simultaneously, the paper delves deeply into an exploration of possible attack methodologies founded on AI technology, accompanied by their corresponding defensive tactics.  © 2023 IEEE.</t>
  </si>
  <si>
    <t>ATM; Autonomous Systems; Avionics system; CNS+A; Cyber-Threat; Cybersecurity; UTM; Advanced traffic management systems; Air traffic control; Geographical distribution; Information management; Information services; Internet protocols; Air Traffic Management; Air Traffic Management Systems; Artificial intelligence technologies; Autonomous system; Avionic systems; Communication, navigation, and surveillance+A; Cyber security; Cyber threats; Traffic management; UAS traffic management; Cybersecurity</t>
  </si>
  <si>
    <t>10.1109/DASC/PiCom/CBDCom/Cy59711.2023.10361328</t>
  </si>
  <si>
    <t>https://www.scopus.com/inward/record.uri?eid=2-s2.0-85182596099&amp;doi=10.1109%2fDASC%2fPiCom%2fCBDCom%2fCy59711.2023.10361328&amp;partnerID=40&amp;md5=3a53e14bb0dbaa7942e4b291de522265</t>
  </si>
  <si>
    <t>P224</t>
  </si>
  <si>
    <t>Boukabou, I.; Rupanetti, D.; Kaabouch, N.</t>
  </si>
  <si>
    <t>Suppressing Clutter and Jammer Interference in UAS Radar Sensors Using Space-Time Adaptive Processing</t>
  </si>
  <si>
    <t>Unmanned aerial systems (UAS), or drones, are becoming increasingly prevalent in various applications, such as precision agriculture, search and rescue operations, infrastructure inspection, package delivery, environmental monitoring, and the military, making efficient radar systems crucial. However, these systems operate in complex environments that are susceptible to electromagnetic interference and cybersecurity challenges. To address these challenges, a detailed model was developed that encapsulates the interaction of a monostatic radar with a moving target and a stationary barrage jammer. The research focused on the adaptive displaced phase centered antenna (ADPCA) technique, which was integrated into a six-element uniform linear antenna array to mitigate interference and bolster cybersecurity. The results show significant clutter and jammer interference suppression when analyzed in a matrix format within the MxQxN data cube. The weights of the ADPCA canceler exhibited an unprecedented ability to negate noise, producing a significant null within the clutter ridge and isolating the genuine target signal. This research provides vital insight into the potential of space-time adaptive processing algorithms within UAS radar systems, addressing both security and efficiency concerns. The findings illuminate the transformative role of STAP in refining radar efficiency, precision, and cybersecurity readiness in UAS, laying the foundation for future advancements in this domain.  © 2023 IEEE.</t>
  </si>
  <si>
    <t>ADPCA; clutter interference; electromagnetic interferences; monostatic radar; STAP; UAS; ULA; Antenna arrays; Clutter (information theory); Cybersecurity; Efficiency; Electromagnetic pulse; Electromagnetic wave interference; Jamming; Military applications; Radar antennas; Radar clutter; Space-based radar; Adaptive displaced phase centered antenna; Clutter interference; Cyber security; Jammers; Monostatic radar; Precision Agriculture; Radar sensors; Space-time adaptive processing; ULA; Unmanned aerial systems; Space time adaptive processing</t>
  </si>
  <si>
    <t>10.1109/ICSC60084.2023.10350000</t>
  </si>
  <si>
    <t>https://www.scopus.com/inward/record.uri?eid=2-s2.0-85182734864&amp;doi=10.1109%2fICSC60084.2023.10350000&amp;partnerID=40&amp;md5=a975e69ebd71f9a96ac94e0c7f9e3a7a</t>
  </si>
  <si>
    <t>P225</t>
  </si>
  <si>
    <t>Hamadi, R.; Ghazzai, H.; Massoud, Y.</t>
  </si>
  <si>
    <t>Reinforcement Learning Based Intrusion Detection Systems for Drones: A Brief Survey</t>
  </si>
  <si>
    <t>Intrusion Detection Systems (IDS) are crucial in smart cities, especially in Intelligent Transportation Systems (ITS). With the increasing reliance on technology in transportation systems, the risk of cyber-attacks and data breaches increases, making IDS an important aspect of ITS security. IDS systems monitor network traffic and detect any suspicious or malicious activity. In the context of ITS, IDS can detect unauthorized access to transportation systems, unauthorized changes to data or configurations, and other types of security incidents. This information can then be used to alert security personnel and prevent potential threats from causing damage. Reinforcement Learning-based Intrusion Detection Systems (RL-IDS) have gained increasing attention in recent years as means of improving the performance of traditional intrusion detection systems. RL-IDS uses reinforcement learning algorithms to train an agent to detect intrusions by maximizing a reward signal. In this survey, we give an overview of the traditional intrusion detection systems, their limitations, and how reinforcement learning overcomes these challenges to build more robust IDS. Next, we explore state-of-the-art research in RL-IDS for smart cities. Finally, we provide insights into future directions for research in RL-IDS for smart cities and highlight the potential benefits of these systems for enhancing the security of these environments.  © 2023 IEEE.</t>
  </si>
  <si>
    <t>Intrusion Detection Systems; Reinforcement-Learning; Smart Cities; Unmanned Aerial Vehicles; Aircraft detection; Antennas; Computer crime; Cybersecurity; Drones; Intelligent systems; Intrusion detection; Learning algorithms; Learning systems; Network security; Smart city; Aerial vehicle; Cyber-attacks; Intelligent transportation systems; Intrusion Detection Systems; Network traffic; Reinforcement learnings; System security; Systems monitor; Transportation system; Unmanned aerial vehicle; Reinforcement learning</t>
  </si>
  <si>
    <t>10.1109/SM57895.2023.10112557</t>
  </si>
  <si>
    <t>https://www.scopus.com/inward/record.uri?eid=2-s2.0-85159852099&amp;doi=10.1109%2fSM57895.2023.10112557&amp;partnerID=40&amp;md5=9e69d9aa9e1e5017dd4f462433bf3f25</t>
  </si>
  <si>
    <t>P226</t>
  </si>
  <si>
    <t>Pizzolante, R.; Castiglione, A.; Palmieri, F.; Passaro, A.; Zaccagnino, R.; La Vecchia, S.</t>
  </si>
  <si>
    <t>Improving Drone Security in Smart Cities via Lightweight Cryptography</t>
  </si>
  <si>
    <t>In recent years, Unmanned Aerial Vehicles (UAVs) have become increasingly popular. It is estimated that the UAV market will continue to grow to reach $27.4 billion by 2030. The ability of UAVs to travel long distances and acquire and process information has made these devices suitable in many areas. On the other hand, their widespread use has made UAVs an attractive target for cyberattacks. More precisely, most of such attacks are targeted to the MAVLink, which is the main communication protocol used by UAVs. In this paper, we first focus on the main MAVLink security protocol, namely, the MAVSec protocol. MAVSec uses cryptography to encrypt messages exchanged between the UAV and ground control station (GCS). However, several security weaknesses still affect the MAVSec protocol, mainly resulting from the lack of authentication and key exchange between UAV and GCS. To overcome the limitations of this protocol, we introduce a novel and modular security architecture based on lightweight cryptography [10, 16]. Finally, the effectiveness and efficiency of the proposed solution have been assessed through a proof of concept implemented using the software in the loop (SITL) simulator. © 2023, The Author(s), under exclusive license to Springer Nature Switzerland AG.</t>
  </si>
  <si>
    <t>Drone Security; Lightweight Cryptography; MAVLink; MAVSec; software in the loop; Unmanned Aerial Vehicles (UAVs); Unmanned Aircraft Systems (UAS); Antennas; Computer software; Cryptography; Network architecture; Rock mechanics; Smart city; Drone security; Light-weight cryptography; MAVLink; MAVSec; Software in the loops; Unmanned aerial vehicle; Unmanned aircraft system; Vehicle Control; Drones</t>
  </si>
  <si>
    <t>10.1007/978-3-031-37120-2_7</t>
  </si>
  <si>
    <t>https://www.scopus.com/inward/record.uri?eid=2-s2.0-85165073653&amp;doi=10.1007%2f978-3-031-37120-2_7&amp;partnerID=40&amp;md5=972ac91d8ad4de38050584572f1fa2f6</t>
  </si>
  <si>
    <t>P227</t>
  </si>
  <si>
    <t>AUVSI XPONENTIAL 2023</t>
  </si>
  <si>
    <r>
      <t xml:space="preserve">The proceedings contain 11 papers. The topics discussed include: securing autonomous systems – it’s not just the radio; challenges and progress in behavior-based adaptive autonomy; mechanism-free ‘solid-state’ rotors for drones, UAVs, wind and hydrokinetic turbines; VNX+: a modular, scalable computing architecture for autonomous vehicles; ai for drone autonomy; ready for take-off? towards detect and avoid for commercial UAVs; autonomous exploration and mapping of unknown environments with unmanned aerial systems (UAS); </t>
    </r>
    <r>
      <rPr>
        <sz val="11"/>
        <color rgb="FFFF0000"/>
        <rFont val="Calibri"/>
        <family val="2"/>
        <scheme val="minor"/>
      </rPr>
      <t>cyberwarfare and drones autonomous ethical hacking; and cyberwarfare and drones autonomous ethical hacking.</t>
    </r>
  </si>
  <si>
    <t>https://www.scopus.com/inward/record.uri?eid=2-s2.0-85199788848&amp;partnerID=40&amp;md5=61301ec4cad1ddcc8937f7ae1d84e89f</t>
  </si>
  <si>
    <t>P228</t>
  </si>
  <si>
    <t>An Approach Utilizing a Random Keystream Generator to Enhance the Security of Unmanned Aerial Vehicles</t>
  </si>
  <si>
    <t>The Unmanned Aerial Vehicles' (UAVs) capability to respond to people's needs accounts for their pervasiveness. UAVs with extended functions and capabilities when supplied with communication equipment can be deployed to appropriate places in the field to supplement the networks operate more efficiently and in vital missions such as infrastructure monitoring operations. To be effective, an UAV must interact securely with its network's entities, such as ground control stations, other UAVs, air traffic control systems, and navigation satellite systems. UAVs are exposed to a dangerous and costly world of cyber dangers as a result of cyber technology and connections. The UAV and the Ground Control Station (GCS) exchange information using communication lines, which are vulnerable to cyber attacks. The Micro Air Vehicle Link (MAVLink) protocol is a widely used lightweight communication protocol for enabling communication between UAVs and GCSs. It carries information about the UAV's condition as well as commands for control from the GCS. Although widely used, the MAVLink protocol lacks sufficient security measures and is susceptible to various types of attacks. In the current study, a new stream cipher method with low duty cycles is proposed for protecting data in UAVs and is compared with existing security algorithms on basis of various factors. The research findings' show that by including the suggested method into MAVLink, it is possible to maintain both message secrecy and battery life for a resource-constrained UAV.  © 2023 IEEE.</t>
  </si>
  <si>
    <t>Communication Security; Internet of Things(IoT); MAVLink; Stream Cipher; Unmanned Aerial Vehicles (UAVs); Air navigation; Air traffic control; Aircraft communication; Aircraft control; Antennas; Cybersecurity; Micro air vehicle (MAV); Network security; Rock mechanics; Vehicle to vehicle communications; Aerial vehicle; Communication equipments; Communications security; Ground-control stations; Keystream generators; Link protocols; Micro air vehicle link; Micro air-vehicles; Stream Ciphers; Unmanned aerial vehicle; Internet of things</t>
  </si>
  <si>
    <t>10.1109/TENCON58879.2023.10322541</t>
  </si>
  <si>
    <t>https://www.scopus.com/inward/record.uri?eid=2-s2.0-85179519012&amp;doi=10.1109%2fTENCON58879.2023.10322541&amp;partnerID=40&amp;md5=65e3c95402a3c4052b8213283518a603</t>
  </si>
  <si>
    <t>P229</t>
  </si>
  <si>
    <t>Shafik, W.; Mojtaba Matinkhah, S.; Shokoor, F.</t>
  </si>
  <si>
    <t>Cybersecurity in Unmanned Aerial Vehicles: a Review</t>
  </si>
  <si>
    <t>Context: With the rapid advancement of unmanned aerial vehicle (UAV) technology, ensuring these autonomous systems' security and integrity is paramount. UAVs are susceptible to cyberattacks, including unauthorized access, control, or manipulation of their systems, leading to potential safety risks or unauthorized data retrieval. Moreover, UAVs encounter limited computing resources, wireless communication and physical vulnerabilities, evolving threats and techniques, necessity for compliance with regulations, and human factors. Methods: This review explores the potential cyberthreats faced by UAVs, including hacking, spoofing, and data breaches, and highlights the critical need for robust security measures. It examines various strategies and techniques used to protect UAVs from cyberattacks, e.g., encryption, authentication, and intrusion detection systems using cyberthreat analysis and assessment algorithms. The approach to assess the UAVs' cybersecurity hazards included STRIDE (a model for identifying computer security-related threats) connected with the threats considered. Findings: Emphasis was laid on the evaluation highly depending on the accuracy of UAV mission definition, potential intruders, and social and other human-related situations. The review discovered that most studies focused on possible intruders' portraits, which can be crucial when conducting a cybersecurity assessment. Based on a review, future research directions to mitigate cybersecurity risks are presented. Significance: Protecting UAVs from cyberthreats ensures safe operations and data integrity and preserves public trust in autonomous systems.  © 2023 Wasswa Shafik et al., published by Sciendo.</t>
  </si>
  <si>
    <t>cyberattacks; Cybersecurity; drones; industry; innovation and Infrastructure; responsible consumption and production; sustainable cities and communities; unmanned aerial vehicles</t>
  </si>
  <si>
    <t>10.2478/ijssis-2023-0012</t>
  </si>
  <si>
    <t>https://www.scopus.com/inward/record.uri?eid=2-s2.0-85175253699&amp;doi=10.2478%2fijssis-2023-0012&amp;partnerID=40&amp;md5=3df223f3d82a8a21e37d6f1d5dc00315</t>
  </si>
  <si>
    <t>P23</t>
  </si>
  <si>
    <t>Adel, A.; Jan, T.</t>
  </si>
  <si>
    <t>Watch the Skies: A Study on Drone Attack Vectors, Forensic Approaches, and Persisting Security Challenges</t>
  </si>
  <si>
    <t>In the rapidly evolving landscape of drone technology, securing unmanned aerial vehicles (UAVs) presents critical challenges and demands unique solutions. This paper offers a thorough examination of the security requirements, threat models, and solutions pertinent to UAVs, emphasizing the importance of cybersecurity and drone forensics. This research addresses the unique requirements of UAV security, outlines various threat models, and explores diverse solutions to ensure data integrity. Drone forensics, a field dedicated to the investigation of security incidents involving UAVs, has been extensively examined and demonstrates its relevance in identifying attack origins or establishing accident causes. This paper further surveys artifacts, tools, and benchmark datasets that are critical in the domain of drone forensics, providing a comprehensive view of current capabilities. Acknowledging the ongoing challenges in UAV security, particularly given the pace of technological advancement and complex operational environments, this study underscores the need for increased collaboration, updated security protocols, and comprehensive regulatory frameworks. Ultimately, this research contributes to a deeper understanding of UAV cybersecurity and aids in fostering future research into the secure and reliable operation of drones. © 2024 by the authors.</t>
  </si>
  <si>
    <t>drone cybersecurity; drone forensics; forensic methodologies; security challenges; threat models; unmanned aerial vehicles (UAVs); Antennas; Cybersecurity; Network security; Aerial vehicle; Attack vector; Cyber security; Drone cybersecurity; Drone forensic; Forensic methodologies; Security challenges; Threat modeling; Unmanned aerial vehicle; Vehicle security; Drones</t>
  </si>
  <si>
    <t>10.3390/fi16070250</t>
  </si>
  <si>
    <t>https://www.scopus.com/inward/record.uri?eid=2-s2.0-85199668263&amp;doi=10.3390%2ffi16070250&amp;partnerID=40&amp;md5=da172daa57e7020632607b69caf26688</t>
  </si>
  <si>
    <t>P230</t>
  </si>
  <si>
    <t>Tedeschi, P.; Sciancalepore, S.; Di Pietro, R.</t>
  </si>
  <si>
    <t>PPCA - Privacy-Preserving Collision Avoidance for Autonomous Unmanned Aerial Vehicles</t>
  </si>
  <si>
    <t>Current collision avoidance techniques deployed on Unmanned Aerial Vehicles (UAVs) rely on short-range sensors, such as proximity sensors, cameras, and microphones. Unfortunately, their efficiency is significantly limited in several situations; for instance, when a remote UAV approaches at high velocity, or when the surrounding environment is impaired (e.g., fog, noise). In the cited cases, to avoid collisions and maintain self-separation, UAVs often rely on the indiscriminate broadcast of their location. Therefore, an adversary could easily identify the location of the UAV and attack it, e.g., by physically shutting it down, launching wireless jamming attacks, or continuing tracking its movements. To address the above-introduced threats, in this article we present PPCA, a lightweight, distributed, and privacy-preserving scheme to avoid collisions among UAVs. Our solution, based on an ingenious tessellation of the space, is accompanied by a thorough analytical model and is supported by an extensive experimental campaign performed on a real 3DR-Solo drone. The achieved results are striking: PPCA can efficiently and effectively avoid collisions among UAVs, by requiring a limited bandwidth and computational overhead (84.85% less than traditional privacy-preserving proximity testing approaches), while providing unique benefits in terms of privacy of the participating UAVs.  © 2004-2012 IEEE.</t>
  </si>
  <si>
    <t>applied security and privacy; Drones privacy; privacy-enhancing technologies; Aircraft detection; Antennas; Collision avoidance; Privacy-preserving techniques; Wireless sensor networks; 'current; Aerial vehicle; Applied security and privacy; Autonomous unmanned aerial vehicles; Collisions avoidance; Drone privacy; Privacy; Privacy enhancing technologies; Privacy preserving; Security and privacy; Drones</t>
  </si>
  <si>
    <t>10.1109/TDSC.2022.3159837</t>
  </si>
  <si>
    <t>https://www.scopus.com/inward/record.uri?eid=2-s2.0-85126558575&amp;doi=10.1109%2fTDSC.2022.3159837&amp;partnerID=40&amp;md5=25da6719819e8ac1eb0031ee87eb7a55</t>
  </si>
  <si>
    <t>P231</t>
  </si>
  <si>
    <t>Wu, Y.; Li, X.; Kang, B.</t>
  </si>
  <si>
    <t>Research on safety control technology for UAV along the railway</t>
  </si>
  <si>
    <t>In response to the threat of uncontrolled flying drones to the safe operation of railways, this article constructs a low speed and small UAV (unmanned aerial vehicle) control and management system based on radio detection and counter measures technologies. Based on navigation decoy, precise direction finding technology and, and link jamming technology etc., Effectively meeting the core requirements of rapid discovery, precise identification, and high efficiency disposal of small UAV along the railway, it has application value in scenarios such as safe railway operation and key location security. © 2023 SPIE.</t>
  </si>
  <si>
    <t>decoy accuracy; detection; direction-finding (DF); jamming; navigation decoy; radio frequency (RF); railway; UAV; Air navigation; Aircraft detection; Drones; Jamming; Radio navigation; Railroads; Aerial vehicle; Decoy accuracy; Detection; Direction finding; Direction-finding; Jamming; Navigation decoy; Radio frequency; Radiofrequencies; Railway; Unmanned aerial vehicle; Antennas</t>
  </si>
  <si>
    <t>10.1117/12.3009211</t>
  </si>
  <si>
    <t>https://www.scopus.com/inward/record.uri?eid=2-s2.0-85176115272&amp;doi=10.1117%2f12.3009211&amp;partnerID=40&amp;md5=42bd973733ecdea8a481ed6fdf61bdd5</t>
  </si>
  <si>
    <t>P232</t>
  </si>
  <si>
    <t>Derhab, A.; Cheikhrouhou, O.; Allouch, A.; Koubaa, A.; Qureshi, B.; Ferrag, M.A.; Maglaras, L.; Khan, F.A.</t>
  </si>
  <si>
    <t>Internet of drones security: Taxonomies, open issues, and future directions</t>
  </si>
  <si>
    <t>Drones have recently become one of the most important technological breakthroughs. They have opened the horizon for a vast array of applications and paved the way for a diversity of innovative solutions. Integrating drones with the Internet has led to the emergence of a new paradigm named the Internet of Drones (IoD). Several works dealt with the security of the IoD, and various surveys have been published on this topic over the past few years. The existing surveys either have limited scope or offer partial coverage of cybersecurity countermeasures. To address these gaps, in this paper, we provide a comprehensive survey related to the cyber and physical security of IoD. Differently from many surveys that only provide a classification of attacks/threats, we also propose three taxonomies that are related to (1) the assets of drones, (2) attacks, and (3) countermeasures. The first taxonomy is a two-level classification of the assets in the IoD. The first level considers the coarse-grained assets, which refer to the IoD's tangible elements, and the second level considers the fine-grained assets, which refer to the elements composing the coarse-grained assets. Based on the asset classification, we propose a taxonomy of attacks targeting the coarse and fine-grained assets, which allows a finer level of granularity to identify threats, and thus ensure better security. Also, we evaluate the risk of cyber and physical attacks by introducing a novel concept, named Chain of Impact, which connects four types of impacts, namely, Direct, Mission, Drone, and Environment. We propose a taxonomy of technical and non-technical countermeasures according to two implementation phases: Pre-incident, and Post-incident (or recovery). The pre-incident countermeasures are further classified as: preventive and detective. In addition, we present the countermeasures along with their performance and limitations. Finally, open research challenges are identified and ranked according to the level of attention they should receive from the research community. Also, future research directions and suggestions are presented for the security of the IoD. © 2022 Elsevier Inc.</t>
  </si>
  <si>
    <t>Countermeasure; Internet of drones; Risk assessment; Security; Taxonomy; UAV</t>
  </si>
  <si>
    <t>10.1016/j.vehcom.2022.100552</t>
  </si>
  <si>
    <t>https://www.scopus.com/inward/record.uri?eid=2-s2.0-85145684225&amp;doi=10.1016%2fj.vehcom.2022.100552&amp;partnerID=40&amp;md5=638694b01fa466bc076125044d9da43b</t>
  </si>
  <si>
    <t>P233</t>
  </si>
  <si>
    <t>Wei, S.; Huang, H.; Chen, G.; Blasch, E.; Chen, Y.; Xu, R.; Pham, K.</t>
  </si>
  <si>
    <t>RODAD: Resilience Oriented Decentralized Anomaly Detection for Urban Air Mobility Networks</t>
  </si>
  <si>
    <t>Urban air mobility (UAM) helps ease traffic congestion and offers cleaner, faster, and safer transportation, especially for densely populated areas. Recent events have shown that modern unmanned aerial vehicles (UAVs) are vulnerable to attacks through buggy or malicious devices, which raise concerns regarding performance, security, and privacy on UAM networks. Existing Air Traffic Service (ATS) providers mainly rely on a centralized system (e.g., Information Display System) for data aggregation, sharing, and security policy enforcement; and it incurs critical issues related to a bottleneck of data analysis, provenance, and consistency in terms of less efficiency with large computational resources, and high false positive with low flexibility. In this paper, we develop a Resilience Oriented Decentralized Anomaly Detection (RODAD) framework to maximize UAM capability to secure data access among aircraft and ATS service providers based on microservices technologies in an edge-fog-cloud computing paradigm. Machine learning based anomaly detection (MLAD) is developed to detect anomaly behaviors (e.g., aircraft route anomaly) against both single-feature and multi-feature spoofing attacks across avionics mission data. Two GPS spoofing attack scenarios (e.g., restricted and generalized) with four attacking types (e.g., continuous, interim, biased, random) are crafted for the performance evaluation. A hardware-in-the-loop (HITL) implementation is also developed to demonstrate the effectiveness of RODAD for supporting real-time resilient analysis. Our experiments validate the performance of RODAD in detection accuracy and efficiency against spoofing attacks for UAM. © 2023 IEEE.</t>
  </si>
  <si>
    <t>Anomaly Detection; Container-Based Microservices; Decentralized; Edge-Fog-Cloud Computing; Machine Learning; Air mobility; Air transportation; Aircraft; Aircraft detection; Antennas; Computational efficiency; Fog; Machine learning; Traffic congestion; Urban transportation; Anomaly detection; Cloud-computing; Container-based microservice; Decentralised; Edge-fog-cloud computing; Machine-learning; Mobility networks; Performance; Spoofing attacks; Urban air; Anomaly detection</t>
  </si>
  <si>
    <t>10.1109/ICNS58246.2023.10124294</t>
  </si>
  <si>
    <t>https://www.scopus.com/inward/record.uri?eid=2-s2.0-85160641039&amp;doi=10.1109%2fICNS58246.2023.10124294&amp;partnerID=40&amp;md5=dd48552e9305d18564b54eced1b5dfb0</t>
  </si>
  <si>
    <t>P234</t>
  </si>
  <si>
    <t>Gomez, J.A.; Sattarvand, J.</t>
  </si>
  <si>
    <t>Drone-Based Applications for Tailings Dam Monitoring</t>
  </si>
  <si>
    <t>Failures of tailings dams have been happening lately. Due to the lack of laws on particular design criteria and stability requirements related monitoring during construction and maintenance, they are thought to be more fragile than hydraulic dams. Monitoring the dam is therefore necessary to understand its current condition and guarantee its safety. The physical condition of the dam could be evaluated with the early identification of seepage. Additionally, due to their adaptability and capacity for high-resolution data collecting, UAVs are an excellent choice for efficiently covering the tailings dam site. UAVs may capture high-quality photos when equipped with a high-resolution RGB camera, thermal sensors, or multispectral sensors. When these sensors are paired with image processing and machine learning algorithms, the result is a reliable estimate of the dam condition. © 2023 Society for Mining, Metallurgy &amp; Exploration Inc. All rights reserved.</t>
  </si>
  <si>
    <t>Dams; Drones; Image processing; Jamming; Machine learning; Mining; Stability criteria; Tailings; 'current; Condition; Criteria requirements; Design criteria; Design stability; High resolution data; Hydraulic dams; Physical conditions; Stability requirements; Tailing dam; Learning algorithms</t>
  </si>
  <si>
    <t>https://www.scopus.com/inward/record.uri?eid=2-s2.0-85191226442&amp;partnerID=40&amp;md5=9bf1fe254063ba845e81b7ae1d0b5af2</t>
  </si>
  <si>
    <t>P235</t>
  </si>
  <si>
    <t>Sanghavi, P.; Kaur, H.</t>
  </si>
  <si>
    <t>A Comprehensive Study on Cyber Security in Unmanned Aerial Vehicles</t>
  </si>
  <si>
    <t>Unmanned aerial vehicles (UAVs) are examples of Cyber-Physical Systems (CPS) that are utilized for military purposes such as intelligence collection, surveillance, and mapping. UAVs are rapidly being used not only in military activities, but also in civilian contexts. The key technological components of UAVs are the airframe structure, propulsion, Internet of Things (IoT) technologies such as autopilot system, ground control station (GCS), payload, recovery system, launch, and radio connection. UAVs are remote-controlled, flight-capable vehicles that may be found in various situations, from military operations to civilian use. These vehicles are great assets, as their pilot may control them remotely, Hacking can also be done remotely. Cyber-attacks on UAVs can generate various issues for virtual and physical systems. Such flaws might allow an attacker to steal data, deactivate the UAV, or take control of it. To avoid such attacks, it is critical to discover and address vulnerabilities that might be exploited maliciously. In this paper, we have discussed the cyber risks in UAVs and the corresponding mitigation methods. We have also explained how to defend UAVs against hackers and a roadmap for future research on cyber security in UAVs. © 2023 Bharati Vidyapeeth, New Delhi.</t>
  </si>
  <si>
    <t>Cyber Attack; Cyber Security; Cyber Threat; UAVs; Unmanned Aerial Vehicles; Computer crime; Crime; Cyber attacks; Cyber Physical System; Drones; Embedded systems; Internet of things; Military operations; Military vehicles; Network security; Personal computing; Remote control; Rock mechanics; Aerial vehicle; Cybe-physical systems; Cyber security; Cyber threats; Cyber-attacks; Cyber-physical systems; Military activities; Unmanned aerial vehicle; Antennas</t>
  </si>
  <si>
    <t>https://www.scopus.com/inward/record.uri?eid=2-s2.0-85159611542&amp;partnerID=40&amp;md5=86ebb74b511b11aa812c72e97c3f098b</t>
  </si>
  <si>
    <t>P236</t>
  </si>
  <si>
    <t>Khurana, J.</t>
  </si>
  <si>
    <t>Power Line Detection Method by Deep Learning for Safe Landing of UAVs</t>
  </si>
  <si>
    <t>Because they are constantly exposed to harsh weather, high voltage transmission parts including cracked insulation, damaged wire rope, and rusted power line couplings are particularly common. That's why they're such a danger to wildlife and people alike. This article details an aerial inspection system for power line components such as insulators (both porcelain and plastic), splitters, damper-weights, along with transmission cables, all of which are assessed for flaws in real time. The proposed fix uses a deep learning architecture and the Jetson TX2 integrated platform to instantly identify these parts in aerial footage captured by a remote-controlled drone. Using unique defect detection algorithms described in this research, the discovered components are then examined. For power line detection, a sophisticated method known as Capsule Networks (CapsNet) is employed. The suggested defect analyzer exceeds comparable research in terms of defect recognition accuracy and recall, and the suggested detection in addition to localization method is resistant against highly congested environments, according to results. Manual inspection time can be decreased with the suggested system's automatic defect analysis technology. © 2023 IEEE.</t>
  </si>
  <si>
    <t>CapsNet; Deep Learning; Drones; Power Lines; UA Vs; Aircraft detection; Antennas; Deep learning; Defects; Electric power transmission; Electric power transmission networks; Remote control; Capsule network; Deep learning; Detection methods; Exposed to; High voltage transmissions; Line detection; Power lines; Safe landing; Transmission parts; UA vs; Drones</t>
  </si>
  <si>
    <t>10.1109/ICDSNS58469.2023.10245910</t>
  </si>
  <si>
    <t>https://www.scopus.com/inward/record.uri?eid=2-s2.0-85173611612&amp;doi=10.1109%2fICDSNS58469.2023.10245910&amp;partnerID=40&amp;md5=38574c4716382e140d277323fe5fe3df</t>
  </si>
  <si>
    <t>P237</t>
  </si>
  <si>
    <t>Gupta, S.; Patnala, S.K.; Warish, W.; Agrawal, N.; Tripathi, N.; Pavan Kumar, B.N.; Raman, B.</t>
  </si>
  <si>
    <t>GPS Spoof and Detect in Ardupilot Simulating UAVs</t>
  </si>
  <si>
    <t>The usage and application of Unmanned Aerial Vehicles (UAVs) are continuously increasing for various purposes and services, including surveillance, goods delivery, and military operations. However, as the usage of such devices grows, the security threats associated with them also grows. Therefore, it is essential to protect these devices against the cyber attacks to ensure their safe, secure, and reliable usage. This paper first discusses different types of possible cyber attacks on these devices and provides corresponding defense mechanisms. Furthermore, it explains the implementation of Global Positioning System (GPS) spoofing in the Ardupilot simulator. The paper offers a detailed guide on installing Ardupilot and utilizing the fakegps module to execute GPS spoofing. The process of setting up a flight path and executing GPS spoofing is thoroughly explained. The experimental results demonstrate the successful implementation and detection of GPS spoofing in Ardupilot. Overall, this paper throws light on the potential dangers of GPS spoofing and emphasizes the importance of securing drones to defend against such attacks. © 2023 IEEE.</t>
  </si>
  <si>
    <t>Ardupilot; Attack Detection; Cyber Attacks; Drones; GPS Spoofing; Unmanned Aerial Vehicles (UAVs); Aircraft detection; Antennas; Computer crime; Crime; Cyber attacks; Global positioning system; Military operations; Network security; Aerial vehicle; Ardupilot; Attack detection; Cyber-attacks; Defence mechanisms; Global positioning system spoofing; Goods delivery; Security threats; Unmanned aerial vehicle; Drones</t>
  </si>
  <si>
    <t>10.1109/OCIT59427.2023.10430778</t>
  </si>
  <si>
    <t>https://www.scopus.com/inward/record.uri?eid=2-s2.0-85186643129&amp;doi=10.1109%2fOCIT59427.2023.10430778&amp;partnerID=40&amp;md5=a98cc3c35454164c9af9a5eb09d81cb2</t>
  </si>
  <si>
    <t>P238</t>
  </si>
  <si>
    <t>Chatterjee, B.; Dutta, R.</t>
  </si>
  <si>
    <t>Cooperative UAV Trajectory Planning for Plume Wrapping of a Spherical Dome</t>
  </si>
  <si>
    <t>Unmanned Aerial Vehicles (UAV) are surging in popularity as a result of the versatility of their usage. Research has focused on a variety of applications by UAV groups including surveillance, target tracking, network coverage and mapping of various areas or incidents. Autonomous UAVs can be utilized to perform tasks which may be potentially dangerous for human intervention. Earlier work has shown that a group of UAVs can successfully circumscribe a plume of hazardous contaminants in the air and map the boundary of such a spill. In this paper, we show that this idea can be extended to plumes which contain elements heavier than air and, as such, fall to the ground such that they approximately form a spherical dome. Mapping such a boundary is challenging because UAVs need to follow the plume as close to the ground as possible without crashing. Our results prove that a UAV platoon can successfully communicate and coordinate amongst themselves in order to surround such a leak.  © 2023 IEEE.</t>
  </si>
  <si>
    <t>aerial communication; autonomous agents; drone; plume wrapping; UAV; unmanned aerial vehicle; Aircraft detection; Antennas; Autonomous agents; Cooperative communication; Domes; Mapping; Aerial communication; Aerial vehicle; Plume wrapping; Spherical domes; Targets tracking; Trajectory Planning; Unmanned aerial vehicle; Vehicle trajectories; Drones</t>
  </si>
  <si>
    <t>10.1109/ANTS59832.2023.10469369</t>
  </si>
  <si>
    <t>https://www.scopus.com/inward/record.uri?eid=2-s2.0-85189611807&amp;doi=10.1109%2fANTS59832.2023.10469369&amp;partnerID=40&amp;md5=3962ea3eaf9d11c7544566137460de2f</t>
  </si>
  <si>
    <t>P239</t>
  </si>
  <si>
    <t>Sachdeva, H.; Gupta, S.; Misra, A.; Chauhan, K.; Dave, M.</t>
  </si>
  <si>
    <t>Privacy and security improvement in UAV network using blockchain</t>
  </si>
  <si>
    <t>Unmanned aerial vehicles (UAVs), also known as drones, have exploded in every segment present in today s business industry. They have scope in reinventing old businesses, and they are even developing new opportunities for various brands and franchisors. UAVs are used in the supply chain, maintaining surveillance and serving as mobile hotspots. Although UAVs have potential applications, they bring several societal concerns and challenges that need addressing in public safety, privacy, and cyber security. UAVs are prone to various cyber-Attacks and vulnerabilities; they can also be hacked and misused by malicious entities resulting in cyber-crime. The adversaries can exploit these vulnerabilities, leading to data loss, property, and destruction of life. One can partially detect the attacks like false information dissemination, jamming, grey hole, blackhole, and GPS spoofing by monitoring the UAV behaviour, but it may not resolve privacy issues. This paper presents secure communication between UAVs using blockchain technology. Our approach involves building smart contracts and making a secure and reliable UAV ad hoc network. This network will be resilient to various network attacks and is secure against malicious intrusions. © 2023 Inderscience Publishers. All rights reserved.</t>
  </si>
  <si>
    <t>Blockchain; Data privacy; Ethereum.; Network security; Smart contract; UAVs; Unmanned aerial vehicles; Antennas; Blockchain; Cybersecurity; Data privacy; Ethereum; Information dissemination; Network security; Supply chains; Unmanned aerial vehicles (UAV); Aerial vehicle; Block-chain; Ethereum.; Networks security; Privacy and security; Security improvement; Unmanned aerial vehicle; Vehicle network; Smart contract</t>
  </si>
  <si>
    <t>10.1504/IJCNDS.2023.131736</t>
  </si>
  <si>
    <t>https://www.scopus.com/inward/record.uri?eid=2-s2.0-85166415379&amp;doi=10.1504%2fIJCNDS.2023.131736&amp;partnerID=40&amp;md5=5ec7fa67dc8343abb645345ef2ab1d33</t>
  </si>
  <si>
    <t>N (book)</t>
  </si>
  <si>
    <t>P24</t>
  </si>
  <si>
    <t>Selvan, C.; Ragunathan, A.; Ashwinkumar, U.M.</t>
  </si>
  <si>
    <t>Mitigating phishing threats in Unmanned Aircraft Systems (UAS) through multi-stage defense strategies</t>
  </si>
  <si>
    <t>Phishing attacks, while more commonly associated with targeting individuals or organizations through traditional communication channels like email or social media, pose potential threats to unmanned aircraft systems (UAS) or drones. Although not as prevalent in this domain, there exist scenarios where phishing tactics could compromise UAS operations and data. Attackers might impersonate legitimate UAS entities, crafting emails that appear credible and relevant to UAS operations. A multi-stage approach incorporating natural language processing and machine learning is introduced to combat such threats. This approach employs techniques like conditional random field (CRF) and latent Dirichlet allocation (LDA) to detect phishing attacks and discern manipulated content. A novel web crawler utilizing web ontology language (OWL) is devised, leveraging semantic relationships to filter out fake sites from search results. The experimental results demonstrate the effectiveness of these methods in detecting and preventing phishing attacks across different platforms. © 2024, IGI Global. All rights reserved.</t>
  </si>
  <si>
    <t>10.4018/979-8-3693-3249-8.ch007</t>
  </si>
  <si>
    <t>https://www.scopus.com/inward/record.uri?eid=2-s2.0-85189125432&amp;doi=10.4018%2f979-8-3693-3249-8.ch007&amp;partnerID=40&amp;md5=8bd4b87dd3cfd9ac226aa627184b5be2</t>
  </si>
  <si>
    <t>P240</t>
  </si>
  <si>
    <t>Valianti, P.; Kolios, P.; Ellinas, G.</t>
  </si>
  <si>
    <t>Energy-Aware Tracking and Jamming Rogue UAVs Using a Swarm of Pursuer UAV Agents</t>
  </si>
  <si>
    <t>Over the recent years, there have been tremendous advances in the development of unmanned aerial vehicles (UAVs), that are now attracting increased interest for a number of commercial and military applications. However, usage of such autonomous vehicles over sensitive areas poses significant security and/or public safety threats. This article investigates a system that can counter such threats by utilizing a swarm of pursuer UAV agents that cooperate in tracking and jamming multiple rogue UAVs in an attempt to interfere with their operation. The proposed framework aims to select the best control actions for each UAV, in terms of joint mobility and jamming power, succeeding in optimally tracking and successfully jamming the rogue UAVs over time, while also ensuring that the power received by the pursuer UAVs remains below predefined interference levels. Additionally, the proposed framework minimizes the total energy consumption of the swarm of UAV agents (accounting for both jamming and propulsion energy consumption). The applicability and effectiveness of the proposed approach is validated through extensive simulation experiments for different pursuer-target scenarios, with UAVs utilizing both fixed- and rotary-wing technologies.  © 2007-2012 IEEE.</t>
  </si>
  <si>
    <t>Energy consumption; optimization; UAV tracking; unmanned aerial vehicle (UAV) jamming; Aircraft detection; Antennas; Commercial vehicles; Energy utilization; Fixed wings; Jamming; Military applications; Military vehicles; Power management; Tracking radar; Aerial vehicle; Energy-consumption; Interference; Jamming; Optimisations; Targets tracking; Unmanned aerial vehicle  jamming; Unmanned aerial vehicle tracking; Drones</t>
  </si>
  <si>
    <t>10.1109/JSYST.2022.3179632</t>
  </si>
  <si>
    <t>https://www.scopus.com/inward/record.uri?eid=2-s2.0-85132692487&amp;doi=10.1109%2fJSYST.2022.3179632&amp;partnerID=40&amp;md5=26f3f1770180c063b205598200762879</t>
  </si>
  <si>
    <t>P241</t>
  </si>
  <si>
    <t>Mittal, S.; Mishra, A.K.; Wazid, M.; Singh, D.P.; Das, A.K.; Shetty, S.</t>
  </si>
  <si>
    <t>Multiclass Classification Approaches for Intrusion Detection in IoT-Driven Aerial Computing Environment</t>
  </si>
  <si>
    <t>Aerial Computing is one of the applications of Internet of Things (IoT) which makes use of autonomous aerial devices, such as drones and unmanned aerial vehicles (UAVs). The ubiquitous nature of IoT and aerial computing is poised to revolutionize our daily lives by enabling seamless real-time information sharing among interconnected objects. However, ensuring the safety and security of such network is crucial in preventing potential threats and attacks. The purpose of this study is to develop a sophisticated intrusion detection system that is effective, efficient, and intelligent using complex machine learning models trained on relevant intrusion detection datasets. In this article, the multiclass classification approaches for intrusion detection in IoT-driven aerial computing environment are presented (in short, MCA-IDAC). In the comparative study, it has been observed that proposed MCA-IDAC performs significantly better than the other existing competing schemes, in terms of important performance parameters. © 2023 IEEE.</t>
  </si>
  <si>
    <t>Aerial computing; Botnet; Internet of Things (IoT); Machine learning; Malware detection; Security; Botnet; Classification (of information); Internet of things; Intrusion detection; Machine learning; Malware; Ubiquitous computing; Aerial computing; Botnets; Classification approach; Computing environments; Internet of thing; Intrusion-Detection; Machine-learning; Malware detection; Multi-class classification; Security; Antennas</t>
  </si>
  <si>
    <t>10.1109/GLOBECOM54140.2023.10436894</t>
  </si>
  <si>
    <t>https://www.scopus.com/inward/record.uri?eid=2-s2.0-85187389716&amp;doi=10.1109%2fGLOBECOM54140.2023.10436894&amp;partnerID=40&amp;md5=a3ef771551f1b0ab150bf4fbe364acc8</t>
  </si>
  <si>
    <t>P242</t>
  </si>
  <si>
    <t>Sinha, H.; Malik, N.; Dahiya, M.</t>
  </si>
  <si>
    <t>Drone Ecosystem: Architecture for Configuring and Securing UAVs</t>
  </si>
  <si>
    <t>Unmanned aerial vehicles (UAVs) are small aircraft that are guided autonomously, or by remote control, or both. Generally, these UAVs are used for providing aerial views when tackling complex scenarios in dangerous locations where human intervention is not possible. Internet of Drones (IoD) is a new term that has been created for separating general IoT devices like smart refrigerators, bulbs, cars, etc. from special use-cases drones. IoD is an infrastructure designed to provide access and control of UAVs over the cellular or internet via the ground station. The use of insecure drones in the civilian domain risks the general population to a very high privacy breach, as well as other domains such as policing, medical support, public safety, and industrial delivery system. Therefore, the concept of cybersecurity issues, privacy risks, and vulnerabilities introduced in the UAV ecosystem is important and is explored through this work. This research paper deals with UAV infrastructure and lays out a plan for the IoD communication architecture based on QUIC messaging protocol rather than TCP over the 5G cellular network. According to our research, over 87% of the UAVs are vulnerable to at least seven types of attack vectors and their variants that we have mentioned. Only high-end UAVs that are used for military reconnaissance and recovery operations are thoroughly secured to evade basic attacks but are still vulnerable to sophisticated attacks. © 2023, The Author(s), under exclusive license to Springer Nature Singapore Pte Ltd.</t>
  </si>
  <si>
    <t>5G network; Internet of drones; IoT; Network slicing; QUIC protocol; Unmanned aerial vehicles; Access control; Accident prevention; Aircraft control; Antennas; Drones; Ecosystems; Internet of things; Internet protocols; Network architecture; Queueing networks; Remote control; Aerial vehicle; Cellulars; Human intervention; Internet of drone; IoT; Network slicing; New terms; QUIC protocol; Small aircraft; Unmanned aerial vehicle; 5G mobile communication systems</t>
  </si>
  <si>
    <t>10.1007/978-981-99-1479-1_2</t>
  </si>
  <si>
    <t>https://www.scopus.com/inward/record.uri?eid=2-s2.0-85168771364&amp;doi=10.1007%2f978-981-99-1479-1_2&amp;partnerID=40&amp;md5=1cddf23279019d3855073c8fbc60ec0d</t>
  </si>
  <si>
    <t>P243</t>
  </si>
  <si>
    <t>Martyniuk, H.; Yagaliyeva, B.; Akhmetov, B.; Makulov, K.; Akhmetov, B.</t>
  </si>
  <si>
    <t>Analysis of Threat Models for Unmanned Aerial Vehicles from Different Spheres of Life</t>
  </si>
  <si>
    <t>Unmanned aerial vehicles are currently used in various spheres of life: they are used for the agricultural industry, for photo and video filming, for rescue operations, in military operations, etc. Depending on the areas of application of UAVs, they can be used both for attacks on various objects and for obtaining some information from objects. The purpose of this work is to classify UAVs and consider the cybersecurity problems that arise when using them. Based on the above classification, a threat model for UAVs in various fields of activity is considered and analyzed. There is a large number of works related to the creation of a threat model. However, such works do not consider the scope of drones. It should be noted that the threat model for military UAVs should be different from the threat model for UAVs in the agricultural sector. In this regard, the authors set themselves the goal of constructing and analyzing a UAV threat model based on their classification depending on the scope of application. © 2023, The Author(s), under exclusive license to Springer Nature Switzerland AG.</t>
  </si>
  <si>
    <t>Cybersecurity; Threat model; UAV; Agriculture; Antennas; Cybersecurity; Military operations; Military vehicles; Aerial vehicle; Agricultural industries; Agricultural sector; Cyber security; Model-based OPC; Rescue operations; Scope of application; Threat modeling; Work-related; Unmanned aerial vehicles (UAV)</t>
  </si>
  <si>
    <t>10.1007/978-3-031-36118-0_53</t>
  </si>
  <si>
    <t>https://www.scopus.com/inward/record.uri?eid=2-s2.0-85169020310&amp;doi=10.1007%2f978-3-031-36118-0_53&amp;partnerID=40&amp;md5=900e55cfb659785f68ed408847ad004e</t>
  </si>
  <si>
    <t>P244</t>
  </si>
  <si>
    <t>Wang, X.; Gursoy, M.C.</t>
  </si>
  <si>
    <t>Resilient Path Planning for UAVs in Data Collection Under Adversarial Attacks</t>
  </si>
  <si>
    <t>In this paper, we investigate jamming-resilient UAV path planning strategies for data collection in Internet of Things (IoT) networks, in which the typical UAV can learn the optimal trajectory to elude such jamming attacks. Specifically, the typical UAV is required to collect data from multiple distributed IoT nodes under collision avoidance, mission completion deadline, and kinematic constraints in the presence of jamming attacks. We first design a fixed ground jammer with continuous jamming attack and periodical jamming attack strategies to jam the link between the typical UAV and IoT nodes. Defensive strategies involving a reinforcement learning (RL) based virtual jammer and the adoption of higher SINR thresholds are proposed to counteract against such attacks. Secondly, we design an intelligent UAV jammer, which utilizes the RL algorithm to choose actions based on its observation. Then, an intelligent UAV anti-jamming strategy is constructed to deal with such attacks, and the optimal trajectory of the typical UAV is obtained via dueling double deep Q-network (D3QN). Simulation results show that both non-intelligent and intelligent jamming attacks have significant influence on the UAV's performance, and the proposed defense strategies can recover the performance close to that in no-jammer scenarios.  © 2005-2012 IEEE.</t>
  </si>
  <si>
    <t>IoT networks; jamming attack; reinforcement learning; UAV path planning; Antennas; Autonomous vehicles; Data acquisition; Drones; Jamming; Motion planning; Reinforcement learning; Signal to noise ratio; Trajectories; Data collection; Internet of thing network; Jammers; Jamming; Jamming attacks; Optimal trajectories; Performance; Planning strategies; Reinforcement learnings; UAV path planning; Internet of things</t>
  </si>
  <si>
    <t>10.1109/TIFS.2023.3266699</t>
  </si>
  <si>
    <t>https://www.scopus.com/inward/record.uri?eid=2-s2.0-85153392551&amp;doi=10.1109%2fTIFS.2023.3266699&amp;partnerID=40&amp;md5=98b522ba76243c8ceea9e0173f79d2c5</t>
  </si>
  <si>
    <t>P245</t>
  </si>
  <si>
    <t>Costa, J.; Matos, R.; Araujo, J.; Li, J.; Choi, E.; Nguyen, T.A.; Lee, J.-W.; Min, D.</t>
  </si>
  <si>
    <t>Software Aging Effects on Kubernetes in Container Orchestration Systems for Digital Twin Cloud Infrastructures of Urban Air Mobility</t>
  </si>
  <si>
    <t>It is necessary to develop a vehicle digital twin (DT) for urban air mobility (UAM) that uses an accurate, physics-based emulator to model the statics and dynamics of a vehicle. This is because the use of digital twins in the operation and control of UAM vehicles is essential for the UAM operational digital twin infrastructure (UAM-ODT). There are several issues that need to be addressed in this process: (i) the lack of digital twin engines for the digitalization (twinization) of the dynamics and control of UAM vehicles at the core of UAM-ODT systems; (ii) the lack of back-end system engineering in the development of UAM vehicle DTs; and (iii) the lack of fault-tolerant mechanisms for the DT cloud back-end system to run uninterrupted operations 24/7. On the other hand, software aging and rejuvenation are becoming increasingly important in a variety of computing scenarios as the demand for reliable and available services increases. With the increasing use of containerized systems, there is also a need for an orchestrator to support easy management and reduce operational costs. In this paper, an operational digital twin (ODT) of a typical urban air mobility (UAM) infrastructure is developed on a private cloud system based on Kubernetes using a proposed cloud-in-the-loop simulation approach. To ensure the ODT can provide uninterrupted operational control and services in UAM around the clock, we propose a methodology for investigating software aging in Kubernetes-based containerized clouds. We evaluate the behavior of Kubernetes software using the Nginx and K3S tools while they manage pods in an accelerated lifetime experiment. We continuously execute operations for creating and terminating pods, allowing us to observe the utilization of computing resources (e.g., CPU, memory, and I/O), the performance of the Nginx and K3S environments, and the response time of an application hosted in those environments. In some conditions and for specific metrics, such as virtual memory usage, we observed the effects of software aging, including a memory leak that is not fully cleared when the cluster is stopped. These issues could lead to system performance degradation and eventually compromise the reliability and availability of the system when it crashes due to memory space exhaustion or full utilization of swap space on the hard disk. This study helps with the deployment and maintenance of virtualized environments from the standpoint of system dependability in digital twin computing infrastructures where a large number of services are running under strict continuity requirements. © 2023 by the authors.</t>
  </si>
  <si>
    <t>cloud-in-the-loop simulation; K3S; Kubernetes; Nginx; operational digital twin; software aging; software rejuvenation; urban air mobility; Adaptive systems; Berkelium; Computer software portability; Computer software reusability; Cortisol; Einsteinium; Ferroelectric RAM; Lawrencium; Oil tanks; Orbital laboratories; Orbital transfer; Plutonium; Sailing vessels; Satellites; Unmanned aerial vehicles (UAV); Unmanned surface vehicles; Backend system; Cloud-in-the-loop simulation; Kubernetes; Mobility vehicles; Nginx; Operational digital twin; Software aging; Software rejuvenation; Urban air; Urban air mobility; Air mobility</t>
  </si>
  <si>
    <t>10.3390/drones7010035</t>
  </si>
  <si>
    <t>https://www.scopus.com/inward/record.uri?eid=2-s2.0-85146797606&amp;doi=10.3390%2fdrones7010035&amp;partnerID=40&amp;md5=058367b0fd392582ed86725ad0a35dbe</t>
  </si>
  <si>
    <t>P246</t>
  </si>
  <si>
    <t>l</t>
  </si>
  <si>
    <t>Detection of Cyberattacks in an Software-Defined UAV Relay Network</t>
  </si>
  <si>
    <t>Unmanned aerial vehicles (UAVs), e.g., drones, have become crucial assets in the military's fleet of vehicles. UAVs can provide limited bandwidth for tactical communications and can act as relays over battlefields. Modern drones provide much higher bandwidth with dynamic antenna capabilities that would be useful in communicating around obstacles, such as urban corridors formed by rows of tall buildings that limit terrestrial lines of sight and attenuate high frequencies. While it is still more likely that one UAV is used for this purpose, a well-managed cluster of UAVs could increase the functionality of the entire terrestrial-drone network. Software-defined wireless networking (SDWN) is recognized as an effective way to manage distributed wireless networks. This paper proposes to use software-defined UAV networks (SD-UAV) to provide well-coordinated, secure communication resources and relaying capabilities to on-the-ground soldiers, military vehicles, and assets in an urban, signal-challenged environment. A mobility and packet delivery analysis is performed to determine the flow of packets through the simulated network, and, to maintain secure communication, a multi-cyberattack detection model is proposed to defend against jamming, black hole, and gray hole attack using the Light Gradient Boosting (LightGBM) machine learning (ML) algorithm. Results show our model can provide an average of greater than 98% detection accuracy, precision, recall, and F1-scores.  © 2023 IEEE.</t>
  </si>
  <si>
    <t>cybersecurity; machine learning; software-defined networking (SDN); UAVs; Adaptive boosting; Aircraft detection; Antennas; Bandwidth; Drones; Fleet operations; Jamming; Machine learning; Military vehicles; Network security; Smart city; Tall buildings; Vehicle to vehicle communications; Aerial vehicle; Cyber security; Cyber-attacks; Fleet of vehicles; Machine-learning; Military fleets; Relay network; Software-defined networking; Software-defined networkings; Unmanned aerial vehicle; Software defined networking</t>
  </si>
  <si>
    <t>10.1109/MILCOM58377.2023.10356217</t>
  </si>
  <si>
    <t>https://www.scopus.com/inward/record.uri?eid=2-s2.0-85182391611&amp;doi=10.1109%2fMILCOM58377.2023.10356217&amp;partnerID=40&amp;md5=70b6d3e431c2b7c94884b5ab9037496c</t>
  </si>
  <si>
    <t>P247</t>
  </si>
  <si>
    <t>Chen, Y.; Deng, T.</t>
  </si>
  <si>
    <t>Leader-Follower UAV formation flight control based on feature modelling</t>
  </si>
  <si>
    <t>To solve the problems of backstepping error and poor dynamic tracking approach rate in traditional PID neural network control in UAV formation flight control, a Leader-Follower UAV formation flight control method based on feature modelling is proposed,and the pose relationship model between virtual follower and pilot is established by trajectory tracking and pose dynamic fitting. The pose distribution of thefollower is analyzed in the ground coordinate system, and the parameter information of linear velocity and angular velocity control of UAV is obtained, and the backstepping sliding mode formation controller is formed. The variable structure PID neural network controller is used to design the flight control law of UAV formation, and the fast piecewise power approaching factor is introduced into the PID controller to eliminate the chattering of sliding mode control. The simulation results show that this method can ensure the rapidity of UAV formation flight control also show strong anti-jamming ability. Due to the fast piecewise power approach rate, the UAVs can complete the UAV formation reorganization under disturbance and buffeting in a short time, and the trajectory tracking error approaches zero, and it has good anti-buffeting ability. © 2023 The Author(s). Published by Informa UK Limited, trading as Taylor &amp; Francis Group.</t>
  </si>
  <si>
    <t>buffeting; drone; Feature modelling; formation flight control; Leader-Follower; pose; Aircraft control; Aircraft detection; Angular distribution; Backstepping; Controllers; Flight simulators; Sliding mode control; Three term control systems; Dynamic tracking; Feature models; Flight control; Formation flight; Formation flight control; Leader-follower; PID neural network; Piece-wise; Pose; Power; Unmanned aerial vehicles (UAV)</t>
  </si>
  <si>
    <t>10.1080/21642583.2023.2268153</t>
  </si>
  <si>
    <t>https://www.scopus.com/inward/record.uri?eid=2-s2.0-85174199906&amp;doi=10.1080%2f21642583.2023.2268153&amp;partnerID=40&amp;md5=86a6800520d50e73a0b9f8e5af5d43ad</t>
  </si>
  <si>
    <t>P248</t>
  </si>
  <si>
    <t>Silva, D.L.D.; MacHado, R.; Coutinho, O.L.; Antreich, F.</t>
  </si>
  <si>
    <t>A Soft-Kill Reinforcement Learning Counter Unmanned Aerial System (C-UAS) with Accelerated Training</t>
  </si>
  <si>
    <t>In recent years, unmanned aerial vehicles (UAVs) have gained significant popularity and are used for many applications, from entertainment to surveillance and the modern battlefield. As regulation demands arose worldwide, controling and reacting to unauthorized flights of UAVs became a pressing issue. In this work, we present an algorithm to accelerate the training of a reinforcement learning drone agent for a counter unmanned aerial system (C-UAS). The main objective of this C-UAS is to guide an invading drone to a safe-killing zone (SZ) using a hunter quadrotor drone. The hunter quadrotor launches a spoofing, or meaconing, attack on the GNSS receiver of the invading drone. The proposed algorithms employ an abstraction of the C-UAS problem to accelerate the training step and enable training during the mission. Results for different SZ radii are discussed using a software-in-the-loop simulation for ground truth based on a detailed model of the UAV embedded system and flight dynamics, including error metrics and action time. We show that a 99% probability of successful target steering to the SZ can be achieved considering a SZ radius of 75 meters and a Q-table trained with the proposed accelerated training model.  © 2013 IEEE.</t>
  </si>
  <si>
    <t>C-UAS; drones; Q-learning; reinforcement learning; software-in-the-loop; UAV; Air navigation; Antennas; C (programming language); Drones; Flight dynamics; Flight simulators; Jamming; Reinforcement learning; Aerial vehicle; Counter unmanned aerial system; Global Navigation Satellite Systems; Jamming; Q-learning; Receiver; Reinforcement learnings; Software in the loops; Unmanned aerial systems; Unmanned aerial vehicle; Application programs</t>
  </si>
  <si>
    <t>10.1109/ACCESS.2023.3253481</t>
  </si>
  <si>
    <t>https://www.scopus.com/inward/record.uri?eid=2-s2.0-85149828020&amp;doi=10.1109%2fACCESS.2023.3253481&amp;partnerID=40&amp;md5=6855a2287b9c4b0ae1c37601be1e0477</t>
  </si>
  <si>
    <t>P249</t>
  </si>
  <si>
    <t>MacGruer, A.G.; Johnson, S.D.; Nutt, K.J.; Padgett, M.J.; Gibson, G.M.</t>
  </si>
  <si>
    <t>Drone-based gas leak detection system for use in industry</t>
  </si>
  <si>
    <t>Gas leaks pose a prevalent issue in industry and can have pressing impacts on individual safety and the environment. There is demand for new technologies that can ease, and reduce the cost of, detection of the source of leaks, both on a large and small scale. We present a device capable of visualising the gas involved in the leaks allowing for an accessible tool in source location. Our current device can image methane leaks from ranges of up to 10m. By imaging a scene illuminated using a laser diode tuned to an absorption band of methane, followed by imaging at a similar but non-absorbed wavelength one can build a differential image of the scene and identify the presence of methane. This differential signal is then processed and assigned a false colour, in order to be overlaid upon an accompanying visible live feed. This system is adaptable and could be used to detect other gas species with modification to light source and detector. Future candidate gases would be based upon industry interest with acetylene, a common and flammable welding gas, being an example. The system is also robust enough to be drone mounted, we present data from conducted test flights. These flights demonstrate new ways in which the system can be used, such as in monitoring of difficult to access pipe geometries and for preset flight paths along expansive pipelines. This can allow for a more automated gas detection process, that is straightforward to review. © 2023 SPIE.</t>
  </si>
  <si>
    <t>Gas Detection; Gas Imaging; Industry; Methane; Real-time Imaging; UAV; Accident prevention; Aircraft detection; Drones; Gas detectors; Gases; Leak detection; Light sources; Gas detection; Gas imaging; Gas leak detection; Gas leaks; Large-scales; Leak detection systems; Pressung; Realtime imaging; Small scale; Sources location; Methane</t>
  </si>
  <si>
    <t>10.1117/12.2691068</t>
  </si>
  <si>
    <t>https://www.scopus.com/inward/record.uri?eid=2-s2.0-85180003941&amp;doi=10.1117%2f12.2691068&amp;partnerID=40&amp;md5=2d81feabbf7e9f8d837a192b381cd891</t>
  </si>
  <si>
    <t>P25</t>
  </si>
  <si>
    <t>Ajakwe, S.O.; Kim, D.-S.</t>
  </si>
  <si>
    <t>Facets of security and safety problems and paradigms for smart aerial mobility and intelligent logistics</t>
  </si>
  <si>
    <t>The use of unmanned aerial vehicles (UAVs) for smart and speedy logistics is still relatively nascent compared to traditional delivery methods. However, it is witnessing sporadic and steady growth due to booming demands, technological advancement, and regulatory support. The intelligence and integrity of UAV systems depend largely on the underlying cognitive and cybersecurity models, which serve as both eyes and brains to perceive and respond to the myriad of scenarios around them. Smart mobility and intelligent logistic ecosystems (SMiLE) are complex and advanced technological networks which are exposed to several issues. The incorporation of UAVs for priority logistics, thereby extending the coverage and capacity of SMiLE, further heightens these vulnerabilities and questions its security, safety, and sustainability. This review scrutinizes the significant security disruptions, smartness dynamics, and sundry developments for the sustainable deployment of UAVs as an aerial logistics-based vehicle. Using the PRISMA-SPIDER methodology, 157 articles were selected for quantitative analysis and 20 review articles for qualitative evaluation. Security and safety issues in UAVs cut across all the layers of logistics operations: components, communication, network architecture, navigation, supply chain etc. Expanding the capacity of SMiLE using UAV demands an intentional and incremental convergence-based integration of an agile explainable artificial framework for reliable and safety-conscious smart mobility, a scalable and tamperproof blockchain for multi-factor authentication, and a zero trust cybersecurity paradigm for inclusive enterprise-based authorization. © 2024 The Author(s). IET Intelligent Transport Systems published by John Wiley &amp; Sons Ltd on behalf of The Institution of Engineering and Technology.</t>
  </si>
  <si>
    <t>artificial intelligence; blockchain; cyber attacks; drones; logistics; security; smart mobility; zero trust architecture; Air navigation; Aerial vehicle; Block-chain; Cyber security; Cyber-attacks; Delivery methods; Safety problems; Security; Security problems; Smart mobility; Zero trust architecture; Unmanned aerial vehicles (UAV)</t>
  </si>
  <si>
    <t>10.1049/itr2.12579</t>
  </si>
  <si>
    <t>https://www.scopus.com/inward/record.uri?eid=2-s2.0-85209788941&amp;doi=10.1049%2fitr2.12579&amp;partnerID=40&amp;md5=5b57fb249577ba50eccff2093249ae2d</t>
  </si>
  <si>
    <t>P250</t>
  </si>
  <si>
    <t>Alzahrani, M.Y.; Khan, N.A.; Georgieva, L.; Bamahdi, A.M.; Abdulkader, O.A.; Alahmadi, A.H.</t>
  </si>
  <si>
    <t>Protecting Attacks on Unmanned Aerial Vehicles using Homomorphic Encryption</t>
  </si>
  <si>
    <t>With the exponential growth in the usage of unmanned aerial vehicles (UAV), often known as drones, for military, civilian, and recreational purposes. Security of internal communication modules and communication to the ground control station is considered the foremost challenge. Hacking into the system and attacking the internal communication devices with malicious code can disaster the vehicle's system. The need for having a secure communication channel between the internal modules of the vehicle and transmission of data to the ground control station is of utmost crucial. Existing mechanisms based on conventional encryption methods are highly suspectable to attacks as their keys can be broken by employing high computing power. Another challenge with these approaches is undesired high-level data communication latency affecting real-time communication. This study implements a homographic encryption-based technique for secure communication. In addition, we also propose a key regeneration algorithm based on pallier homomorphic encryption. Simulations were conducted using OMNET++ and Aerial Vehicle Network Simulator (AVENS). In this study 54 encryption attacks were collected from different sources. Compared to Digital Encryption Standard (DES) and Advanced Digital Encryption (AES), the proposed approach defended all the communication attacks between the UAV and the ground control station. © 2023 Institute of Advanced Engineering and Science. All rights reserved.</t>
  </si>
  <si>
    <t>Cybersecurity; Homomorphic Encryption; Malware Attacks; Pallier Cryptosystem; Unmanned Aerial Vehicles</t>
  </si>
  <si>
    <t>10.52549/ijeei.v11i1.3932</t>
  </si>
  <si>
    <t>https://www.scopus.com/inward/record.uri?eid=2-s2.0-85151440517&amp;doi=10.52549%2fijeei.v11i1.3932&amp;partnerID=40&amp;md5=9f0227341d165d4f976a06b666bb9352</t>
  </si>
  <si>
    <t>P251</t>
  </si>
  <si>
    <t>Shaaban, A.M.; Jung, O.; Schmittner, C.</t>
  </si>
  <si>
    <t>The Need for Threat Modelling in Unmanned Aerial Systems</t>
  </si>
  <si>
    <t>Detecting cybersecurity vulnerabilities in Unmanned Aerial Systems (UAS) is essential to ensure the safe operation of drones. This supports the determination of cybersecurity objectives and the description of security requirements needed to achieve these objectives. However, it is challenging to automate this process to identify potential cyber threats and ensure the correctness of the applied security requirements, especially in a complex system such as a UAS network. In this work, we use ThreatGet as a threat modelling tool to identify potential cyber threats in UAS and highlight existing security vulnerabilities. This assists in determining the appropriate security requirements that could be implemented to achieve our security goal. We then develop a novel ontology-based threat modelling approach to infer a set of security threats based on the applied security requirements and then check the effectiveness of these requirements against threats to ensure these requirements are fulfilled. © 2023, The Author(s), under exclusive license to Springer Nature Switzerland AG.</t>
  </si>
  <si>
    <t>Cybersecurity; Potential Threats; Security Requirements; Threat Modelling; Unmanned Aerial Systems; Aircraft detection; Antennas; Cryptography; Drones; Ontology; Cyber security; Cyber threats; Potential threats; Safe operation; Security requirements; Security vulnerabilities; Systems networks; Threat modeling; Threat modeling tool; Unmanned aerial systems; Cybersecurity</t>
  </si>
  <si>
    <t>10.1007/978-3-031-40953-0_7</t>
  </si>
  <si>
    <t>https://www.scopus.com/inward/record.uri?eid=2-s2.0-85172418130&amp;doi=10.1007%2f978-3-031-40953-0_7&amp;partnerID=40&amp;md5=d8caae7eeb6c99c14377b30171f7d7fd</t>
  </si>
  <si>
    <t>P252</t>
  </si>
  <si>
    <t>Srirangam, D.P.; Hemalatha, K.; Vajravelu, A.; Ashok Kumar, N.</t>
  </si>
  <si>
    <t>Safety and Security Issues in Employing Drones</t>
  </si>
  <si>
    <t>The use of drones has been steadily growing over the past few years, not only in a variety of businesses and governmental organizations but also among private individuals. This is due to the rapid deployment of drones for a variety of applications, which can be accomplished by merely attaching the application-specific devices to drones, which are typically controlled by a remote or a smartphone. However, the breakthroughs that have been made in the use of drones have also opened up security challenges. In many applications, the orders that are sent to the drones and the data that is transmitted from the drones are not encrypted. As a result of the fact that drones are also used for illegal and criminal activities by bad actors, it is necessary to add technology for attack detection, protection, and preventive countermeasures in drones, in addition to regulation on the usage of drones through law enforcement by the government agencies. In this chapter, we will analyze the exploiting of drone vulnerabilities such as GPS spoofing, Downlink intercept, and Data exploitation. Additionally, we will examine how to neutralize threats and countermeasures that should be addressed for the safety of the drones. © 2023, The Author(s), under exclusive license to Springer Nature Switzerland AG.</t>
  </si>
  <si>
    <t>Data interception attack; Drones; Eavesdropping attack; Jamming attack; KeyLogging attack; MSG injection attack; Security; Spoofing attack; Unmanned aerial vehicle (UAV)</t>
  </si>
  <si>
    <t>10.1007/978-3-031-33631-7_4</t>
  </si>
  <si>
    <t>https://www.scopus.com/inward/record.uri?eid=2-s2.0-85169057516&amp;doi=10.1007%2f978-3-031-33631-7_4&amp;partnerID=40&amp;md5=bfa5d285ba6aa72027cce73732429453</t>
  </si>
  <si>
    <t>P253</t>
  </si>
  <si>
    <t>Causa, F.; Fasano, G.</t>
  </si>
  <si>
    <t>Multi-drone cooperation to improve navigation integrity in low altitude urban environments</t>
  </si>
  <si>
    <t>This paper uses multi-UAV cooperation to enhance the positioning performance of a swarm when GNSS measurements are affected by faults. Only pseudorange observables are accounted for and a centralized extended Kalman filter, which can deal with both cooperative and non cooperative measurements, has been developed. The filter is complemented with a fault detection and elimination strategy based on Mahalanobis distance, which removes pseudoranges that are deemed faulty. Contribution of relative sensing sources (camera or ranging devices) and formation geometry to cooperative GNSS integrity mitigation is investigated, and the concept of cooperative slope is introduced as a metric to define the best cooperative formation geometry. Results demonstrate, by simulating spoofing and multipath phenomena, that cooperation enhances the navigation performance of the UAVs in a multi vehicle formation only if the formation geometry is correctly selected with the aid of the cooperative slope metric.  © 2023 IEEE.</t>
  </si>
  <si>
    <t>cooperative UAVs; GNSS integrity monitoring; Multipath; Navigation; Spoofing; Aircraft detection; Drones; Fault detection; Geometry; Global positioning system; Kalman filters; Cooperative UAV; GNSS integrity monitoring; Integrity monitoring; Low altitudes; Multi UAV; Multipath; Positioning performance; Pseudorange; Spoofing; Urban environments; Navigation</t>
  </si>
  <si>
    <t>10.1109/PLANS53410.2023.10140116</t>
  </si>
  <si>
    <t>https://www.scopus.com/inward/record.uri?eid=2-s2.0-85162860531&amp;doi=10.1109%2fPLANS53410.2023.10140116&amp;partnerID=40&amp;md5=eb2f4311926eb1c2d3f465bde0540ce7</t>
  </si>
  <si>
    <t>P254</t>
  </si>
  <si>
    <t>Al-Abdulwahhab, F.; Baroudi, U.</t>
  </si>
  <si>
    <t>Flooding Attack: Implementation, Detection, and Prevention for UAV</t>
  </si>
  <si>
    <t>Unmanned Aerial Vehicles (UAVs) use is increasing daily, which results in increasing their security threat landscape. A major security threat to availability for network-based devices is Denial of Service (DoS) and Flooding attacks, which impact the system resources and disturb the network communications. For Mobile Ad hoc Networks (MANETs), there are multiple previous works on DoS attacks implementation and mitigation using different techniques. However, the work is limited for 2D networks with little focus on detecting and mitigating such attacks on 3D networks of Flying AdHoc Networks (FANETs). This study focuses on the RREQ flooding attack on a 3D network of drones and proposes a threshold-based detection and mitigation mechanism that considers the drones limited resources. The simulation experiments demonstrate a 34% throughput improvement and 3% energy saving.  © 2023 IEEE.</t>
  </si>
  <si>
    <t>AODV; cybersecurity; DoS; drones; FANET; flooding attack; IoD; RREQ; UAV; Aircraft detection; Antennas; Cybersecurity; Denial-of-service attack; Energy conservation; Floods; Intrusion detection; Mobile ad hoc networks; Mobile security; Security systems; Ad-hoc networks; Aerial vehicle; AODV; Cyber security; Denial of Service; Flooding attacks; Flying adhoc network; IoD; RREQ; Unmanned aerial vehicle; Drones</t>
  </si>
  <si>
    <t>10.1109/SSD58187.2023.10411184</t>
  </si>
  <si>
    <t>https://www.scopus.com/inward/record.uri?eid=2-s2.0-85185837078&amp;doi=10.1109%2fSSD58187.2023.10411184&amp;partnerID=40&amp;md5=0ca46a1075faceb30ff98de1d87a48cf</t>
  </si>
  <si>
    <t>P255</t>
  </si>
  <si>
    <t>Luo, S.; Liu, X.</t>
  </si>
  <si>
    <t>UAV Intelligent Approach Jamming Wireless Communication System</t>
  </si>
  <si>
    <t>With the development of artificial intelligence technology, communication jamming technology with cognitive capability has become the focus of current research. And with the rapid development of UAV technology, the application of UAVs to electronic warfare has received widespread attention. In this paper, we study the method of intelligent jamming based on a UAV platform, where there are multiple pairs of communication link pairs on the ground and a UAV with intelligent jamming ability in the air. Assuming that the UAV is fully aware of the location of the ground communication nodes, using jamming gain assessment techniques and heterogeneous decision clustering techniques, combined with neural networks and reinforcement learning algorithms, the UAV can learn and train to choose at which location node to send a jamming signal in a dynamically changing environment, so that the optimal jamming strategy can be decided to maximize the jamming benefit, i.e. to obtain the most effective jamming effect and the optimal utilization of jamming resources(Energy value of the UAV). The number of successful UAV jams is maximized under a certain value of energy constraint. Finally, the simulation results verify the effectiveness of the method.  © 2023 IEEE.</t>
  </si>
  <si>
    <t>drones; intelligent jamming; neural networks; reinforcement learning; Deep learning; Jamming; Learning algorithms; Learning systems; Reinforcement learning; 'current; Artificial intelligence technologies; Cognitive capability; Intelligent jamming; Multiple pairs; Neural-networks; Reinforcement learnings; Technology communications; UAV platform; Wireless communication system; Drones</t>
  </si>
  <si>
    <t>10.1109/NNICE58320.2023.10105795</t>
  </si>
  <si>
    <t>https://www.scopus.com/inward/record.uri?eid=2-s2.0-85158963090&amp;doi=10.1109%2fNNICE58320.2023.10105795&amp;partnerID=40&amp;md5=d91bc066e4715c65d80d07c7d5dbf71d</t>
  </si>
  <si>
    <t>P256</t>
  </si>
  <si>
    <t>da Silva, Y.M.R.; Andrade, F.A.A.; Sousa, L.; de Castro, G.G.R.; Dias, J.T.; Berger, G.; Lima, J.; Pinto, M.F.</t>
  </si>
  <si>
    <t>Computer Vision Based Path Following for Autonomous Unmanned Aerial Systems in Unburied Pipeline Onshore Inspection</t>
  </si>
  <si>
    <t>Unmanned Aerial Systems (UAS) are becoming more attractive in diverse applications due to their efficiency in performing tasks with a reduced time execution, covering a larger area, and lowering human risks at harmful tasks. In the context of Oil &amp; Gas (O&amp;G), the scenario is even more attractive for the application of UAS for inspection activities due to the large extension of these facilities and the operational risks involved in the processes. Many authors proposed solutions to detect gas leaks regarding the onshore unburied pipeline structures. However, only a few addressed the navigation and tracking problem for the autonomous navigation of UAS over these structures. Most proposed solutions rely on traditional computer vision strategies for tracking. As a drawback, depending on lighting conditions, the obtained path line may be inaccurate, making a strategy to force the UAS to continue on the path necessary. Therefore, this research describes the potential of an autonomous UAS based on image processing technique and Convolutional Neural Network (CNN) strategy to navigate appropriately in complex unburied pipeline networks contributing to the monitoring procedure of the Oil &amp; Gas Industry structures. A CNN is used to detect the pipe, while image processing techniques such as Canny edge detection and Hough Transform are used to detect the pipe line reference, which is used by a line following algorithm to guide the UAS along the pipe. The framework is assessed by a PX4 flight controller Software-in-The-Loop (SITL) simulations performed with the Robot Operating System (ROS) along with the Gazebo platform to simulate the proposed operational environment and verify the approach’s functionality as a proof of concept. Real tests were also conducted. The results showed that the solution is robust and feasible to deploy in this proposed task, achieving 72% of mean average precision on detecting different types of pipes and 0.0111 m of mean squared error on the path following with a drone 2 m away from a tube. © 2022 by the authors.</t>
  </si>
  <si>
    <t>automatic inspection; computer vision; pipe inspection; unmanned aerial system; Aircraft detection; Extension pipelines; Flow visualization; Hough transforms; Image segmentation; Leak detection; Liquefied petroleum gas; Machine vision; Oil shale; Petroleum tar; Photointerpretation; Pipeline processing systems; Robot Operating System; Unmanned aerial vehicles (UAV); Visual servoing; Automatic inspection; Convolutional neural network; Diverse applications; Human risks; Image processing technique; Oil gas; Path following; Pipe inspection; Unmanned aerial systems; Vision based; Gas industry</t>
  </si>
  <si>
    <t>10.3390/drones6120410</t>
  </si>
  <si>
    <t>https://www.scopus.com/inward/record.uri?eid=2-s2.0-85144836335&amp;doi=10.3390%2fdrones6120410&amp;partnerID=40&amp;md5=a91f6f2994965ed425370963d99470cd</t>
  </si>
  <si>
    <t>P257</t>
  </si>
  <si>
    <t>Dang, Y.; Benzaid, C.; Yang, B.; Taleb, T.; Shen, Y.</t>
  </si>
  <si>
    <t>Deep-Ensemble-Learning-Based GPS Spoofing Detection for Cellular-Connected UAVs</t>
  </si>
  <si>
    <t>Unmanned aerial vehicles (UAVs) are an emerging technology in the 5G-and-beyond systems with the promise of assisting cellular communications and supporting IoT deployment in remote and density areas. Safe and secure navigation is essential for UAV remote and autonomous deployment. Indeed, the opensource simulator can use commercial software-defined radio tools to generate fake global positioning system (GPS) signals and spoof the UAV GPS receiver to calculate wrong locations, deviating from the planned trajectory. Fortunately, the existing mobile positioning system can provide additional navigation for cellular-connected UAVs and verify the UAV GPS locations for spoofing detection, but it needs at least three base stations (BSs) at the same time. In this article, we propose a novel deep-ensemble-learning-based, mobile-network-assisted UAV monitoring and tracking system for cellular-connected UAV spoofing detection. The proposed method uses path losses between BSs and UAVs communication to indicate the UAV trajectory deviation caused by GPS spoofing. To increase the detection accuracy, three statistics methods are adopted to remove environmental impacts on path losses. In addition, deep ensemble learning methods are deployed on the edge cloud servers and use the multilayer perceptron (MLP) neural networks to analyze path losses statistical features for making a final decision, which has no additional requirements and energy consumption on UAVs. The experimental results show the effectiveness of our method in detecting GPS spoofing, achieving above 97% accuracy rate under two BSs, while it can still achieve at least 83% accuracy under only one BS.  © 2014 IEEE.</t>
  </si>
  <si>
    <t>Deep ensemble learning; global positioning system (GPS) spoofing; multilayer perceptron (MLP); path loss; unmanned aerial vehicle (UAV); 5G mobile communication systems; Air navigation; Aircraft detection; Antennas; Base stations; Cryptography; Deep learning; Drones; Energy utilization; Environmental impact; Open source software; Open systems; Software radio; Aerial vehicle; Cellulars; Deep ensemble learning; Ensemble learning; GPS spoofing; Multi-layer perceptron; Multilayers perceptrons; Path loss; Receiver; Unmanned aerial vehicle; Global positioning system</t>
  </si>
  <si>
    <t>10.1109/JIOT.2022.3195320</t>
  </si>
  <si>
    <t>https://www.scopus.com/inward/record.uri?eid=2-s2.0-85135752617&amp;doi=10.1109%2fJIOT.2022.3195320&amp;partnerID=40&amp;md5=0ed406dbdcf4986fc037c48286801da6</t>
  </si>
  <si>
    <t>P258</t>
  </si>
  <si>
    <t>Valianti, P.; Papaioannou, S.; Kolios, P.; Ellinas, G.</t>
  </si>
  <si>
    <t>Multi-Agent Coordinated Close-in Jamming for Disabling a Rogue Drone</t>
  </si>
  <si>
    <t>Drones, including remotely piloted aircraft or unmanned aerial vehicles, have become extremely appealing over the recent years, with a multitude of applications and usages. However, they can potentially present major threats for security and public safety, especially when they fly across critical infrastructures and public spaces. This work investigates a novel counter-drone solution by proposing a multi-agent framework in which a team of pursuer drones cooperate in order to track and jam a rogue drone. Within the proposed framework, a joint mobility and power control solution is developed to optimize the respective decisions of each cooperating agent in order to best track and intercept the moving rogue drone. Both centralized and distributed variants of the joint optimization problem are developed and extensive simulations are conducted to evaluate the performance of the problem variants and to demonstrate the effectiveness of the proposed solution.  © 2002-2012 IEEE.</t>
  </si>
  <si>
    <t>decision and control; jamming; Multi-agent tracking; optimization; Aircraft control; Aircraft detection; Drones; Jamming; Multi agent systems; Power control; Tracking radar; Aerial vehicle; Decision and control; Jamming; Multi agent; Multi-agent tracking; Optimisations; Public safety; Remotely piloted aircraft; Targets tracking; Antennas</t>
  </si>
  <si>
    <t>10.1109/TMC.2021.3062225</t>
  </si>
  <si>
    <t>https://www.scopus.com/inward/record.uri?eid=2-s2.0-85101888167&amp;doi=10.1109%2fTMC.2021.3062225&amp;partnerID=40&amp;md5=e84910a405af79596ea43751bd2725d0</t>
  </si>
  <si>
    <t>P259</t>
  </si>
  <si>
    <t>Dwivedi, S.; Sharma, K.</t>
  </si>
  <si>
    <t>Study of Threats and Security Aspects of Unmanned Ariel Vehicles</t>
  </si>
  <si>
    <t>Unmanned Ariel Vehicles (UAVs), commonly known as drones, are pilotless aircraft or robots that can fly to almost unrestrained locations. These UAVs can operate with or without human intervention while having complete autonomy and flexibility, making them the subject of concerted research over the past few decades. Also, UAVs have a broad range of applications, which are generic and specific, ranging from civilian to military usage. The UAV System is easily deployable and user-friendly because of its modular nature, consisting of the Flying Object, Base Control Station, and Communication Link. However, it also makes the UAV System prone to security threats in the context of Hardware, Software, and Communication Link. The UAV System being infrastructureless mainly operates through wireless communication links and can be attacked in various ways, such as spoofing, false data injection, fuzzing, jamming confidentiality, and integrity attacks. Hence, the primary security concern is to secure the data that controls the Flying Object and the data that consists of the information gathered. UAVs typically send the data to the ground station over a wireless link which attackers can easily target. To overcome these security threats, researchers and scientists have been continuously investigating the vulnerabilities and weaknesses of UAV systems and have proposed various countermeasures. In this work, an attempt has been made to study different types of UAV Systems, its applications along with security threats and their countermeasures. © 2023 IEEE.</t>
  </si>
  <si>
    <t>and Jamming; False Data Injection; Fuzzing; Spoofing; UAS Unmanned Ariel Vehicle Systems; UAV - Unmanned Ariel Vehicle; Vulnerability; Military applications; Security systems; Unmanned aerial vehicles (UAV); And jamming; False data injection; Fuzzing; Spoofing; UAS unmanned ariel vehicle system; Unmanned ariel vehicle - unmanned ariel vehicle; Unmanned ariel vehicles; Vehicle system; Vulnerability; Jamming</t>
  </si>
  <si>
    <t>10.1109/IC2E357697.2023.10262679</t>
  </si>
  <si>
    <t>https://www.scopus.com/inward/record.uri?eid=2-s2.0-85174526618&amp;doi=10.1109%2fIC2E357697.2023.10262679&amp;partnerID=40&amp;md5=c3a728d63b81678fb4dc00b0d3594f87</t>
  </si>
  <si>
    <t>P26</t>
  </si>
  <si>
    <t>Alzahrani, A.</t>
  </si>
  <si>
    <t>Novel Approach For Intrusion Detection Attacks on Small Drones Using ConvLSTM Model</t>
  </si>
  <si>
    <t>The emergence of small-drone technology has revolutionized the way we use drones. Small drones leverage the Internet of Things (IoT) to provide precise navigation and location-based services, making them versatile tools for various applications. However, small drones' structural and design vulnerabilities expose them to significant security and privacy threats. To ensure the secure and reliable operation of small drones, developing a robust network infrastructure and implementing tailored security and privacy mechanisms is essential. The research evaluates the performance of deep learning (DL) models, including Convolutional Neural Networks (CNN), Long Short-Term Memory (LSTM), CNN-LSTM, and ConvLSTM, in detecting intrusions within UAV communication networks. The study utilizes five diverse and realistic datasets, namely KDD Cup-99, NSL-KDD, WSN-DS, CICIDS2017, and Drone datasets, to simulate real-world intrusion scenarios. Notably, the ConvLSTM model consistently achieves an accuracy of 99.99%, showcasing its potential in securing UAVs from cyber threats. This research underscores the significance of robust cybersecurity measures in the ever-expanding realm of UAV technology and highlights the pivotal role played by high-quality datasets in enhancing UAV security. As UAVs become increasingly integral to various industries, this study contributes to ensuring their safety, security, and reliability in the face of evolving cyber risks. © 2013 IEEE.</t>
  </si>
  <si>
    <t>Autonomous vehicles; ConvLSTM; Cyber-security; GPS; Spoofing; UAVs; Convolutional neural networks; Cyber attacks; Differential privacy; Drones; Global positioning system; Intrusion detection; Network security; Privacy by design; Autonomous Vehicles; ConvLSTM; Convolutional neural network; Cyber security; Intrusion-Detection; Location-based services; Security and privacy; Short term memory; Spoofing; Versatile tools; Network intrusion</t>
  </si>
  <si>
    <t>10.1109/ACCESS.2024.3471806</t>
  </si>
  <si>
    <t>https://www.scopus.com/inward/record.uri?eid=2-s2.0-85205883876&amp;doi=10.1109%2fACCESS.2024.3471806&amp;partnerID=40&amp;md5=ce12656e381505141ab8240ae900355d</t>
  </si>
  <si>
    <t>P260</t>
  </si>
  <si>
    <t>Shafik, W.</t>
  </si>
  <si>
    <t>Cyber security perspectives in public spaces: Drone case study</t>
  </si>
  <si>
    <t>As the public use drones (aircraft that can operate semi or autonomous), sometimes referred to as unmanned aerial vehicles or automotive aircrafts, to ease daily people's lifestyles, there are cyber security threats and cyber-attacks that hinder public safety and privacy during the moments when these drones are used. Cyber threats are analyzed based on the commonly known approaches to evaluate the cyber perspective and its effect on the public. Public drones' cyber security hazards are well tested using the STRIDE approach connected with the considered threats. The evaluation is highly dependent on the accuracy of drone mission definition, potential intruders, social, and other human-related cases. This chapter therefore encompasses the most current studies focusing on possible intruders portrayed as critical when carrying out a cyber security assessment. A brief future direction to mitigate cyber-related threats as it entails the public are conclusively depicted. © 2023 by IGI Global. All rights reserved.</t>
  </si>
  <si>
    <t>10.4018/978-1-6684-7207-1.ch004</t>
  </si>
  <si>
    <t>https://www.scopus.com/inward/record.uri?eid=2-s2.0-85163441497&amp;doi=10.4018%2f978-1-6684-7207-1.ch004&amp;partnerID=40&amp;md5=0a06b8ecbb39d6b2bbd76c5099bdfa06</t>
  </si>
  <si>
    <t>P261</t>
  </si>
  <si>
    <t>Mynuddin, M.; Khan, S.U.; Mahmoud, M.N.</t>
  </si>
  <si>
    <t>Trojan Triggers for Poisoning Unmanned Aerial Vehicles Navigation: A Deep Learning Approach</t>
  </si>
  <si>
    <t>Cybersecurity for unmanned aerial vehicles (UAVs) has recently gained much attention due to an increase in cyberattacks against drone systems. Many significant cyber security attacks on UAVs have occurred in recent years due to a lack of vulnerability assessments and inadequate security countermeasures. A Trojan attack is a type of cyberattack where Deep Neural Networks (DNN) models are poisoned by injecting malicious modifications into the original design, which leads the DNN to misclassify certain inputs after being triggered. In this paper, we investigate Trojan attacks against neural networks. For a Trojan attack, we consider the DroNet architecture. DroNet is a convolutional neural network capable of safely driving a UAV across city streets. DroNet navigates UAVs by predicting steering angles and collision probabilities from camera images. For the attacking purpose, we have generated poisonous collision and steering angle datasets for DroNet. The TrojAI software framework is used to generate poisonous datasets and Trojan models. First, the effectiveness of the Trojan attack is examined on the DroNet model using poisonous and steering angle datasets. Then, we regulate the intensity of the designed trigger and review the performance of the DroNet architecture. Finally, we proposed a trojan detection technique using label visualization for clean and poisonous datasets.  © 2023 IEEE.</t>
  </si>
  <si>
    <t>Air navigation; Antennas; Computer programming; Cybersecurity; Network architecture; Unmanned aerial vehicles (UAV); Aerial vehicle; Cyber security; Cyber-attacks; Drone system; Learning approach; Security attacks; Steering angles; Trojans; Vehicle navigation; Vulnerability assessments; Deep neural networks</t>
  </si>
  <si>
    <t>10.1109/CSR57506.2023.10224932</t>
  </si>
  <si>
    <t>https://www.scopus.com/inward/record.uri?eid=2-s2.0-85171791297&amp;doi=10.1109%2fCSR57506.2023.10224932&amp;partnerID=40&amp;md5=c7698e5b1108bf71ffe80006071c8b6e</t>
  </si>
  <si>
    <t>P262</t>
  </si>
  <si>
    <t>Munir, M.S.; Dipro, S.H.; Hasan, K.; Islam, T.; Shetty, S.</t>
  </si>
  <si>
    <t>Artificial Intelligence-Enabled Exploratory Cyber-Physical Safety Analyzer Framework for Civilian Urban Air Mobility</t>
  </si>
  <si>
    <t>Urban air mobility (UAM) has become a potential candidate for civilization for serving smart citizens, such as through delivery, surveillance, and air taxis. However, safety concerns have grown since commercial UAM uses a publicly available communication infrastructure that enhances the risk of jamming and spoofing attacks to steal or crash crafts in UAM. To protect commercial UAM from cyberattacks and theft, this work proposes an artificial intelligence (AI)-enabled exploratory cyber-physical safety analyzer framework. The proposed framework devises supervised learning-based AI schemes such as decision tree, random forests, logistic regression, K-nearest neighbors (KNN), and long short-term memory (LSTM) for predicting and detecting cyber jamming and spoofing attacks. Then, the developed framework analyzes the conditional dependencies based on the Pearson’s correlation coefficient among the control messages for finding the cause of potential attacks based on the outcome of the AI algorithm. This work considers the UAM attitude control scenario for determining jam and spoofing attacks as a use case to validate the proposed framework with a state-of-the-art UAV attack dataset. The experiment results show the efficacy of the proposed framework in terms of around (Formula presented.) accuracy for jamming and spoofing detection with a decision tree, random forests, and KNN while efficiently finding the root cause of the attack. © 2023 by the authors.</t>
  </si>
  <si>
    <t>artificial intelligence; attitude control; exploratory cyber-physical safety analyzer; jamming; spoofing; urban air mobility (UAM)</t>
  </si>
  <si>
    <t>10.3390/app13020755</t>
  </si>
  <si>
    <t>https://www.scopus.com/inward/record.uri?eid=2-s2.0-85146590003&amp;doi=10.3390%2fapp13020755&amp;partnerID=40&amp;md5=f219f6cf5345b76900c1575631cd1eae</t>
  </si>
  <si>
    <t>P263</t>
  </si>
  <si>
    <t>Kateb, F.; Ragab, M.</t>
  </si>
  <si>
    <t>Archimedes Optimization with Deep Learning Based Aerial Image Classification for Cybersecurity Enabled UAV Networks</t>
  </si>
  <si>
    <t>The recent adoption of satellite technologies, unmanned aerial vehicles (UAVs) and 5G has encouraged telecom networking to evolve into more stable service to remote areas and render higher quality. But, security concerns with drones were increasing as drone nodes have been striking targets for cyberattacks because of immensely weak inbuilt and growing poor security volumes. This study presents an Archimedes Optimization with Deep Learning based Aerial Image Classification and Intrusion Detection (AODL-AICID) technique in secure UAV networks. The presented AODL-AICID technique concentrates on two major processes: image classification and intrusion detection. For aerial image classification, the AODL-AICID technique encompasses MobileNetv2 feature extraction, Archimedes Optimization Algorithm (AOA) based hyperparameter optimizer, and backpropagation neural network (BPNN) based classifier. In addition, the AODL-AICID technique employs a stacked bi-directional long short-term memory (SBLSTM) model to accomplish intrusion detection for cybersecurity in UAV networks. At the final stage, the Nadam optimizer is utilized for parameter tuning of the SBLSTM approach. The experimental validation of the AODL-AICID technique is tested and the obtained values reported the improved performance of the AODL-AICID technique over other models. © 2023 CRL Publishing. All rights reserved.</t>
  </si>
  <si>
    <t>Aerial image classification; cybersecurity; deep learning; intrusion detection; remote sensing; 5G mobile communication systems; Aircraft detection; Antennas; Cybersecurity; Deep learning; Drones; Image classification; Network security; Neural networks; Remote sensing; Aerial image classification; Aerial images; Aerial vehicle; Cyber security; Deep learning; Images classification; Intrusion-Detection; Optimisations; Remote-sensing; Vehicle network; Intrusion detection</t>
  </si>
  <si>
    <t>10.32604/csse.2023.039931</t>
  </si>
  <si>
    <t>https://www.scopus.com/inward/record.uri?eid=2-s2.0-85169707751&amp;doi=10.32604%2fcsse.2023.039931&amp;partnerID=40&amp;md5=24c91beca1268dd2138962f2c4b88d7b</t>
  </si>
  <si>
    <t>P264</t>
  </si>
  <si>
    <t>Deebak, B.D.; Hwang, S.O.</t>
  </si>
  <si>
    <t>Intelligent drone-assisted robust lightweight multi-factor authentication for military zone surveillance in the 6G era</t>
  </si>
  <si>
    <t>In the diverse range of surveillance applications, large-scale deployment of next-generation communication technologies and the fast-growing development of unmanned aerial vehicles (UAVs) are envisioned as key innovations in the adoption of beyond-fifth generation (B5G) and 6G communication. Due to its self-reliance and versatility, a complex communication network can be formulated strategically to improve the application features of drone technology, including search-and-rescue, mission-critical services, and military surveillance. In recent times, technological advancements in hardware and software infrastructure have gained momentum toward seamless information interaction in aerial communication. Unfortunately, the recurrent process of user authentication causes severe communication instability in an unmanned aerial ad hoc network (UAANET) leading to some serious cyber threats, such as buffer overflow, denial of service, and spoofing. Therefore, building secure and reliable authentication is inevitable in order to protect drone-aided healthcare service environments. To protect aerial zones and improve security efficiency, this paper designs robust lightweight secure multi-factor authentication (RL-SMFA). The proposed RL-SMFA utilizes an AI-enabled, secure analytics phase to verify the genuineness of drone swarms for the ground control station. While protecting communication with drone vehicles, we also observe that power consumption by drones is reduced to a large extent. Using formal verification under a random oracle model, we show that the proposed RL-SMFA can functionally resist system vulnerabilities and constructively decrease the computation and communication costs of the UAANET. Lastly, the simulation study using ns3 shows that the proposed RL-SMFA achieves better performance efficiencies in terms of throughput rate, packet delivery ratio, and end-to-end delay than other state-of-the-art approaches to discovering a proper link establishment. © 2023 Elsevier B.V.</t>
  </si>
  <si>
    <t>Aerial ad hoc network; Artificial intelligence; B5G/6G; Multi-factor authentication; Security; Unmanned aerial vehicle; Authentication; Cryptography; Cybersecurity; Denial-of-service attack; Drones; Efficiency; Military applications; Military vehicles; Mobile security; Network security; Rock mechanics; Vehicle to vehicle communications; Ad-hoc networks; Aerial ad hoc network; Aerial vehicle; B5G/6g; Diverse range; Large-scale deployment; Multi-factor authentication; Security; Surveillance applications; Unmanned aerial vehicle; Antennas</t>
  </si>
  <si>
    <t>10.1016/j.comnet.2023.109664</t>
  </si>
  <si>
    <t>https://www.scopus.com/inward/record.uri?eid=2-s2.0-85149401041&amp;doi=10.1016%2fj.comnet.2023.109664&amp;partnerID=40&amp;md5=c62f523aff6f4dcaa1bdee6b77efb106</t>
  </si>
  <si>
    <t>P265</t>
  </si>
  <si>
    <t>Truslow, P.V.; Gelber, M.; Klenke, R.H.</t>
  </si>
  <si>
    <t>Checkpoint based thread execution monitoring of an STM32 based flight control system using a Zynq FPGA+ARM SoC</t>
  </si>
  <si>
    <t>As UAV deliveries, Urban Air Mobility, and other applications where autonomous aerial vehicles become more prevalent in urban and suburban areas, a great deal of trust is needed in the reliability of these systems. Monitoring the execution of the complex software on the autopilot systems in these vehicles is a necessary component in ensuring the reliability of autonomous aerial vehicles to detect failures due to software faults and cyber attacks. Full instruction tracing of an embedded system in real-time is typically done offline using specialized hardware and software to analyze an instruction trace. It is impractical to attempt to trace at the instruction level at run-time on a Flight Controller due to the complexity of parsing of the executing code in real time. Tracing at even the function call level requires a significant amount of data to be transmitted to the tracing hardware, thus a more efficient method is needed. Configuring the debug hardware within the processor to sample the program counter periodically is possible, but this can only provide statistics over time of what regions of code consume the most CPU time, which is insufficient to detect software failures in a timely manner. This paper presents a method of placing instrumentation code within each thread that is lightweight, requiring only writing two bytes of data to a memory location, both of which are known at compile time, and reducing the impact of instrumentation code on execution time. The integrated debug hardware within the processor transmits each checkpoint message to the run-time execution monitor at high speed over the Single Wire Output (SWO) of the ARM Cortex-M autopilot processor with no additional intervention from the executing thread. The run-time execution monitor deserializes, parses, and timestamps debug packets containing checkpoint messages where they are passed to the ARM processor within the monitor for analysis. © 2023, American Institute of Aeronautics and Astronautics Inc, AIAA. All rights reserved.</t>
  </si>
  <si>
    <t>Air mobility; ARM processors; Field programmable gate arrays (FPGA); Flight control systems; Network security; Program debugging; Program processors; Software reliability; System-on-chip; Unmanned aerial vehicles (UAV); Autopilot systems; Complex software; Execution monitoring; Execution monitors; Flight-control systems; Instrumentation code; Real- time; Run-time execution; Urban air; Urban and suburban areas; Antennas</t>
  </si>
  <si>
    <t>10.2514/6.2023-1343</t>
  </si>
  <si>
    <t>https://www.scopus.com/inward/record.uri?eid=2-s2.0-85199040346&amp;doi=10.2514%2f6.2023-1343&amp;partnerID=40&amp;md5=408b2c8e2d7ac337666ca091c1018263</t>
  </si>
  <si>
    <t>P266</t>
  </si>
  <si>
    <t>Prasanna Srinivasan, S.; Sathyadevan, S.</t>
  </si>
  <si>
    <t>GPS Spoofing Detection in UAV Using Motion Processing Unit</t>
  </si>
  <si>
    <t>To facilitate navigation and tracking, UAVs (unmanned aerial vehicles) or drones rely on the global positioning system (GPS). Still, unmanned aerial vehicles are resistless to GPS spoofing attacks, which involve manipulating GPS module receivers by transmitting altered signals. For example, an adversary using an adverse GPS simulator could broadcast counterfeit GPS signals, causing a GPS-reliant UAV to deviate from its intended flight path. This can result in loss of position accuracy and potentially cause a crash or unauthorized access to restricted areas. To mitigate this issue, several approaches have been advocated to detect GPS spoofing attacks. Motion Processing Units (MPUs) have emerged as a promising option, as they can provide precise measurements of the UAVs orientation and movement, enabling the mitigation and detection of spoofing attacks on GPS signals. In this study, a technique is introduced for identifying and counteracting GPS spoofing attacks in drones or unmanned aerial vehicles (UAVs) using data from the MPU9250. The approach employs data from the accelerometer, gyroscope, and magnetometer along all three axes to detect instances of GPS spoofing and recover accurate GPS coordinates. Any noteworthy divergence in the gyroscope readings is considered as a possible GPS spoofing attack. To evaluate the efficacy of the propounded method, it is tested using real-world experiments, which demonstrate its capability to successfully detect falsified GPS signals. © 2023 IEEE.</t>
  </si>
  <si>
    <t>GPS spoofing; MPU; path loss; UAV; Air navigation; Aircraft detection; Antennas; Drones; Signal receivers; Aerial vehicle; Global positioning system spoofing; Motion processing; Motion processing unit; Path loss; Processing units; Spoofing attacks; System modules; System signals; Unmanned aerial vehicle; Global positioning system</t>
  </si>
  <si>
    <t>10.1109/ISDFS58141.2023.10131729</t>
  </si>
  <si>
    <t>https://www.scopus.com/inward/record.uri?eid=2-s2.0-85163053025&amp;doi=10.1109%2fISDFS58141.2023.10131729&amp;partnerID=40&amp;md5=7e9f4d092fcdbaa207cb773a497082d7</t>
  </si>
  <si>
    <t>P267</t>
  </si>
  <si>
    <t>Wei, S.; Li, L.; Chen, G.; Blasch, E.; Chang, K.-C.; Clemons, T.M.; Pham, K.</t>
  </si>
  <si>
    <t>ROSIS: Resilience Oriented Security Inspection System against False Data Injection Attacks</t>
  </si>
  <si>
    <t>Current radar-based Air Traffic Service (ATS) providers lack the preservation of privacy for airspace operations of selected flight plans, positions, and state data; requiring security assurance. Recent events have shown that modern unmanned aerial vehicles (UAVs) are vulnerable to attack and subversion through software flaws or sometimes malicious devices that are present on urban air mobility (UAM) communication networks, which increases the need for cyber awareness including the risk of cyber intrusion. Many stealthy attacks (such as False Data Injection Attacks (FDIAs)) are hard to detect on avionics systems, as they can compromise measurements from sensors and bypass the sensor's basic 'faulty data' detection mechanism and remain undetected. Such attacks on a UAM system may not even present their impact but propagate from the sensor to fool the system by predicting a delayed asset failure or maintenance interval. In this paper, we develop a Resilience Oriented Security Inspection System (ROSIS) to maximize UAM capability to secure data accessing and sharing among aircraft and Air Traffic Service (ATS) service providers. Specifically, we collect and demonstrate the effect of generalized FDIAs on wireless sensors of a turbofan engine using NASA's C-MAPSS simulator, and develop data-driven based deep learning methods (Long Short-Term Memory (LSTM) and Gated Recurrent Unit (GRU)) for detecting abnormal features. A graphical physics-informed Bayesian Network model is developed to represent the dynamic nature of the engine to predict health conditions accordingly. The ROSIS model characterizes the condition-symptom relationships of different engine components and sensors. A hybrid software-in-the-loop (SITL) and hardware-in-the-loop (HITL) design is also developed to evaluate the effectiveness of the ROSIS defense mechanisms. Our experiments validate the performance of ROSIS in detection accuracy and efficiency against FDIAs. © 2023 IEEE.</t>
  </si>
  <si>
    <t>Aircraft detection; Antennas; Bayesian networks; Cybersecurity; Inspection; Inspection equipment; Learning systems; Long short-term memory; NASA; Network security; Turbofan engines; 'current; Aerial vehicle; Air traffic service providers; Communications networks; False data injection attacks; Flight plans; Inspection system; Security assurance; System resiliences; Urban air; Air mobility</t>
  </si>
  <si>
    <t>10.1109/AERO55745.2023.10115584</t>
  </si>
  <si>
    <t>https://www.scopus.com/inward/record.uri?eid=2-s2.0-85160521084&amp;doi=10.1109%2fAERO55745.2023.10115584&amp;partnerID=40&amp;md5=b8d35081fa8470b4856aaf7c089392f7</t>
  </si>
  <si>
    <t>P268</t>
  </si>
  <si>
    <t>Mishra, R.; Saxena, S.</t>
  </si>
  <si>
    <t>Blockchain Technology Based Security for UAV IoT Environment</t>
  </si>
  <si>
    <t>Recent emerging technologies are being utilized for the quench of connectivity in real time scenarios. A push is coming to make the information available to humans from the real-time environmental data collected through small sensing devices. Wireless ad-hoc network is a base architecture for Internet of Things (IoT), Unmanned Arial Vehicle (UAV) and drones etc. In this series, IoDT (Internet of Drone Things) came as the future of drones backend via the Internet of Things, smart vision, cloud computing, enhanced communication, big data, and advanced security approaches. Rapid growth in sensing devices connected to the Internet with intelligence and capabilities also opens the door for attackers because more devices are connected means more chances of security vulnerabilities. Since data authentication is handled only by the central station, which may lead to the chances of device spoofing and false authentication brings less reliability after all. Blockchain (BC) technology is introduced to address such security concerns by eliminating the role of central authority. Blockchain Technology gives decentralized and non-tamperable solutions for the most demanding security service i.e. Authentication. This paper starts with unique characteristics and security challenges in such IOT environment and further covers the authentication process by blockchain with its potential benefits. The multilayer ecosystem is illustrated to fulfill the requirement of the UAV IoT environment, where multiple devices are equally working in a cooperative manner to perform an authorized action. The paper presented a complete study about the integration of blockchain in IoT enabled UAV. © 2023, The Author(s), under exclusive license to Springer Nature Switzerland AG.</t>
  </si>
  <si>
    <t>Blockchain; Consensus mechanism; Internet of drones; Internet of things; IoT; Mutual authentication; Smart contract; UAV; Ad hoc networks; Authentication; Blockchain; Drones; Internet of things; Vehicle to vehicle communications; Block-chain; Consensus mechanism; Emerging technologies; Environmental data; Internet of drone; Mutual authentication; Real- time; Sensing devices; Technology-based; Unmanned arial vehicle; Smart contract</t>
  </si>
  <si>
    <t>10.1007/978-3-031-19309-5_36</t>
  </si>
  <si>
    <t>https://www.scopus.com/inward/record.uri?eid=2-s2.0-85151065089&amp;doi=10.1007%2f978-3-031-19309-5_36&amp;partnerID=40&amp;md5=1c6ef81563d142afbe0b0775d56eac87</t>
  </si>
  <si>
    <t>P269</t>
  </si>
  <si>
    <t>Muslimov, T.; Kozlov, E.; Munasypov, R.</t>
  </si>
  <si>
    <t>Drone Swarm Movement without Collisions with Fixed Obstacles Using a Hybrid Algorithm Based on Potential Functions</t>
  </si>
  <si>
    <t>Facilitating obstacle avoidance for autonomous drones (UAVs) is a key problem of their safe movement, including indoor applications. The complexity of this problem increases when a large group or a swarm of drones implementing coordinated movement is concerned. In this scenario, there can be problems with the standard methods, such as the potential field method. The jamming effect that occurs when a drone cannot efficiently bypass an obstacle on its way to the destination is the most widespread problem. This paper suggests an approach that uses a hybrid algorithm combining the standard potential field and the curl-free vector field. For the sake of brevity, the authors only review the fixed obstacle scenario. The usage of the curl-free vector field component can help remove the jamming effect during swarm movement. The theoretical analysis of stability is performed using Lyapunov's direct method. To test the effectiveness of the approach, the authors used modeling in MATLAB/Simulink. © 2023 IEEE.</t>
  </si>
  <si>
    <t>collision avoidance; Multi-UAV system; obstacle avoidance; swarm control; UAV formation; Aircraft control; Collision avoidance; Jamming; Collisions avoidance; Fixed obstacles; Hybrid algorithms; Multi UAV; Multi-UAV system; Obstacles avoidance; Swarm control; UAV formation; UAV systems; Vector fields; Drones</t>
  </si>
  <si>
    <t>10.1109/RusAutoCon58002.2023.10272747</t>
  </si>
  <si>
    <t>https://www.scopus.com/inward/record.uri?eid=2-s2.0-85174972212&amp;doi=10.1109%2fRusAutoCon58002.2023.10272747&amp;partnerID=40&amp;md5=5353900065256222b959d4c9d71a754a</t>
  </si>
  <si>
    <t>P27</t>
  </si>
  <si>
    <t>Akram, J.; Anaissi, A.; Akram, A.; Rathore, R.S.; Jhaveri, R.H.</t>
  </si>
  <si>
    <t>Adversarial Label-Flipping Attack and Defense for Anomaly Detection in Spatial Crowdsourcing UAV Services</t>
  </si>
  <si>
    <t>The rapid expansion of Graph Neural Networks (GNNs) in consumer electronics and Vehicular Edge Computing (VEC) enhanced Internet of Drone Things (IoDT) services highlights the need for strong defenses against cyber attacks. One significant but overlooked threat is adversarial label-flipping, where attackers slightly change training labels to disrupt the system. This issue is critical in spatial crowdsourcing UAV networks that use potentially insecure labels. Our study investigates these attacks on GNNs, emphasizing a serious security problem. We introduce UAVGuard, an innovative attack model that uses continuous approximations for complex objectives and a simplified GNN structure for effective gradient-based attacks. Our analysis shows that GNNs&amp;#x2019; vulnerability mainly comes from overfitting to these manipulated labels. To counter this, we offer a defensive framework that uses a community-preserving self-supervised task as a regularization method. Tests on three real-world datasets, including various IBRL modalities, demonstrate UAVGuard&amp;#x2019;s effectiveness and our defense architecture&amp;#x2019;s resilience to label-flipping attacks. This research enhances our understanding of these threats to GNNs and provides practical defenses, improving the security of UAV services in spatial crowdsourcing within VEC-enhanced IoDT systems. IEEE</t>
  </si>
  <si>
    <t>Anomaly detection; Autonomous aerial vehicles; Bi-Level Optimization; Consumer electronics; Convolution; Correlation; Data models; Data Security; Feature extraction; Graph Neural Networks; Label-Flipping Attacks; Spatial Crowdsourcing; UAV Networks; Aircraft detection; Anomaly detection; Computer viruses; Convolutional neural networks; Crowdsourcing; Cyber attacks; Edge computing; Intelligent systems; Network security; Photomapping; Steganography; Unmanned aerial vehicles (UAV); Aerial vehicle; Anomaly detection; Bi-level optimization; Correlation; Edge computing; Features extraction; Graph neural networks; Label-flipping attack; Spatial crowdsourcing; UAV network; Graph neural networks</t>
  </si>
  <si>
    <t>10.1109/TCE.2024.3448541</t>
  </si>
  <si>
    <t>https://www.scopus.com/inward/record.uri?eid=2-s2.0-85201749349&amp;doi=10.1109%2fTCE.2024.3448541&amp;partnerID=40&amp;md5=0b431abd960751925d8700b085eda983</t>
  </si>
  <si>
    <t>P270</t>
  </si>
  <si>
    <t>Ojo, T.P.; Chi, H.; Hilliard, E.; Yan, J.</t>
  </si>
  <si>
    <t>Crime Scene Prediction for Unmanned Aerial Vehicles Investigation via Machine Learning</t>
  </si>
  <si>
    <t>Unmanned Aerial Vehicles have increased their applicability in evidence gathering for collecting digital evidence. Authenticating this evidence depends on the crime scenario and the type of drones used. With drones, the evidence type could be the GPS location, the communication signal, the flight log, and the multimedia evidence. These are forms of evidence that forensic experts use to finalize crime cases. Analyzing this evidence requires expensive forensic toolsets. This paper will investigate the level of accuracy and performance verification of machine learning algorithms such as Convolutional Neural Networks (CNN), Support Vector Machines (SVM), and Long Short-Term Memory (LSTM) can reach in identifying vehicle information and the details of the people inside the vehicle at the crime scene and starting with the level of identifying the minute details for the investigation. The performance of the machine learning algorithms will analyze the evidence for deepfakes and possible manipulations in the evidence gathered. © 2023 IEEE.</t>
  </si>
  <si>
    <t>CNN; Cybersecurity; Digital forensics; LSTM; Performance; SVM; Antennas; Computer crime; Crime; Cybersecurity; Digital forensics; Drones; E-learning; Electronic crime countermeasures; Learning algorithms; Long short-term memory; Vehicle performance; Aerial vehicle; Convolutional neural network; Crime scenes; Cyber security; Digital evidence; Evidence gatherings; Machine learning algorithms; Machine-learning; Performance; Support vectors machine; Support vector machines</t>
  </si>
  <si>
    <t>10.1109/CACRE58689.2023.10208630</t>
  </si>
  <si>
    <t>https://www.scopus.com/inward/record.uri?eid=2-s2.0-85169446828&amp;doi=10.1109%2fCACRE58689.2023.10208630&amp;partnerID=40&amp;md5=72ba889ece3caa4256cedf2f8926fe48</t>
  </si>
  <si>
    <t>P271</t>
  </si>
  <si>
    <t>Park, Y.; Ryu, D.; Kwon, D.; Park, Y.</t>
  </si>
  <si>
    <t>Provably Secure Mutual Authentication and Key Agreement Scheme Using PUF in Internet of Drones Deployments</t>
  </si>
  <si>
    <t>Internet of Drones (IoD), designed to coordinate the access of unmanned aerial vehicles (UAVs), is a specific application of the Internet of Things (IoT). Drones are used to control airspace and offer services such as rescue, traffic surveillance, environmental monitoring, delivery and so on. However, IoD continues to suffer from privacy and security issues. Firstly, messages are transmitted over public channels in IoD environments, which compromises data security. Further, sensitive data can also be extracted from stolen mobile devices of remote users. Moreover, drones are susceptible to physical capture and manipulation by adversaries, which are called drone capture attacks. Thus, the development of a secure and lightweight authentication scheme is essential to overcoming these security vulnerabilities, even on resource-constrained drones. In 2021, Akram et al. proposed a secure and lightweight user–drone authentication scheme for drone networks. However, we discovered that Akram et al.’s scheme is susceptible to user and drone impersonation, verification table leakage, and denial of service (DoS) attacks. Furthermore, their scheme cannot provide perfect forward secrecy. To overcome the aforementioned security vulnerabilities, we propose a secure mutual authentication and key agreement scheme between user and drone pairs. The proposed scheme utilizes physical unclonable function (PUF) to give drones uniqueness and resistance against drone stolen attacks. Moreover, the proposed scheme uses a fuzzy extractor to utilize the biometrics of users as secret parameters. We analyze the security of the proposed scheme using informal security analysis, Burrows–Abadi–Needham (BAN) logic, a Real-or-Random (RoR) model, and Automated Verification of Internet Security Protocols and Applications (AVISPA) simulation. We also compared the security features and performance of the proposed scheme and the existing related schemes. Therefore, we demonstrate that the proposed scheme is suitable for IoD environments that can provide users with secure and convenient wireless communications. © 2023 by the authors.</t>
  </si>
  <si>
    <t>AVISPA; BAN logic; Internet of Drones; mutual authentication; PUF; Antennas; Authentication; Computer circuits; Cryptography; Denial-of-service attack; Internet of things; Mobile security; Network security; Security systems; Sensitive data; Authentication and key agreements; Automated verification; Automated verification of internet security protocol and application; Burrow–abadi–needham logic; Internet of drone; Internet security; Key agreement scheme; Mutual authentication; Security application; Security protocols; article; biometry; denial of service attack; environmental monitoring; internet of things; internet security; logic; privacy; simulation; unmanned aerial vehicle; vulnerability; wireless communication; Drones</t>
  </si>
  <si>
    <t>10.3390/s23042034</t>
  </si>
  <si>
    <t>https://www.scopus.com/inward/record.uri?eid=2-s2.0-85148882730&amp;doi=10.3390%2fs23042034&amp;partnerID=40&amp;md5=465d12408b37a50510413e176a9faf0d</t>
  </si>
  <si>
    <t>P272</t>
  </si>
  <si>
    <t>Parameswarath, R.P.; Sikdar, B.</t>
  </si>
  <si>
    <t>Privacy-Preserving Mutual Authentication Protocol for Drone Delivery Services</t>
  </si>
  <si>
    <t>Drones are becoming popular in a variety of applications. One of them is to collect packages from sellers and deliver them to buyers who are connected through a market-place platform. However, drones are also vulnerable to cyber-attacks. Drone delivery service also brings up privacy concerns about the personal information of users of the marketplace. This paper addresses such security and privacy threats and proposes a privacy-preserving authentication protocol for drone delivery services. The proposed protocol is built on privacy-preserving Decentralized Identifiers (DIDs) and Verifiable cre-dentials (VCs). The use of DID helps marketplace users to preserve their privacy rights and enables them to request drone services in a privacy-preserving manner. At the same time, their legitimacy can be verified by the drones using VCs. The proposed protocol also incorporates an efficient dynamic revocation mechanism to remove the marketplace users from the service subscription if required. © 2023 IEEE.</t>
  </si>
  <si>
    <t>Decentralized identifier; drones; mutual authentication; privacy; security; unmanned aerial vehicles (UAVs); verifiable credential; Antennas; Authentication; Commerce; Cybersecurity; Network security; Privacy-preserving techniques; Aerial vehicle; Decentralised; Decentralized identifier; Delivery service; Mutual authentication; Privacy; Privacy preserving; Security; Unmanned aerial vehicle; Verifiable credential; Drones</t>
  </si>
  <si>
    <t>10.1109/GLOBECOM54140.2023.10436751</t>
  </si>
  <si>
    <t>https://www.scopus.com/inward/record.uri?eid=2-s2.0-85187378909&amp;doi=10.1109%2fGLOBECOM54140.2023.10436751&amp;partnerID=40&amp;md5=c254a5cc8d25bee6e7aa61cb91107b64</t>
  </si>
  <si>
    <t>P273</t>
  </si>
  <si>
    <t>He, X.; Chen, Q.; Tang, L.; Wang, W.; Liu, T.</t>
  </si>
  <si>
    <t>CGAN-Based Collaborative Intrusion Detection for UAV Networks: A Blockchain-Empowered Distributed Federated Learning Approach</t>
  </si>
  <si>
    <t>Numerous resource-constrained Internet of Things (IoT) devices make the edge IoT consisting of unmanned aerial vehicles (UAVs) vulnerable to network intrusion. Therefore, it is critical to design an effective intrusion detection system (IDS). However, the differences in local data sets among UAVs show small samples and uneven distribution, further reducing the detection accuracy of network intrusion. This article proposes a conditional generative adversarial net (CGAN)-based collaborative intrusion detection algorithm with blockchain-empowered distributed federated learning to solve the above problems. This study introduces long short-term memory (LSTM) into the CGAN training to improve the effect of generative networks. Based on the feature extraction ability of LSTM networks, the generated data with CGAN are used as augmented data and applied in the detection and classification of intrusion data. Distributed federated learning with differential privacy ensures data security and privacy and allows collaborative training of CGAN models using multiple distributed data sets. Blockchain stores and shares the training models to ensure security when the global model's aggregation and updating. The proposed method has good generalization ability, which can greatly improve the detection of intrusion data.  © 2014 IEEE.</t>
  </si>
  <si>
    <t>Blockchain; conditional generative adversarial network (CGAN); distributed federated learning; intrusion detection system (IDS); long short-term memory (LSTM); unmanned aerial vehicle (UAV) network; Aircraft detection; Computer crime; Cybersecurity; Data privacy; Drones; Feature extraction; Generative adversarial networks; Internet of things; Intrusion detection; Long short-term memory; Network security; Block-chain; Collaborative Work; Conditional generative adversarial network; Distributed federated learning; Intrusion data; Intrusion Detection Systems; Intrusion-Detection; Network intrusions; UAV network; Blockchain</t>
  </si>
  <si>
    <t>10.1109/JIOT.2022.3200121</t>
  </si>
  <si>
    <t>https://www.scopus.com/inward/record.uri?eid=2-s2.0-85136685290&amp;doi=10.1109%2fJIOT.2022.3200121&amp;partnerID=40&amp;md5=213abaf5a6e42ebdebd6574175fdeae2</t>
  </si>
  <si>
    <t>P274</t>
  </si>
  <si>
    <t>Vajravelu, A.; Ashok Kumar, N.; Sarkar, S.; Degadwala, S.</t>
  </si>
  <si>
    <t>Security Threats of Unmanned Aerial Vehicles</t>
  </si>
  <si>
    <t>Civilian drones and military drones are the two primary classifications of unmanned aerial vehicles (UAVs), which are commonly known as drones. Drones are used for a wide range of tasks and are also referred to by their other name, unmanned aerial vehicles. The deployment of unmanned aerial vehicles for a broad range of tasks has shown phenomenal expansion over the course of the previous decade. Recently, a new generation of small unmanned aerial vehicles has been available for purchase, highlighting the growing danger that these devices present. This article discusses the potential threats to national security that unmanned aerial vehicles pose, including but not limited to the following: terrorist attacks; unauthorized surveillance and reconnaissance; smuggling; electronic eavesdropping; mid-air collisions; and electronic eavesdropping. It also analyzes the various forms of UAV incursions according to the objective for which they were carried out and the amount of expertise possessed by the operator. In the communication frameworks of the drones, several cryptographic approaches have been included. These techniques include key agreement, authentication, encryption and decryption, integrity, blockchain, and digital signatures. Civilian drones and military drones are the two types that may be differentiated based on the functions that they are designed to do. © 2023, The Author(s), under exclusive license to Springer Nature Switzerland AG.</t>
  </si>
  <si>
    <t>Cybersecurity; Data privacy; Security threats; Smart drones; Unmanned aerial vehicle</t>
  </si>
  <si>
    <t>10.1007/978-3-031-33631-7_5</t>
  </si>
  <si>
    <t>https://www.scopus.com/inward/record.uri?eid=2-s2.0-85169018601&amp;doi=10.1007%2f978-3-031-33631-7_5&amp;partnerID=40&amp;md5=3bd649ece3c62f2ccc7e1c4ac6c8cdc6</t>
  </si>
  <si>
    <t>P275</t>
  </si>
  <si>
    <t>Altaweel, A.; Mukkath, H.; Kamel, I.</t>
  </si>
  <si>
    <t>GPS Spoofing Attacks in FANETs: A Systematic Literature Review</t>
  </si>
  <si>
    <t>Flying Ad-Hoc Networks (FANETs) are groups of UAVs connected in an Ad-Hoc manner to accomplish a common mission. The widespread acceptance of UAVs due to their low cost and high efficiency has attracted malicious security attacks against them. These attacks cannot be easily prevented due to UAVs' limited computational power, short battery life, and inability to execute complex algorithms. FANETs rely on the Global Positioning System (GPS) for localization. GPS Spoofing, an easy-to-launch attack, is one of the main challenges in FANETs. In which, the legitimate and not-encrypted civilian GPS signals are overridden by counterfeit signals to deceive the UAVs to collide or to be hijacked. Researchers proposed various countermeasures to address GPS Spoofing attacks in FANETs. To further assist future research, this paper provides a systematic literature review on GPS Spoofing attacks in FANETs and their defense mechanisms. After formulating eight research questions and applying well-defined inclusion/exclusion criteria and quality assessment tools, 70 research articles were extracted. The existing defense mechanisms were classified based on their objectives (i.e., detection, mitigation, and/or prevention) and according to their basis (i.e., relying on readings from various drones' devices/sensors, processing the signals received by various sensors, employing machine learning algorithms, relying on game theory, or leveraging cryptographic techniques to authenticate and protect the confidentiality of GPS signals). The defense mechanisms were also analyzed to identify the attacker models, impacts of the attack, and detection performance. This study found that most of the proposed methods are detection approaches, rather than mitigation or prevention. Also, almost all papers used simulation experiments rather than a proof-of-concept implementation, which does not demonstrate a convincing performance under realistic mobility and propagation models. Moreover, most solutions addressed GPS Spoofing for a single UAV. Only eight articles addressed multiple UAV scenarios and none of them provided a proof-of-concept evaluation. © 2013 IEEE.</t>
  </si>
  <si>
    <t>Drones; Flying Ad-Hoc NETwork (FANET); GPS spoofing attack; systematic literature review; unmanned ariel vehicle (UAV); wireless network security; Computation theory; Cryptography; Game theory; Global positioning system; Learning algorithms; Learning systems; Network security; Ad-hoc networks; Defence mechanisms; Flying ad-hoc network; Global positioning system spoofing; Guideline; Security; Systematic; Systematic literature review; Unmanned ariel vehicle; Unmanned ariel vehicles; Drones</t>
  </si>
  <si>
    <t>10.1109/ACCESS.2023.3281731</t>
  </si>
  <si>
    <t>https://www.scopus.com/inward/record.uri?eid=2-s2.0-85161059544&amp;doi=10.1109%2fACCESS.2023.3281731&amp;partnerID=40&amp;md5=3f512f86f44d708cb850dff975b14ab5</t>
  </si>
  <si>
    <t>P276</t>
  </si>
  <si>
    <t>Shafique, A.; Rehman, M.U.; Khan, K.H.; Jamal, S.S.; Mehmood, A.; Chaudhry, S.A.</t>
  </si>
  <si>
    <t>Securing High-Resolution Images From Unmanned Aerial Vehicles With DNA Encoding and Bit-Plane Extraction Method</t>
  </si>
  <si>
    <t>Unmanned aerial vehicles (UAVs) are getting more popular for deployment in surveillance related operations owing to their flexibility and ability to reach hazardous areas. Moreover, the quality of digital cameras is getting better, and they can capture and store more visual information in high-resolution images. Unfortunately, due to the resource-constrained nature of UAVs, storing such large images can exhaust memory and related resources; whereas, the transmission of these images over the public link can pose several security threats. Securing these critical images during transmission from unauthorized access can be achieved through the use of efficient encryption techniques. This article proposes a novel encryption scheme incorporating both confusion and diffusion for encrypting both grey-scale and color images. In the proposed- encryption scheme, the image blocks are rearranged using a combination of random permutation, rotation, DNA encoding and zigzag pattern. Next, a bit-plane extraction method is used to obtain eight different bit-planes, including the most and least significant ones, from the scrambled image. These extracted bit-planes are then processed using confusion and diffusion techniques with a secret key, which is created using a hyper-chaotic map. The proposed method for encrypting the images taken by unmanned ariel vehicles is evaluated by examining its security level and time complexity using evaluation metrics such as correlation, entropy, energy, histogram analysis, keyspace and key sensitivity. The results and analysis demonstrated that the proposed encryption algorithm is able to effectively secure digital images. Additionally, the proposed work is also found to be superior to existing methods when compared using statistical security metrics.  © 2013 IEEE.</t>
  </si>
  <si>
    <t>chaos theory; cyberattacks; DNA encoding; Unmanned aerial vehicles; Antennas; Chaotic systems; DNA; Drones; Encoding (symbols); Extraction; Image analysis; Image coding; Security systems; Signal encoding; Aerial vehicle; Bit planes; Cyber-attacks; DNA encoding; Encryption schemes; Extraction method; Hazardous area; High-resolution images; Security; Unmanned aerial vehicle; Cryptography</t>
  </si>
  <si>
    <t>10.1109/ACCESS.2023.3269294</t>
  </si>
  <si>
    <t>https://www.scopus.com/inward/record.uri?eid=2-s2.0-85153797448&amp;doi=10.1109%2fACCESS.2023.3269294&amp;partnerID=40&amp;md5=d6d8b5c9a2784fa32b3000deadf94795</t>
  </si>
  <si>
    <t>P277</t>
  </si>
  <si>
    <t>Amponis, G.; Radoglou-Grammatikis, P.; Lagkas, T.; Mallouli, W.; Cavalli, A.; Klonidis, D.; Markakis, E.; Sarigiannidis, P.</t>
  </si>
  <si>
    <t>Threatening the 5G core via PFCP DoS attacks: the case of blocking UAV communications</t>
  </si>
  <si>
    <t>The modern communications landscape requires reliable, high-speed, high-throughput and secure links and sessions between user equipment instances and the data network. The 5G core implements the newly defined 3GPP network architecture enabling faster connectivity, low latency, higher bit rates and network reliability. The full potential of this set of networks will support a set of critical Internet of things (IoT) and industrial use cases. Nevertheless, several components and interfaces of the next-generation radio access network (NG-RAN) have proven to be vulnerable to attacks that can potentially obstruct the network’s capability to provide reliable end-to-end communication services. Various inherent security flaws and protocol-specific weaknesses have also been identified within the 5G core itself. However, little to no research has gone into testing and exposing said core-related weaknesses, contrary to those concerning the NG-RAN. In this paper, we investigate, describe, develop, implement and finally test a set of attacks on the Packet Forwarding Control Protocol (PFCP) inside the 5G core. We find that, by transmitting unauthorised session control packets, we were able to disrupt established 5G tunnels without disrupting subscribers’ connectivity to the NG-RAN, thus hindering the detection of said attacks. We evaluate the identified PFCP attacks in a drone-based scenario involving 5G tunnelling between two swarms. © 2022, The Author(s).</t>
  </si>
  <si>
    <t>Denial-of-service attack; Internet of things; Network architecture; Radio access networks; Unmanned aerial vehicles (UAV); Blockings; Control protocols; Data network; High bit rates; High Speed; High-throughput; Low latency; Packet forwarding; Radio access networks; User equipments; 5G mobile communication systems</t>
  </si>
  <si>
    <t>10.1186/s13638-022-02204-5</t>
  </si>
  <si>
    <t>https://www.scopus.com/inward/record.uri?eid=2-s2.0-85144143793&amp;doi=10.1186%2fs13638-022-02204-5&amp;partnerID=40&amp;md5=e0aabcb0404813f0791d5a74b793f3cc</t>
  </si>
  <si>
    <t>P278</t>
  </si>
  <si>
    <t>Chen, J.; Li, Z.; Wang, Q.; Tang, P.; Kong, S.; Hu, J.</t>
  </si>
  <si>
    <t>Heating pipeline identification and leakage detection method based on improved R3Det</t>
  </si>
  <si>
    <t>In response to the frequent occurrence of leakage accidents in heating pipelines, timely detection of leakage points in such pipelines is of great significance to ensure the safe operation of heating systems. This article proposes a method for detecting leakage points in heating pipelines using drones equipped with infrared thermal imagers, employing a combination of the improved R3Det algorithm and the adaptive threshold method. Firstly, the algorithm identifies the area of the heating pipeline and then employs the adaptive threshold method to detect the presence of leakage points in the identified pipeline area. Additionally, taking into account the morphological characteristics of heating pipelines, the R3Det network is enhanced by introducing variable convolution, enabling more precise extraction of pipeline features. To reduce model overfitting and enhance network expression capabilities, the H-swish activation function is employed to replace the original activation function. Furthermore, candidate anchor boxes are clustered using the K-means++ clustering algorithm to obtain better position regression results and improve training efficiency. The improved algorithm demonstrates significantly better positioning precision compared to the original network. Moreover, an adaptive threshold algorithm is proposed for leak detection and labelling, utilising the original temperature information contained 1 in infrared images. The experimental results demonstrate that this method achieves higher accuracy in detecting leaks in heating pipelines. © 2023 British Institute of Non-Destructive Testing. All rights reserved.</t>
  </si>
  <si>
    <t>heating pipeline; infrared image; leak detection; R3Det; UAV; Aircraft detection; Chemical activation; Image enhancement; Infrared imaging; K-means clustering; Pipelines; Unmanned aerial vehicles (UAV); Activation functions; Adaptive threshold method; Detection methods; Heating system; Infrared image; Infrared thermal imager; Leakage detection; Leaks detections; R3det; Safe operation; Leak detection</t>
  </si>
  <si>
    <t>10.1784/insi.2023.65.11.609</t>
  </si>
  <si>
    <t>https://www.scopus.com/inward/record.uri?eid=2-s2.0-85178101561&amp;doi=10.1784%2finsi.2023.65.11.609&amp;partnerID=40&amp;md5=8f3ad07251262352553f8f393713e7e6</t>
  </si>
  <si>
    <t>P279</t>
  </si>
  <si>
    <t>International Scientific and Technical Conference - Modern Challenges in Telecommunications, MCiT 2021</t>
  </si>
  <si>
    <t>The proceedings contain 27 papers. The special focus in this conference is on Modern Challenges in Telecommunications. The topics include: Optimization of Control Characteristics Using the Information Model; resilience Improvement by Traffic Engineering Fault-Tolerant Routing in Programmable Networks; research of Automated Control Systems Development Based on “Publish-Subscribe” Technology Over Low-Bandwidth Radio Networks; Multipoint Data Transmission Issues in High Bandwidth-Delay Product TCP/IP Networks; research of the Service Structure Influence on the Sensitivity Indicators of the Queuing System Characteristics with Priorities; improving the Accuracy of User Location in the Wi-Fi Network Using Complex Spline-Functions; principles of Building Modular Control Plane in Software-Defined Network; the Method of Using a Telecommunication Air Platform as a Flying Info-Communication Robots; wireless Connection of Drones to the Base Station of the Existing Terrestrial Mobile Network; adaptation Consistency of Distributed Role-Oriented Applications Based on the Actor Model of Computation; principles of Constructing Communication and Control Systems Protected from the Effects of Jamming Attacks for Small-Sized Unmanned Aerial Vehicles; estimation of Motion Parameters of Unmanned Aerial Vehicles of Wireless Sensor Networks Based on the Least Squares Method with a Fractional Taylor Series in a “Sliding Window”; mixed Coupling in Trisection and Quadruplet Bandpass Filters; stripline Combline and Pseudocombline Bandpass Filters; transmission Line Dual-Mode Resonators and Dual-Band Filters; microwave Resonant Structures with Metamaterial Properties as Models of Some Quantum Interference Processes; modification of Capon’s Method for Several Radio Sources Coordinates Determining by the Shape of the Electromagnetic Wave Phase Front; ontology-Driven Approach to Scientific and Educational Information Representation.</t>
  </si>
  <si>
    <t>https://www.scopus.com/inward/record.uri?eid=2-s2.0-85144928016&amp;partnerID=40&amp;md5=cfe18a0124e6b30f00aa346b5d95d9f4</t>
  </si>
  <si>
    <t>P28</t>
  </si>
  <si>
    <t>Deng, W.; Chen, S.; Chen, F.; Zhao, W.</t>
  </si>
  <si>
    <t>Interference Unmanned Aerial Vehicle Deployment Algorithm Based on Improved Grey Wolf Algorithm</t>
  </si>
  <si>
    <t>In this study, an improved Grey Wolf Optimization (GWO) algorithm was designed to optimize the deployment of multiple interference unmanned aerial vehicles (UAVs). First, a scenario model was constructed based on an electromagnetic wave propagation model. Second, using multi-UAV multi-target interference as the task objective, an interference effectiveness evaluation function was built by introducing a low-coverage-efficiency reduction factor based on the global interference-to-noise ratio. An improved GWO algorithm with a reverse learning strategy was employed to solve the task optimization problem, and simulation experiments on interference UAV deployment tasks under different task pressures were conducted. The results show that, compared with the traditional GWO, the proposed algorithm exhibits a superior adaptability under different task pressures represented by the ratio of drones to targets: in high task pressure scenarios, the convergence speed of deployment schemes generated by the improved GWO algorithm has increased by 7.71%; under moderate and low task pressures, the stability of interference efficiency in the generated schemes has improved by nearly 30%; and the interference efficiency across different task pressures remains largely consistent. This demonstrates that the capability of improved GWO algorithm to accommodate interference UAV deployments across diverse task pressure scenarios, excelling particularly in high-pressure environments. © 2024 SPIE.</t>
  </si>
  <si>
    <t>Cooperative jamming; Grey Wolf Optimization (GWO) algorithm; Reverse learning; UAV deployment; Unmanned aerial vehicles (UAVs); Adaptive boosting; Electromagnetic wave propagation in plasma; High pressure effects in solids; Interpolation; Jamming; Magnetic levitation vehicles; Aerial vehicle; Cooperative jamming; Deployment algorithms; Gray wolf optimization  algorithm; Gray wolves; Optimization algorithms; Reverse learning; Unmanned aerial vehicle; Unmanned aerial vehicle deployment; Unmanned aerial vehicles (UAV)</t>
  </si>
  <si>
    <t>10.1117/12.3032589</t>
  </si>
  <si>
    <t>https://www.scopus.com/inward/record.uri?eid=2-s2.0-85204044004&amp;doi=10.1117%2f12.3032589&amp;partnerID=40&amp;md5=79977787b5db1effc239febdfdce66f3</t>
  </si>
  <si>
    <t>N4</t>
  </si>
  <si>
    <t>P280</t>
  </si>
  <si>
    <t>Hafeez, S.; Khan, A.R.; Al-Quraan, M.M.; Mohjazi, L.; Zoha, A.; Imran, M.A.; Sun, Y.</t>
  </si>
  <si>
    <t>Blockchain-Assisted UAV Communication Systems: A Comprehensive Survey</t>
  </si>
  <si>
    <t>Unmanned aerial vehicles (UAVs) have recently established their capacity to provide cost-effective and credible solutions for various real-world scenarios. UAVs provide an immense variety of services due to their autonomy, mobility, adaptability, and communications interoperability. Despite the expansive use of UAVs to support ground communications, data exchanges in those networks are susceptible to security threats because most communication is through radio or Wi-Fi signals, which are easy to hack. While several techniques exist to protect against cyberattacks. Recently emerging technology blockchain could be one of promising ways to enhance data security and user privacy in peer-to-peer UAV networks. Borrowing the superiorities of blockchain, multiple entities can communicate securely, decentralized, and equitably. This article comprehensively overviews privacy and security integration in blockchain-assisted UAV communication. For this goal, we present a set of fundamental analyses and critical requirements that can help build privacy and security models for blockchain and help manage and support decentralized data storage systems. The UAV communication system's security requirements and objectives, including availability, authentication, authorization, confidentiality, integrity, privacy, and non-repudiation, are thoroughly examined to provide a deeper insight. We wrap up with a discussion of open research challenges, the constraints of current UAV standards, and potential future research directions.  © 2020 IEEE.</t>
  </si>
  <si>
    <t>Blockchain; drone communication; federated learning; privacy; security; UAV networks; Antennas; Authentication; Blockchain; Cost effectiveness; Cryptography; Digital storage; Drones; Electronic data interchange; Information management; Interoperability; Network security; Peer to peer networks; Radio communication; Vehicle to vehicle communications; Wi-Fi; Aerial vehicle; Block-chain; Communications systems; Drone communication; Federated learning; Privacy; Security; Unmanned aerial vehicle network; Vehicle network; Data privacy</t>
  </si>
  <si>
    <t>10.1109/OJVT.2023.3295208</t>
  </si>
  <si>
    <t>https://www.scopus.com/inward/record.uri?eid=2-s2.0-85164832870&amp;doi=10.1109%2fOJVT.2023.3295208&amp;partnerID=40&amp;md5=3d088bceee7100dcd88c3426d2251ab7</t>
  </si>
  <si>
    <t>P281</t>
  </si>
  <si>
    <t>Zheng, X.; Yang, J.; Tang, C.; Lu, S.; Ding, J.; Kong, Y.</t>
  </si>
  <si>
    <t>Key Region UAV Fusion Immersion Deception Algorithm</t>
  </si>
  <si>
    <t>In order to solve the problem that deception is difficult due to various anti-interference methods such as autonomous integrity test and parameter rationality test of active UAV, a distributed multi-domain fusion immersion deception algorithm is proposed. The spoofing model of GNSS and the spoofing model of composite navigation system are constructed, the detection principle of least square residual and parameter rationality check is analyzed, and the pseudo-range deviation and pseudo-range rate deviation are calculated, so as to determine the spoofing delay and realize the multi-domain fusion of spoofing signals in time-frequency domain, spatial domain and power domain. The simulation results show that the algorithm can gradually change the location result of the target UAV, and finally successfully deceive the target, and effectively enhance the protection ability of the key point area. © 2023 IEEE.</t>
  </si>
  <si>
    <t>drone deception; fusion deception; immersion; key point protection; Electric power system protection; Frequency domain analysis; Navigation systems; Anti-interference; Drone deception; Fusion deception; Immersion; Integrity tests; Interference methods; Key point protection; Keypoints; Multi-domains; Pseudorange; Drones</t>
  </si>
  <si>
    <t>10.1109/ICSPCC59353.2023.10400350</t>
  </si>
  <si>
    <t>https://www.scopus.com/inward/record.uri?eid=2-s2.0-85184854264&amp;doi=10.1109%2fICSPCC59353.2023.10400350&amp;partnerID=40&amp;md5=50321ddbf00cfa0fc22576756509a1a0</t>
  </si>
  <si>
    <t>P282</t>
  </si>
  <si>
    <t>Lemieszewski, L.; Prochacki, S.</t>
  </si>
  <si>
    <t>Decision support for autonomous drone flight based on satellite navigation signal</t>
  </si>
  <si>
    <t>Artificial intelligence algorithms, particularly machine learning, are used to effectively support autonomous flight decisions based on satellite navigation signals. These algorithms can learn to recognize various patterns in navigation data and use them to make decisions on flight direction, speed, and other parameters. In any case, a combination of various technologies such as artificial intelligence algorithms, navigation systems, sensors, and other tools is necessary to effectively support autonomous flight decisions based on satellite navigation signals. The article presents the results of research on GPS signal jamming for UAVs and proposes a method to protect against such attacks using an ELECTRE-based algorithm that analyzes jamming signals. © 2023 The Authors. Published by Elsevier B.V. This is an open access article under the CC BY-NC-ND license (https://creativecommons.org/licenses/by-nc-nd/4.0)</t>
  </si>
  <si>
    <t>Decision Maker; GNSS; GPS; Multiple Criterion Decision; Decision making; Decision support systems; Drones; Jamming; Machine learning; Satellites; Artificial intelligence algorithms; Autonomous flight; Decision makers; Decision supports; Decision-based; GNSS; Learn+; Machine-learning; Multiple-criteria decisions; Satellite navigation signals; Global positioning system</t>
  </si>
  <si>
    <t>10.1016/j.procs.2023.10.158</t>
  </si>
  <si>
    <t>https://www.scopus.com/inward/record.uri?eid=2-s2.0-85183571690&amp;doi=10.1016%2fj.procs.2023.10.158&amp;partnerID=40&amp;md5=2e3c6c0c33a9fbb9c2363e61fee85721</t>
  </si>
  <si>
    <t>P283</t>
  </si>
  <si>
    <t>Chavekar, A.; Mulla, Y.; Mane, S.; Kumar, S.; Kazi, F.</t>
  </si>
  <si>
    <t>A Review of Drone Communication Protocols: Current Trends and Future Perspectives</t>
  </si>
  <si>
    <t>Drones, often referred to as unmanned aerial ve-hicles, have become a game-changing technology with a wide range of uses in a variety of sectors. For effective and safe drone operations, robust communication protocols are essential between drones and other organizations, such as ground control stations and data centers with reliable data transfer. Based on various factors, the paper sketches a plethora of various drone communication protocols with a detailed account of comparison factors along with an examination of their advantages, challenges in implementation, frequency band, data rate, operating range, latency, and associated network components. Additionally, the paper explores the standardization and legal issues related to drone communication protocols, highlighting the relevance of interoperability. The problems of security and privacy are discussed, illuminating the safeguards put in place to guard against unauthorized access and potential cyber-attacks and illuminating the problems. In conclusion, academics, engineers, and policymakers looking to comprehend the state of drone communication protocols can use this review report as a thorough reference. It seeks to enhance the development of effective, secure, and scalable drone communication systems for the continuous development of the drone industry by examining current trends and providing perspective on the future. © 2023 IEEE.</t>
  </si>
  <si>
    <t>Beyond Visual Line of Sight (BVLOS); Communication protocols; Direct-sequence spread spectrum (DSSS); Frequency-hopping spread spectrum (FUSS); Satellite Communications (SATCOM); unmanned aerial vehicles (UAV); Aircraft communication; Antenna grounds; Crime; Data privacy; Direct sequence systems; Drones; Network security; Reviews; Rock products plants; Satellite antennas; Satellite communication systems; Aerial vehicle; Beyond visual line of sight; Communications protocols; Direct sequence; Direct-sequence spread spectrum; Frequency hopping spread-spectrum; Frequency-hopping spread spectrum; Line of Sight; Lines-of-sight; Satellite communication; Satellite communications; Spread spectra; Unmanned aerial vehicle; Visual line; Frequency hopping</t>
  </si>
  <si>
    <t>10.1109/ICCST59048.2023.10726850</t>
  </si>
  <si>
    <t>https://www.scopus.com/inward/record.uri?eid=2-s2.0-85208975742&amp;doi=10.1109%2fICCST59048.2023.10726850&amp;partnerID=40&amp;md5=0930077e4b63d689df805320093c6d03</t>
  </si>
  <si>
    <t>P284</t>
  </si>
  <si>
    <t>Šimon, O.; Götthans, T.</t>
  </si>
  <si>
    <t>A Survey on the Use of Deep Learning Techniques for UAV Jamming and Deception</t>
  </si>
  <si>
    <t>Unmanned aerial vehicles (UAVs) can be used for a variety of illegal activities (e.g., industrial espionage, smuggling, terrorism). Given their growing popularity and availability, and advances in communications technology, more sophisticated ways to disable these vehicles must be sought. Various forms of jamming are used to disable drones, but more advanced techniques such as deception and UAV takeover are considerably difficult to implement, and there is a large research gap in this area. Currently, machine and deep learning techniques are popular and are also used in various drone-related applications. However, no detailed research has been conducted so far on the use of these techniques for jamming and deception of UAVs. This paper focuses on exploring the current techniques in the area of jamming and deception. A survey on the use of machine or deep learning specifically in UAV-related applications is also conducted. The paper provides insight into the issues described and encourages more detailed research in this area. © 2022 by the authors.</t>
  </si>
  <si>
    <t>deep learning; jamming; machine learning; UAV</t>
  </si>
  <si>
    <t>10.3390/electronics11193025</t>
  </si>
  <si>
    <t>https://www.scopus.com/inward/record.uri?eid=2-s2.0-85139826714&amp;doi=10.3390%2felectronics11193025&amp;partnerID=40&amp;md5=7e454d08aa0fd337e74504a603fa6e61</t>
  </si>
  <si>
    <t>P285</t>
  </si>
  <si>
    <t>Mohd, T.K.; Tesfa, E.M.</t>
  </si>
  <si>
    <t>Exploring Technical Capabilities of Unmanned Aerial Vehicles</t>
  </si>
  <si>
    <t>Unmanned Aerial Vehicles (UAVs), commonly known as drones, have become increasingly popular in recent years. Different types of professional drones are used extensively in various sensitive tasks to defend the country from criminal attacks, such as monitoring critical infrastructure and assisting police investigations. These days, drones have been used for similar functions as automobiles. Due to the widespread use of recreational UAV s, one may believe that professional UAV s are well-protected by various sorts of security. That, however, is not the case, for hackers have hacked them. This study explains some of the attacks against drones carried out by hackers. This paper will illustrate how to exploit security weaknesses, perform a Man in the Middle attack, and take control of drone commands. This paper will address some solutions that can be explored to defend drones against Man in the Middle attacks and acceptable ways to enhance drone safety.  © 2023 IEEE.</t>
  </si>
  <si>
    <t>DJI-Mavic3; DJIMavic2; drones; QuadAirDrone; quadcopters; Sky Viper Journey; tello; UAVs; Unmanned aerial vehicles; Antennas; Network security; Personal computing; Aerial vehicle; DJI-mavic3; Djimavic2; Quadairdrone; Quadcopter; Sky viper journey; Tello; Unmanned aerial vehicle; Drones</t>
  </si>
  <si>
    <t>10.1109/CCWC57344.2023.10099360</t>
  </si>
  <si>
    <t>https://www.scopus.com/inward/record.uri?eid=2-s2.0-85156249090&amp;doi=10.1109%2fCCWC57344.2023.10099360&amp;partnerID=40&amp;md5=e0355c45e43729718c5a56a98dbb47b8</t>
  </si>
  <si>
    <t>P286</t>
  </si>
  <si>
    <t>Chen, P.; Li, H.; Ma, L.</t>
  </si>
  <si>
    <t>Distributed massive UAV jamming optimization algorithm with artificial bee colony</t>
  </si>
  <si>
    <t>With the massive application of unmanned aerial vehicles (UAVs) in disaster relief, fire protection, security and other fields, jamming countermeasures to UAVs in airports and competition venues have become the core link of security in high-level matches and important places. The existing jamming sources are mainly single point jamming. Due to the shielding of buildings, it is impossible to fully cover the venue, and the existing suppressed jamming will affect the communication broadcasting. Here, a distributed optimal jamming method for massive UAVs is proposed. Through the identification and positioning of massive UAVs, using the location information of distributed jamming sources, the UAV jamming architecture based on satellite navigation is constructed. Combined with tabu search artificial bee colony theory, the distributed optimal jamming of UAVs is realized, which solves the problems of few jamming targets, slow speed and low success rate of the existing optimal jamming methods. The proposed method is compared with the existing methods in three aspects: communication frequency, jamming trajectory deviation and optimization speed. The simulation results show that the proposed method effectively improves the jamming success rate and jamming speed and can meet the application requirements of massive UAV jamming in the region. © 2022 The Authors. IET Communications published by John Wiley &amp; Sons Ltd on behalf of The Institution of Engineering and Technology.</t>
  </si>
  <si>
    <t>artificial bee colony; distributed jamming; distributed optimization; massive UAVs; Antennas; Disaster prevention; Fire extinguishers; Fire protection; Unmanned aerial vehicles (UAV); Aerial vehicle; Artificial bee colony; Artificial bees; Disaster relief; Distributed jamming; Distributed optimization; Location information; Massive unmanned aerial vehicle; Optimization algorithms; Single point; Tabu search</t>
  </si>
  <si>
    <t>10.1049/cmu2.12525</t>
  </si>
  <si>
    <t>https://www.scopus.com/inward/record.uri?eid=2-s2.0-85140267530&amp;doi=10.1049%2fcmu2.12525&amp;partnerID=40&amp;md5=c07e2d026815c37a43f4dcd5aca9ca47</t>
  </si>
  <si>
    <t>P287</t>
  </si>
  <si>
    <t>Mynuddin, M.; Khan, S.U.; Mahmoud, M.N.; Alsharif, A.</t>
  </si>
  <si>
    <t>Adversarial Attacks on Deep Learning-Based UAV Navigation Systems</t>
  </si>
  <si>
    <t>In recent years, the prevalence of unmanned aerial vehicles (UAVs) has grown significantly in both military and civilian settings due to their versatile capabilities and the ability to undertake various tasks. Nonetheless, the rise of UAVs has also brought about a significant concern - the cybersecurity aspect. The increasing number of cyberattacks targeting drone systems has become a major issue. Unfortunately, inadequate vulnerability assessments and security countermeasures have resulted in numerous serious cybersecurity breaches on UAVs, highlighting the urgent need for enhanced protection measures. In this paper, we investigate the adversarial attacks on Deep Learning-based UAVs and present five methods for carrying out adversarial attacks on DroNet model used in UAVs. DroNet is a convolutional neural network that guides UAVs by predicting steering angles and collision probabilities based on camera images. We created several adversarial input images for the collision data and steering angle data for attacking purposes. By perturbing a small number of samples from the clean dataset, resulting in a significant reduction in model performance by 18.66% for the collision dataset, and examining the root mean square error rate for the steering angle dataset, which increased the error rate by 427.52%, we observed the impact of sample perturbation on model performance and error rates.  © 2023 IEEE.</t>
  </si>
  <si>
    <t>Antennas; Automobile steering equipment; Convolutional neural networks; Cybersecurity; Deep learning; Errors; Learning systems; Mean square error; Military vehicles; Unmanned aerial vehicles (UAV); Aerial vehicle; Cyber security; Cyber-attacks; Drone system; Error rate; Modeling performance; Security countermeasures; Steering angles; Vehicle navigation system; Vulnerability assessments; Navigation systems</t>
  </si>
  <si>
    <t>10.1109/CNS59707.2023.10289004</t>
  </si>
  <si>
    <t>https://www.scopus.com/inward/record.uri?eid=2-s2.0-85177595250&amp;doi=10.1109%2fCNS59707.2023.10289004&amp;partnerID=40&amp;md5=ffb6b812663b4a389ab1b8abc3ecc062</t>
  </si>
  <si>
    <t>P288</t>
  </si>
  <si>
    <t>2023 IEEE/CIC International Conference on Communications in China, ICCC Workshops 2023</t>
  </si>
  <si>
    <t>The proceedings contain 111 papers. The topics discussed include: a rate-splitting-based approach for sum-rate optimization scheme in UAV-assisted emergency communication; a cloud-edge collaborative framework for cross-environment human action recognition based on Wi-Fi; proactive congestion avoidance mechanism with attention based CNN; reduced complexity SCL decoding of U-UV codes through list pruning; a low-latency iterative decoding architecture for MIMO-VLC systems with GSM; A low-complexity Euclidean distance based BP detection algorithm for OTFS system; online convex optimization for dynamic RAN slicing with quality of service; decentralized federated learning with asynchronous parameter sharing; power allocation for aerial RIS-assisted jamming nodes in distributed MIMO radar networks; graph convolutional integration based distributed multi-view learning in urban air mobility; and multi-robot cooperative transport simulation system.</t>
  </si>
  <si>
    <t>https://www.scopus.com/inward/record.uri?eid=2-s2.0-85172450411&amp;partnerID=40&amp;md5=514c93ef1979bd8668ff1530b229886a</t>
  </si>
  <si>
    <t>P289</t>
  </si>
  <si>
    <t>International Conference on Autonomous Unmanned Systems, ICAUS 2022</t>
  </si>
  <si>
    <r>
      <t>The proceedings contain 362 papers. The special focus in this conference is on Autonomous Unmanned Systems. The topics include: Integrated Virtual Simulation and Test System for Vision-Based Applications of UAVs; UAV Integrated Internet-of-Vehicle (IoV) System for Flooding Monitoring and Rescue; pursuit-Evasion Games for Multi-agent Based on Reinforcement Learning with Obstacles; air Exhaust Environment Simulation of Altitude Test Facility Control Based on Model-Assisted Active Disturbance Rejection Control; underwater Vortex and Aggregation Behaviors Based on Monocular Vision; Visual Active Tracking Algorithm for UAV Cluster Based on Deep Reinforcement Learning; a Camera-Based Real-Time Parking Positioning Method for Air-Ground Vehicles; Evaluation of Autonomous Capability of Ground Attack UAV Based on Hierarchical Analysis Method; Intelligent Air Combat Maneuvering Decision Based on TD3 Algorithm; research on Transmitting Beamforming of Uniform Circular Frequency Diversity Array Sonar; preface; Online Compensation Method for Inertial Device Error of Airborne UAV; enhanced Reinforcement Learning Method Based on AlphaGo-Zero; a Self-organizing Dual-Layer Defense Algorithm for Multi-agent Systems; deep Reinforcement Learning Based on Curriculum Learning for Drone Swarm Area Defense; Reinforcement Learning-Based Cooperative Adversarial Algorithm for UAV Cluster; UAV Maneuvering Target Tracking with Position-Attitude Fusion; formation Control of Multi-agent Based on Deep Reinforcement Learning; A HPEDF-Based Reinforcement Learning Radar Scheduling Method; Environmental Target Recognition System for ROV Based on Forward Looking Sonar; fast Parking Slot Detection in the Bird's Eye View; Design of UAV 3D Visual Simulation System Based on X-Plane;</t>
    </r>
    <r>
      <rPr>
        <sz val="11"/>
        <color rgb="FFFF0000"/>
        <rFont val="Calibri"/>
        <family val="2"/>
        <scheme val="minor"/>
      </rPr>
      <t xml:space="preserve"> Multi-agent Deep Reinforcement Learning for Dynamic Motion Control Allocation in UAV Swarm Cooperative Jamming to Netted Radar</t>
    </r>
    <r>
      <rPr>
        <sz val="11"/>
        <color theme="1"/>
        <rFont val="Calibri"/>
        <family val="2"/>
        <scheme val="minor"/>
      </rPr>
      <t>; Research on Distributed Task Decision-Making Method of UAV Swarm Based on Information Consistency.</t>
    </r>
  </si>
  <si>
    <t>https://www.scopus.com/inward/record.uri?eid=2-s2.0-85151072781&amp;partnerID=40&amp;md5=879504974892bb586168c01e9fc0b383</t>
  </si>
  <si>
    <t>P29</t>
  </si>
  <si>
    <t>Mekdad, Y.; Acar, A.; Aris, A.; El Fergougui, A.; Conti, M.; Lazzeretti, R.; Uluagac, S.</t>
  </si>
  <si>
    <t>Exploring Jamming and Hijacking Attacks for Micro Aerial Drones</t>
  </si>
  <si>
    <t>Recent advancements in drone technology have shown that commercial off-the-shelf Micro Aerial Drones are more effective than large-sized drones for performing flight missions in narrow environments, such as swarming, indoor navigation, and inspection of hazardous locations. Due to their deployments in many civilian and military applications, safe and reliable communication of these drones throughout the mission is critical. The Crazyflie ecosystem is one of the most popular Micro Aerial Drones and has the potential to be deployed worldwide. In this paper, we empirically investigate two interference attacks against the Crazy Real Time Protocol (CRTP) implemented within the Crazyflie drones. In particular, we explore the feasibility of experimenting two attack vectors that can disrupt an ongoing flight mission: the jamming attack, and the hijacking attack. Our experimental results demonstrate the effectiveness of such attacks in both autonomous and non-autonomous flight modes on a Crazyflie 2.1 drone. Finally, we suggest potential shielding strategies that guarantee a safe and secure flight mission. To the best of our knowledge, this is the first work investigating jamming and hijacking attacks against Micro Aerial Drones, both in autonomous and non-autonomous modes. © 2024 IEEE.</t>
  </si>
  <si>
    <t>cybersecurity; drones; hijacking attack; jamming attack; UAVs; Unmanned Aerial Vehicles; Aircraft communication; Drones; Indoor positioning systems; Medium access control; Military communications; Aerial vehicle; Commercial off the shelves; Commercial off-the shelves; Commercial-off-the-shelf; Cyber security; Flight mission; Hijacking attack; Jamming attacks; Nonautonomous; Unmanned aerial vehicle; Jamming</t>
  </si>
  <si>
    <t>10.1109/ICC51166.2024.10623000</t>
  </si>
  <si>
    <t>https://www.scopus.com/inward/record.uri?eid=2-s2.0-85202811480&amp;doi=10.1109%2fICC51166.2024.10623000&amp;partnerID=40&amp;md5=e8c8a43d21532d1ad44e19ebc9331734</t>
  </si>
  <si>
    <t>P290</t>
  </si>
  <si>
    <t>Salam, W.; Raazi, S.K.-U.-R.; Ansari, N.H.</t>
  </si>
  <si>
    <t>SELTHA: Secure, Efficient and Lightweight Authentication Mechanism for Unmanned Aerial Vehicle Network</t>
  </si>
  <si>
    <t>The Internet of Drones (IoD) is the most common, fast-growing, and emerging application of the Internet of Things (IoT). Due to the vast use of Unmanned Aerial vehicles commonly called as drones in IoD applications such as Rescue and Search Operations, Wild Life Monitoring, Photography and Video Recording, Military Spying Missions, Package Delivery, Agriculture, etc. It has tremendously increased the challenges of Safety, Security, and Privacy. To secure drone communication and counters the security threats caused by unauthorized drones and malicious cyber invaders who can have access to sensitive information. IoD needs an Authentication mechanism that utilizes less computational power and resources because drones are equipped with limited battery power that can reduce their battery lifetime by using the existing Authentication methods of Public Key Infrastructure (PKI) Asymmetric cryptography like Digital certificate and Digital Signature that are resource intensive cryptographic functions. We proposed the mechanism SELTHA: Secure, Efficient, and Lightweight TOTP based Hashed Authentication that is specifically designed to reduce the computational resources and power consumption overhead and ensure security challenges, and threats encountered. SELTHA negotiates the flight session key with the registered drone and stores its flight plan and session key in its central database for that specific session. It uses a one-time session key to calculate the Hashed Message Authentication code HMAC-SHA256 for message authentication and sent TOTP code along with the message authentication as the two-factor authentication mechanism. To show the feasibility of SETLHA, we implement the prototype simulation on the Windows host machine using PBKDF2, HMAC-SHA256, and TOTP algorithms. Results show that the SELTHA authentication mechanism has achieved the lowest total communication cost and UAV computation cost which significantly reduced the battery power consumption to enhance the UAV battery lifetime. SELTHA in contrast to other authentication mechanisms is suitable to implement practically.  © 2023 IEEE.</t>
  </si>
  <si>
    <t>Authentication; Cyberattack; Drone; HMAC-SHA256; IoD; IoT; PBKDF2; TOTP; UAV; Antennas; Authentication; Cost reduction; Electric power utilization; Energy efficiency; Internet of things; Military applications; Network security; Public key cryptography; Video recording; Aerial vehicle; Authentication mechanisms; Cyber-attacks; HMAC-sha256; Internet of drone; PBKDF2; Security threats; Session key; Sha-256; TOTP; Drones</t>
  </si>
  <si>
    <t>10.1109/IMTIC58887.2023.10178552</t>
  </si>
  <si>
    <t>https://www.scopus.com/inward/record.uri?eid=2-s2.0-85167416422&amp;doi=10.1109%2fIMTIC58887.2023.10178552&amp;partnerID=40&amp;md5=1bc7fb86017b3d13502875a57f24300e</t>
  </si>
  <si>
    <t>P291</t>
  </si>
  <si>
    <t>Mykytyn, P.; Brzozowski, M.; Dyka, Z.; Langendoerfer, P.</t>
  </si>
  <si>
    <t>GPS-Spoofing Attack Detection Mechanism for UAV Swarms</t>
  </si>
  <si>
    <t>Recently autonomous and semi-autonomous Unmanned Aerial Vehicle (UAV) swarms started to receive a lot of research interest and demand from various civil application fields. However, for a successful mission execution UAV swarms require Global Navigation Satellite System (GNSS) signals and in particular Global Positioning System (GPS) signals for navigation. Unfortunately, civil GPS signals are unencrypted and unauthenticated, which facilitates the execution of GPS spoofing attacks. During these attacks adversaries mimic the authentic GPS signal and broadcast it to the targeted UAV in order to change its course, force it to land or crash. In this study, we propose a GPS spoofing detection mechanism capable of detecting single-transmitter and multi-transmitter GPS spoofing attacks to prevent the above mentioned outcomes. Our detection mechanism is based on comparing the distance between each two swarm members calculated from their GPS coordinates to the distance acquired from Impulse Radio Ultra-Wideband ranging between the same swarm members. If the difference in distances is larger than a chosen threshold the GPS spoofing attack is declared detected.  © 2023 IEEE.</t>
  </si>
  <si>
    <t>cyber-attack; Drone swarm; GNSS Spoofing; GPS Spoofing; UAS; UAV swarm; Aircraft detection; Antennas; Global positioning system; Network security; Transmitters; Ultra-wideband (UWB); Aerial vehicle; Cyber-attacks; Drone swarm; Global navigation satellite system spoofing; Global Navigation Satellite Systems; Global positioning system spoofing; Spoofing attacks; System signals; UAS; Unmanned aerial vehicle swarm; Drones</t>
  </si>
  <si>
    <t>10.1109/MECO58584.2023.10154998</t>
  </si>
  <si>
    <t>https://www.scopus.com/inward/record.uri?eid=2-s2.0-85164967996&amp;doi=10.1109%2fMECO58584.2023.10154998&amp;partnerID=40&amp;md5=7528afc4319ab977c9ff964857dfb3a4</t>
  </si>
  <si>
    <t>P292</t>
  </si>
  <si>
    <t>Jameii, S.M.; Zamirnaddafi, R.S.; Rezabakhsh, R.</t>
  </si>
  <si>
    <t>Internet of Flying Things security: A systematic review</t>
  </si>
  <si>
    <t>Today, with the growth of the Internet of Things (IoT), Unmanned Aerial Vehicles (UAVs) can play a significant role in terms of stability, reliability, connectivity, and coverage. The integration of UAVs and IoT led to the Internet of Flying Things (IoFT). Internet of drones (IoD) is an infrastructure that provides access and control over the Internet between users and drones. One of the most critical challenges in IoFT and IoD is security. In this article, a systematic review is proposed to analyze the existing literature in the field of IoFT and IoD security. We explain the research methodology including the article selection process and the search queries. Thirteen articles were selected out of 166 articles that were published between 2019 and September 2021. Furthermore, the security approaches in the selected articles are classified into five main categories: security vulnerability and eavesdropping, security realization by Blockchain, secure trajectory and secure communication link, authentication and privacy approaches, and security-enhanced resource allocation. The main ideas, advantages, disadvantages, the employed tools, and evaluation parameters of each selected article are also discussed in detail. Finally, we point out the open issues and orientations of future researches. © 2022 John Wiley &amp; Sons, Ltd.</t>
  </si>
  <si>
    <t>Internet of drones (IoD); Internet of Flying Things (IoFT); security; systematic review; Unmanned Aerial Vehicle (UAV); Access control; Antennas; Internet of things; Aerial vehicle; Control over the internet; Critical challenges; Internet of drone; Internet of flying thing; Research methodologies; Security; Stability reliability; Systematic Review; Unmanned aerial vehicle; Drones</t>
  </si>
  <si>
    <t>10.1002/cpe.7213</t>
  </si>
  <si>
    <t>https://www.scopus.com/inward/record.uri?eid=2-s2.0-85134400177&amp;doi=10.1002%2fcpe.7213&amp;partnerID=40&amp;md5=3c941ae71656fdebccb82d1b60fe55db</t>
  </si>
  <si>
    <t>P293</t>
  </si>
  <si>
    <t>Muthukrishnan, R.; Kannan, S.; Prabhu, R.; Zhao, Y.; Bhowmick, P.</t>
  </si>
  <si>
    <t>Detecting and tracking the position of suspicious objects using vision system</t>
  </si>
  <si>
    <t>Vision-based object tracking is crucial for both civil and military applications. A range of hazards to cyber safety, vital infrastructure, and public privacy are posed by the rise of drones, or unmanned aerial vehicles (UAV). As a result, identifying suspicious drones/UAV is a serious issue that has attracted attention recently. The key focus of this research is to develop a unique virtual coloured marker based tracking algorithm to recognise and predict the pose of a detected object within the camera field-of-view. After detecting the object, proposed method begins by determining the area of detected object as reference-contour. Following that, a Virtual-Bounding Box (V-BB) is developed over the reference-contour by meeting the minimum area of contour criteria. In order to track and estimate the precise location of the detected object in two-dimensions during observations, a Virtual Dynamic Crossline with a Virtual Static Graph (VDC-VSG) was constructed to follow the motion of V-BB, which is considered as a virtual coloured marker. Additionally, the virtual coloured marker helps to avoid issues linked to ambient lighting and chromatic variation. To some extent, it can function efficiently during obstructions like rapid position fluctuations, low resolution and noises etc. The efficacy of the developed algorithm is evaluated by testing with significant number of aerial sequences, including benchmark footage and the outputs were outstanding, with better results. The suggested method will support future industry of computer vision-based intelligent systems. Potential applications of the proposed method includes object detection and analysis applied to the field of security and defence. © 2023 SPIE. All rights reserved.</t>
  </si>
  <si>
    <t>Aerial images; Cascade classifier; Image processing; Object detection; Object tracking; Aircraft detection; Antennas; Drones; Image classification; Intelligent systems; Military applications; Object recognition; Aerial images; Aerial vehicle; Bounding-box; Cascade classifiers; Images processing; Object Tracking; Objects detection; Suspicious objects; Vision based; Vision systems; Object detection</t>
  </si>
  <si>
    <t>10.1117/12.2679801</t>
  </si>
  <si>
    <t>https://www.scopus.com/inward/record.uri?eid=2-s2.0-85176506630&amp;doi=10.1117%2f12.2679801&amp;partnerID=40&amp;md5=8be857a43d940ddd0821d4d4e57ca4ea</t>
  </si>
  <si>
    <t>P294</t>
  </si>
  <si>
    <t>Naji, H.R.; Ayati, A.</t>
  </si>
  <si>
    <t>Information Technology Risk Management Model for Remote Control Vehicles</t>
  </si>
  <si>
    <t>This paper presents a lightweight and quick IT risk management model for Remote Control Vehicles (RCVs). The increasing use of RCVs in many fields and the existence of different threats are the main reasons for having an efficient risk management method in this field. This paper will cover the information technology risks based on a continuous, iterative, and cyclic flow. This structure is adaptable to agile methods and decreases the chance of losing data, failing any equipment or system, and losing the reputation of the enterprise. Our risk management model is based on qualitative measures and can cover most IT-based risks in this area. © 2023 IEEE.</t>
  </si>
  <si>
    <t>Cyber Security; Drone; RCV; Risk Management; UAV; Cybersecurity; Iterative methods; Remote control; Risk assessment; Risk management; Continuous-flow; Control vehicles; Cyber security; Information technology risks; IT risk managements; Management method; Remote control vehicle; Risk management models; Risk-based; Risks management; Drones</t>
  </si>
  <si>
    <t>10.1109/IKT62039.2023.10433029</t>
  </si>
  <si>
    <t>https://www.scopus.com/inward/record.uri?eid=2-s2.0-85186768829&amp;doi=10.1109%2fIKT62039.2023.10433029&amp;partnerID=40&amp;md5=3bd7f577527468723829179a5e1b1ad0</t>
  </si>
  <si>
    <t>P295</t>
  </si>
  <si>
    <t>Kumar, M.S.; Kasbekar, G.S.; Maity, A.</t>
  </si>
  <si>
    <t>Identification of GPS Spoofing as a Drone Cyber-vulnerability and Evaluation of Efficacy of Asynchronous GPS spoofing</t>
  </si>
  <si>
    <t>With an aim of finding a countermeasure against rogue commercial drones, cyber vulnerabilities of Unmanned Aerial Vehicles (UAVs) were studied. In this paper out of the various well known cyber vulnerabilites of a UAV, Global Positioning System (GPS) spoofing is identified as a vulnerability with highest risk in commercial drones. The reliance of semi-autonomous and autonomous drones on GPS/Global Navigation Satellite System (GNSS) signals is ubiquitous for positioning and navigation. A number of research papers have explored and shown the vulnerability of commercial drones' GPS receivers against spoofing. The results of a successful GPS spoofing attack can have extreme consequences with respect to the safety of the mission, equipment, payload, infrastructure and most importantly human lives. In this paper an attempt is made to evaluate the efficacy of an asynchronous GPS spoofing attack as a countermeasure against commercial drones. The success of this attack in previous research works was found to be the absence of any countermeasure in the commercial drones against GPS spoofing. In this paper asynchronous GPS Spoofing is found to be ineffective against a commercial drone contrary to previous research works in this field. © 2023 The Authors.</t>
  </si>
  <si>
    <t>asynchronous; Cyber-vulnerabilities; efficacy; GPS spoofing; UAV; Antennas; Commercial vehicles; Global positioning system; Aerial vehicle; Asynchronoi; Cyber vulnerabilities; Efficacy; Global Navigation Satellite Systems; Global positioning system spoofing; Spoofing attacks; System signals; Unmanned aerial vehicle; Vulnerabilites; Drones</t>
  </si>
  <si>
    <t>10.1016/j.ifacol.2023.03.066</t>
  </si>
  <si>
    <t>https://www.scopus.com/inward/record.uri?eid=2-s2.0-85163623216&amp;doi=10.1016%2fj.ifacol.2023.03.066&amp;partnerID=40&amp;md5=2fc11771e421aaf966b91ac3f6a6a353</t>
  </si>
  <si>
    <t>P296</t>
  </si>
  <si>
    <t>Pekarcik, P.; Chovancova, E.; Havrilla, M.; Hasin, M.</t>
  </si>
  <si>
    <t>Security analysis of attacks on UAV</t>
  </si>
  <si>
    <t>Today, unmanned aerial vehicles (UAVs) are very popular not only among IT people, but also among the public. In addition to being able to shoot or take photos from different perspectives and being a means of entertainment, they are also a great source of data. UAVs collect, store and send data to other devices, usually to smartphones or laptops. Smartphones or laptops also send information about changing of location or different commands to the UAV. But is the data transfer to/from the UAV well secured? Can we trust the data transfer between control station and UAV, or is data exposed to potential misuse Our work deals with the issue of security of data transfer in the field of UAV. In the field of small drones, one of the most used protocols is the Micro Air Vehicle Link protocol (MAVLink protocol in short). This protocol enables the exchange of a small amount of data between the control station and the UAV.The work presents chosen attacks on UAV data transfer and chosen security mechanisms. Overall, four attacks were performed - Bluesnarfing, Bluesmacking, The 'open sesame bug' and Blesa. Security mechanisms are designed to protect against specific attacks. Based on the studied information, selected attacks were performed. Then, every attack has an overview of defense mechanisms whose aims are detection of attacks and a reduction of their impact. Finally, a suggestion is provided, on how to approach current threats in the field of UAV.  © 2023 IEEE.</t>
  </si>
  <si>
    <t>attack; Blesa; Bluesmacking; Bluesnarfing; communication; cyberattack; drone; MAVLink; protocol; security; security analysis; sensor; simulation; The 'open sesame bug'; UAV; Data transfer; Laptop computers; Micro air vehicle (MAV); Mobile antennas; Mobile security; Security systems; Smartphones; Aerial vehicle; Attack; Blesa; Bluesmacking; Bluesnarfing; Cyber-attacks; MAVLink; Security; Security analysis; Simulation; The 'open sesame bug'; Unmanned aerial vehicle; Drones</t>
  </si>
  <si>
    <t>10.1109/SAMI58000.2023.10044500</t>
  </si>
  <si>
    <t>https://www.scopus.com/inward/record.uri?eid=2-s2.0-85149754598&amp;doi=10.1109%2fSAMI58000.2023.10044500&amp;partnerID=40&amp;md5=949f24c757e01bb2ec9546bb56e8ede7</t>
  </si>
  <si>
    <t>P297</t>
  </si>
  <si>
    <t>Schermann, R.; Ammerer, T.; Stelzer, P.; MacHer, G.; Steger, C.</t>
  </si>
  <si>
    <t>Risk-Aware Intrusion Detection and Prevention System for Automated UAS</t>
  </si>
  <si>
    <t>This paper designs a proof-of-concept for a Deep Learning-based IDS for UAS. As the drone market grows, safety becomes crucial. Unmanned Aircraft System (UAS) attacks can endanger lives and facilities. With the increasing complexity of attacks, detection has become challenging. Machine Learning-based Intrusion Detection System (IDS), trained on the CSE-CIC-IDS2018 dataset, can handle defined attacks. Combining IDS with an Intrusion Prevention System(IPS), using Threat Analysis and Risk Assessment (TARA) from the automotive domain ensures the system's safety even after attacks. The implementation involves Raspberry Pi as an attacker and defender. The ISO/SAE 21434 standard serves as the foundation for cybersecurity adaptation.  © 2023 IEEE.</t>
  </si>
  <si>
    <t>IDPS; safety; security; UAV; Aircraft detection; Cybersecurity; Deep learning; Intrusion detection; Risk analysis; Risk assessment; Safety engineering; Attack detection; IDPS; Intrusion detection and prevention systems; Intrusion Detection Systems; Intrusion prevention systems; Machine-learning; Proof of concept; Risk aware; Security; Unmanned aircraft system; Unmanned aerial vehicles (UAV)</t>
  </si>
  <si>
    <t>10.1109/ISSREW60843.2023.00065</t>
  </si>
  <si>
    <t>https://www.scopus.com/inward/record.uri?eid=2-s2.0-85178515791&amp;doi=10.1109%2fISSREW60843.2023.00065&amp;partnerID=40&amp;md5=19e119d05454f38fbb94af3909c77647</t>
  </si>
  <si>
    <t>P298</t>
  </si>
  <si>
    <t>Gao, Z.; Fan, W.; Luo, R.</t>
  </si>
  <si>
    <t>QKD-based Secure Communication for UAV</t>
  </si>
  <si>
    <t>Unmanned Aerial Vehicles (UAVs) become increasingly popular because of the emergence of application areas such as the Internet of Drones (IoD). Ensuring secure data transmission in drone networks is crucial for protecting sensitive information and preventing unauthorized access, which is particularly important for applications such as surveillance, delivery, and disaster response. However, there is no standard and efficient way for providing cryptographic protection to the communication between a UAV and its ground station (GS), which is critical for completing its task without leaking sensitive information to illegal users. In this paper, a quantum key distribution (QKD) based mechanism is proposed to facilitate secure communication between the UAV and its GS. A software-based QKD approach is created for distributing the symmetric key over the wireless communication channel between the UAV and GS devices. The experimental results show that our approach is effective to protect communication with negligible overhead. Copyright 2023 KICS.</t>
  </si>
  <si>
    <t>Drone; Quantum Encryption; Quantum Key Distribution; UAV; Antennas; Disaster prevention; Network security; Quantum cryptography; Secure communication; Sensitive data; Aerial vehicle; Application area; Data-transmission; Disaster-response; Ground stations; Quantum encryption; Secure data; Sensitive informations; Unauthorized access; Unmanned aerial vehicle; Drones</t>
  </si>
  <si>
    <t>https://www.scopus.com/inward/record.uri?eid=2-s2.0-85174849344&amp;partnerID=40&amp;md5=cba98018f42c5065f92599a813a1b4c8</t>
  </si>
  <si>
    <t>P299</t>
  </si>
  <si>
    <t>Mahmoud, H.H.; Al-Shammari, M.K.M.; Amran, G.A.; Eldin, E.T.; Alareqi, A.R.; Ghamry, N.A.; ALnajjar, E.; Almosharea, E.</t>
  </si>
  <si>
    <t>Submarine Hunter: Efficient and Secure Multi-Type Unmanned Vehicles</t>
  </si>
  <si>
    <t>Utilizing artificial intelligence (AI) to protect smart coastal cities has become a novel vision for scientific and industrial institutions. One of these AI technologies is using efficient and secure multi-environment Unmanned Vehicles (UVs) for anti-submarine attacks. This study’s contribution is the early detection of a submarine assault employing hybrid environment UVs that are controlled using swarm optimization and secure the information in between UVs using a decentralized cybersecurity strategy. The Dragonfly Algorithm is used for the orientation and clustering of the UVs in the optimization approach, and the Re-fragmentation strategy is used in the Network layer of the TCP/IP protocol as a cybersecurity solution. The research’s noteworthy findings demonstrate UVs’ logistical capability to promptly detect the target and address the problem while securely keeping the drone’s geographical information. The results suggest that detecting the submarine early increases the likelihood of averting a collision. The dragonfly strategy of sensing the position of the submersible and aggregating around it demonstrates the reliability of swarm intelligence in increasing access efficiency. Securing communication between Unmanned Aerial Vehicles (UAVs) improves the level of secrecy necessary for the task. The swarm navigation is based on a peer-to-peer system, which allows each UAV to access information from its peers. This, in turn, helps the UAVs to determine the best route to take and to avoid collisions with other UAVs. The dragonfly strategy also increases the speed of the mission by minimizing the time spent finding the target. © 2023 Tech Science Press. All rights reserved.</t>
  </si>
  <si>
    <t>anti-submarine warfare; dragonfly algorithm; high altitude unmanned aerial vehicles; re-fragmentation; unmanned aerial vehicles; unmanned underwater vehicles; Unmanned vehicles; Antennas; Network layers; Peer to peer networks; Swarm intelligence; Unmanned aerial vehicles (UAV); Aerial vehicle; Antisubmarine warfare; Artificial intelligence technologies; Coastal cities; Cyber security; Dragonfly algorithm; High altitude unmanned aerial vehicle; Re-fragmentation; Unmanned aerial vehicle; Submarines</t>
  </si>
  <si>
    <t>10.32604/cmc.2023.039363</t>
  </si>
  <si>
    <t>https://www.scopus.com/inward/record.uri?eid=2-s2.0-85164283161&amp;doi=10.32604%2fcmc.2023.039363&amp;partnerID=40&amp;md5=bf50446db5b56ba4b51011c0e34059fb</t>
  </si>
  <si>
    <t>P3</t>
  </si>
  <si>
    <t>Periyasami, K.; Katina, P.F.; Ramasamy, R.</t>
  </si>
  <si>
    <t>Cyber Space and Outer Space Security</t>
  </si>
  <si>
    <t>This book delves into cutting-edge research in cyberspace and outer space security, encompassing both theoretical and experimental aspects. It provides mitigation measures and strategies to address the identified challenges within. It covers a spectrum of topics including techniques and strategies for enhancing cyberspace security, combating ransomware attacks, and securing autonomous vehicles. Additionally, it explores security and surveillance systems involving autonomous vehicles, resilience schemes against security attacks using blockchain for autonomous vehicles, security analysis of autonomous drones (UAVs), the cybersecurity kill chain, the internet of drones (IoD), and cyberspace solutions to counteract attacks. The discussion extends to mitigation strategies against weaponized AI in cyber-attacks, countermeasures for both autonomous vehicles and cyberspace attacks, as well as the limitations and future prospects of artificial intelligence (AI) and data defense in aerospace cybersecurity. A network comprising nodes can establish both cyberspace and outer space platforms for data exchange. Cyberspace finds diverse applications, including commercial endeavors and military defense. The integration of autonomous vehicles, unmanned aircraft systems (UAS), and drones into outer space environments is facilitated through their connection to cyberspace. One illustrative example involves the utilization of blockchain-based secure drone systems for product delivery, leveraging the combined capabilities of cyberspace and outer space security technologies. This book elucidates the intricate dynamics between cyber operations and the expanding realm of autonomous outer cyberspace, presenting new security challenges arising from heightened complexity and emerging vulnerabilities. © 2024 River Publishers. All rights reserved.</t>
  </si>
  <si>
    <t>https://www.scopus.com/inward/record.uri?eid=2-s2.0-85201595905&amp;partnerID=40&amp;md5=2cf1d4dfc5c4c6f559fbff91c9e0c7be</t>
  </si>
  <si>
    <t>P30</t>
  </si>
  <si>
    <t>Mostafa Samy, A.; Gouda, M.; Alim, M.A.; Mohamed, A.; Mohamed, A.M.; Farag, M.T.; Ebrahim, M.A.; Mourice, P.N.; Mohamed, R.A.; Badry, M.B.; Mahmoud, R.</t>
  </si>
  <si>
    <t>Design &amp; Implementation Of Stand Alone High Gain Jammer system Against UAV Using Helical Antenna</t>
  </si>
  <si>
    <t>This researc Abstract- This research presents a novel standalone high-gain jammer system designed to disrupt unmanned aerial vehicles (UAVs) operating on GNSS frequencies. The system utilizes four strategically placed helix antennas to achieve broad frequency coverage and employs a YOLO-based tracking system for accurate jamming. To ensure continuous operation, a solar-powered standby system provides reliable backup for the tracking unit. Experimental evaluations demonstrate the effectiveness of the system in disrupting UAVs, highlighting its potential to enhance security in sensitive areas and protect critical infrastructure. This research contributes to the field of UAV countermeasures by offering a practical and efficient solution for mitigating the growing threat posed by unauthorized drone activity. © 2024 IEEE.</t>
  </si>
  <si>
    <t>AI; GNSS; Jamming; UAV; YOLO; Aircraft detection; Critical infrastructures; Drones; Global positioning system; Jamming; Medium access control; Aerial vehicle; Design implementation; GNSS; Helix antennas; High gain; Jammers; Stand -alone; Tracking system; Unmanned aerial vehicle; YOLO; Helical antennas</t>
  </si>
  <si>
    <t>10.1109/ITC-Egypt61547.2024.10620562</t>
  </si>
  <si>
    <t>https://www.scopus.com/inward/record.uri?eid=2-s2.0-85202346095&amp;doi=10.1109%2fITC-Egypt61547.2024.10620562&amp;partnerID=40&amp;md5=2dfc3ae90e9c42b394ccad2c20480063</t>
  </si>
  <si>
    <t>P300</t>
  </si>
  <si>
    <t>Sung, Y.-H.; Park, S.-J.; Kim, D.-Y.; Kim, S.</t>
  </si>
  <si>
    <t>GPS Spoofing Detection Method for Small UAVs Using 1D Convolution Neural Network</t>
  </si>
  <si>
    <t>The navigation of small unmanned aerial vehicles (UAVs), such as quadcopters, significantly relies on the global positioning system (GPS); however, UAVs are vulnerable to GPS spoofing attacks. GPS spoofing is an attempt to manipulate a GPS receiver by broadcasting manipulated signals. A commercial GPS simulator can cause a GPS-guided drone to deviate from its intended course by transmitting counterfeit GPS signals. Therefore, an anti-spoofing technique is essential to ensure the operational safety of UAVs. Various methods have been introduced to detect GPS spoofing; however, most methods require additional hardware. This may not be appropriate for small UAVs with limited capacity. This study proposes a deep learning-based anti-spoofing method equipped with 1D convolutional neural network. The proposed method is lightweight and power-efficient, enabling real-time detection on mobile platforms. Furthermore, the performance of our approach can be enhanced by increasing training data and adjusting the network architecture. We evaluated our algorithm on the embedded board of a drone in terms of power consumption and inference time. Compared to the support vector machine, the proposed method showed better performance in terms of precision, recall, and F-1 score. Flight test demonstrated our algorithm could successfully detect GPS spoofing attacks. © 2022 by the authors.</t>
  </si>
  <si>
    <t>1D CNN; deep learning; GPS spoofing attack; small UAV; SVM; Algorithms; Geographic Information Systems; Neural Networks, Computer; Support Vector Machine; Air navigation; Aircraft detection; Antennas; Convolution; Convolutional neural networks; Deep learning; Drones; Inference engines; Learning systems; Network architecture; Signal receivers; Support vector machines; 1d CNN; Aerial vehicle; Antispoofing; Deep learning; Detection methods; Global positioning system spoofing attack; Performance; Small unmanned aerial vehicles; Spoofing attacks; SVM; algorithm; geographic information system; support vector machine; Global positioning system</t>
  </si>
  <si>
    <t>10.3390/s22239412</t>
  </si>
  <si>
    <t>https://www.scopus.com/inward/record.uri?eid=2-s2.0-85143825629&amp;doi=10.3390%2fs22239412&amp;partnerID=40&amp;md5=64fae955c9a5e47d7a415c04b067549c</t>
  </si>
  <si>
    <t>P301</t>
  </si>
  <si>
    <t>Satheesh Kumar, M.; Vimal, S.; Jhanjhi, N.Z.; Dhanabalan, S.S.; Alhumyani, H.A.</t>
  </si>
  <si>
    <t>Blockchain based peer to peer communication in autonomous drone operation</t>
  </si>
  <si>
    <t>With the prevalence of Aerospace Technologies, the regulations of cybersecurity are becoming smarter, assured, and long-lasting. Modern communication network technologies have enormous growth in the cyber threats and masquerading attacks to steal data. Hence concepts and mechanisms are built and made into regulations for a safer environment. Unmanned aerial vehicles (UAVs), often known as drones, are becoming increasingly common, posing new problems in areas such as monitoring, agriculture, weather prediction, surveillance and other fields. This includes a large number of devices that, owing to a lack of energy or a system shutdown, might occasionally send incorrect signals and must be monitored autonomously by drones in remote regions. In this paper, we propose a energy intensive blockchain-based platform for controlling drone operations while ensuring trust and security for all parties involved. The goal of this paper is to explore the extent of Unmanned Aerial Vehicle (UAV) vulnerability to deceptive (Global Navigation Satellite System) GNSS signals by establishing the necessary conditions for UAV via GPS (Global Positioning System) spoofing. The existing algorithms used to mitigate spoofing attacks have unbounded long-term errors, which increase in time during its performance. An innovative idea is necessitating to eliminate those errors, thereby in the proposed work, Ethereum Blockchain has been implemented to create a blockchain network to mitigate the spoofing attacks. Blockchains are incredibly popular nowadays and is the basic technology for cryptocurrencies. Blockchain technology greatly impacts the applications in UAVs. The proposed methodology uses the network that has to be registered in the aerospace components through the ledger associated with relevant data communication in the Blockchain. When an intruder gets acquired with the data in the network with a single block, it cannot affect the entire network due to the data integrity in the ledgers that has been cryptographically assigned. The blockchain network intermittently verifies the geolocation data so that any outlying data would be detected and eliminated quickly. The data that has been verified is made available for the view of aviation and spacecraft operations through the distributed network. The proposed methodology outperforms the existing methods in intense drift error and, in the case of confidentiality and integrity, it has very low risk when compared to existing methods. © 2021 The Author(s)</t>
  </si>
  <si>
    <t>Blockchain; Cyber security; Energy trading; GNSS; GPS spoofing; Integrity; Unmanned Aerial Vehicles (UAVs); Air navigation; Antennas; Blockchain; Cybersecurity; Drones; Errors; Network security; Power markets; Block-chain; Cyber security; Energy; Energy trading; Global positioning system spoofing; GNSS; Integrity; Peer-to-peer communications; Spoofing attacks; Unmanned aerial vehicle; Global positioning system</t>
  </si>
  <si>
    <t>10.1016/j.egyr.2021.08.073</t>
  </si>
  <si>
    <t>https://www.scopus.com/inward/record.uri?eid=2-s2.0-85119878224&amp;doi=10.1016%2fj.egyr.2021.08.073&amp;partnerID=40&amp;md5=251df763f01b4cb612d4f3ebd6c8d3fb</t>
  </si>
  <si>
    <t>P302</t>
  </si>
  <si>
    <t>Yang, B.; Taleb, T.; Chen, G.; Shen, S.</t>
  </si>
  <si>
    <t>Covert Communication for Cellular and X2U-Enabled UAV Networks with Active and Passive Wardens</t>
  </si>
  <si>
    <t>Cellular and X2U-enabled UAV networks are a promising network paradigm to support constantly growing Internet of Things (IoT) applications in 5G and beyond wireless networks, wherein X2U includes the UAV-to-UAV (U2U) and ground IoT device-to-UAV (G2U) communications. However, such networks pose a significant challenge to secure wireless communications due to the open and broadcasting features of wireless channels. Covert communication is an attractive technique to hinder adversaries (i.e., wardens) from detecting the existence of data transmission for guaranteeing secure IoT communications. This article investigates the covert communication issue for a promising network scenario consisting of a BS, UAV swarm, multiple ground IoT devices and wardens. Especially, each UAV/ground IoT device can select cellular or X2U communication mode according to a flexible mode selection scheme which can cover the cellular network and ad hoc network as special cases by setting a bias factor. We design two types of wardens: active wardens who not only detect the legitimate transmission but also jet noise to interfere with legitimate signals, and passive wardens who only detect the legitimate transmission. Cooperative jamming technique is further employed to resist the attacks of wardens. Then, numerical results are provided to explore the effects of the flexible mode selection and the number of wardens on the covert performances like covert capacity and detection error probability. We finally present a vision for future research in the cellular and X2U-enabled UAV networks. © 1986-2012 IEEE.</t>
  </si>
  <si>
    <t>5G mobile communication systems; Aircraft detection; Drones; Internet of things; Jamming; Cellulars; Covert communications; Flexible mode; Mode selection; Network scenario; Receiver; Relay; Secure wireless communication; Task analysis; Wireless channel; Antennas</t>
  </si>
  <si>
    <t>10.1109/MNET.102.2100337</t>
  </si>
  <si>
    <t>https://www.scopus.com/inward/record.uri?eid=2-s2.0-85126325226&amp;doi=10.1109%2fMNET.102.2100337&amp;partnerID=40&amp;md5=adafaa9f7831da12bc929e3ba54f1098</t>
  </si>
  <si>
    <t>P303</t>
  </si>
  <si>
    <t>Clarke, S.G.; Thapliyal, O.; Hwang, S.; Hwang, I.</t>
  </si>
  <si>
    <t>Attack-Resilient Distributed Optimization-based Control of Multi-Agent Systems with Dual Interaction Networks</t>
  </si>
  <si>
    <t>The vision for the Urban Air Mobility (UAM) airspace is a highly automated, cooperative, passenger and/or cargo carrying air transportation service for economic purposes. Comprised of highly complex, safety critical cyber-physical systems (CPSs), the integration of a UAM system within the National Airspace System (NAS) requires the development of robust control paradigms that are resilient to cyberattacks. In this paper, we consider Denial-of-Service (DoS) cyberattacks and their effects on UAM traffic synchronization and collision avoidance for aerial vehicles within the modeled UAM flight corridor. Network connectivity is essential for the system of UAM vehicles to perform tasks such as distributed optimal control, optimal consensus, or distributed optimization problems, in a collaborative manner. We propose a novel distributed optimization-based control strategy that prompts UAM vehicles, who self-identify as vulnerable, to move towards the centroid of the network to maintain connectivity. We construct a composite interaction network by mixing the redundant information from the communication and auxiliary sensing networks to robustify the communication edge links so that the UAM vehicles are less likely to be vulnerable in the event of a DoS cyberattack. We validate the performance of the proposed control strategy via an illustrative simulation for aerial vehicle traffic synchronization and collision avoidance in the UAM flight corridor, in the presence of DoS cyberattacks. © 2022, American Institute of Aeronautics and Astronautics Inc.. All rights reserved.</t>
  </si>
  <si>
    <t>Air navigation; Antennas; Collision avoidance; Embedded systems; Flight simulators; Multi agent systems; Safety engineering; Unmanned aerial vehicles (UAV); Urban transportation; Aerial vehicle; Collisions avoidance; Control strategies; Cyber-attacks; Denial of Service; Distributed optimization; Interaction networks; Mobility vehicles; Transportation services; Urban air; Air mobility</t>
  </si>
  <si>
    <t>10.2514/6.2022-2342</t>
  </si>
  <si>
    <t>https://www.scopus.com/inward/record.uri?eid=2-s2.0-85123884639&amp;doi=10.2514%2f6.2022-2342&amp;partnerID=40&amp;md5=321bbfc3e6ca5844d2ae809680cac293</t>
  </si>
  <si>
    <t>P304</t>
  </si>
  <si>
    <t>Sönmez, M.; Pelin, C.-E.; Georgescu, M.; Pelin, G.; Stelescu, M.D.; Nituica, M.; Stoian, G.; Alexandrescu, L.; Gurau, D.</t>
  </si>
  <si>
    <t>UNMANNED AERIAL VEHICLES – CLASSIFICATION, TYPES OF COMPOSITE MATERIALS USED IN THEIR STRUCTURE AND APPLICATIONS</t>
  </si>
  <si>
    <t>Unmanned aerial vehicles (UAV) or drones, due to their versatility can be used in a wide range of applications, from army missions to industrial ones. With all these capabilities, the widespread use of drones in smart cities is limited, due to problems and concerns related to safety (their crash for technical reasons, collision in the air with other planes, extreme natural weather), confidentiality (hackers can use malicious applications to exploit and obtain personal data / profiles of people using the wireless location method) and security (thanks to the technology inside the drone-GPS, Wi-Fi that could be hacked/destroyed by attackers). Currently there are many types of drones classified by size, weight, altitude, endurance, landing method (VTOL, HTOL), etc. However, these parameters vary depending on the application of the drone. The performance of drones is focused on the type of built-in electronics but also on the material used to make it. All modern drones are equipped with a series of sensors and other communication systems, increasing inevitably the total weight and reducing the flight time. Therefore, weight reduction is a vital parameter to build the drone's body/structure (generally using thermosetting fibers and resins) without compromising their resistance. Thus, high strength-to-weight ratio, facilitates maneuverability, reduces energy consumption, increases the ability to carry more payload, flight time, etc. The use of composites compared to aluminum reduces weight by 15-45%, increases corrosion, fatigue, impact resistance, reduces noise and vibrations. The composites most used for manufacturing the structure of UAVs (fuselage, wing, landing gear) are: polymers reinforced with carbon fibers (CFRP), polymers reinforced with fiberglass (GFRP), boron and aramid fibers. © 2022 Toate drepturile asupra acestei ediţii sunt rezervate editorilor.</t>
  </si>
  <si>
    <t>application; composite; UAV; Aluminum corrosion; Drones; Energy utilization; Maneuverability; Reinforced plastics; Wi-Fi; Wings; Aerial vehicle; Classifieds; Composites material; Data profiles; Flight time; Location method; Natural weathers; Unmanned aerial vehicle; Vehicle classification; Wireless Location; Aircraft accidents</t>
  </si>
  <si>
    <t>10.24264/icams-2022.I.11</t>
  </si>
  <si>
    <t>https://www.scopus.com/inward/record.uri?eid=2-s2.0-85153511517&amp;doi=10.24264%2ficams-2022.I.11&amp;partnerID=40&amp;md5=b1d3525a66db7b8ebd1734ef9fb68348</t>
  </si>
  <si>
    <t>P305</t>
  </si>
  <si>
    <t>Tsao, K.-Y.; Girdler, T.; Vassilakis, V.G.</t>
  </si>
  <si>
    <t>A survey of cyber security threats and solutions for UAV communications and flying ad-hoc networks</t>
  </si>
  <si>
    <t>Unmanned aerial vehicles (UAVs) are a rapidly evolving technology, and being highly mobile, UAV systems are able to cooperate with each other to accomplish a wide range of different tasks. UAVs can be used in commercial applications, such as goods delivery, as well as in military surveillance. They can also operate in civil domains like search-and-rescue missions, that require multiple UAVs to collect location data as well as transmit video streams. However, the malicious use of UAVs began to emerge in recent years. The frequency of such attacks has been significantly increasing and their impact can have devastating effects. Hence, the relevant industries and standardisation bodies are exploring possibilities for securing UAV systems and networks. Our survey focuses on UAV security and privacy issues whilst establishing flying ad-hoc networks (FANETs) as well as on threats to the Internet of drones (IoD) infrastructure used to provide control and access over the Internet between UAVs and users. The goal of this survey is to categorise the versatile aspects of the UAV threat landscape and develop a classification approach based on different types of connections and nodes in FANETs and IoD. In particular, we categorise security and privacy threats on connections between UAVs, ground control stations, and personal pilot devices. All the most relevant threats and their corresponding defence mechanisms are classified using characteristics of the first four layers of the OSI model. We then analyse the conventional and novel UAV routing protocols, indicating their advantages and disadvantages from the cyber security perspective. To provide a deeper insight, the reviewed defence mechanisms have undergone a thorough examination of their security requirements and objectives such as availability, authentication, authorisation, confidentiality, integrity, privacy, and non-repudiation. Finally, we discuss the open research challenges, the limitations of current UAV standards, and provide possible future directions for research. © 2022 The Author(s)</t>
  </si>
  <si>
    <t>Cyber security and privacy; Flying ad-hoc network (FANET); Unmanned aerial vehicle (UAV); Antennas; Authentication; Cybersecurity; Military applications; Military vehicles; Network layers; Network security; Rock mechanics; Surveys; Vehicle to vehicle communications; Vehicular ad hoc networks; Ad-hoc networks; Cybe security and privacy; Cyber security; Defence mechanisms; Flying ad-hoc network; Security and privacy; Security solutions; Security threats; Unmanned aerial vehicle; Unmanned aerial vehicle systems; Unmanned aerial vehicles (UAV)</t>
  </si>
  <si>
    <t>10.1016/j.adhoc.2022.102894</t>
  </si>
  <si>
    <t>https://www.scopus.com/inward/record.uri?eid=2-s2.0-85131070076&amp;doi=10.1016%2fj.adhoc.2022.102894&amp;partnerID=40&amp;md5=689495ac8bb656519727ead5cf2c114c</t>
  </si>
  <si>
    <t>P306</t>
  </si>
  <si>
    <t>Wu, J.; Ye, J.; Zou, J.; Gao, J.; Sun, X.; Cui, K.</t>
  </si>
  <si>
    <t>The Electromagnetic Interference Effect of the UAV Jammer on Airport Navigation Station</t>
  </si>
  <si>
    <t>In this paper, the electric field intensity of the Unmanned Aerial Vehicle (UAV) jammer at the working frequency band and at the frequency band of airport navigation station were measured based on the semi-anechoic chamber. Then electromagnetic interference influences of the UAV jammer on the Distance Measuring Equipment (DME) were analyzed, which including the impact on the airborne interrogator and the ground transponder. Meanwhile the relationship of the distance from the UAV jammer to the center of runways and the difference between the airborne received signal and the jamming signal was demonstrated. Finally the protection distance of the DME was provided.  © 2022 IEEE.</t>
  </si>
  <si>
    <t>electromagnetic interference; electromagnetic radiation; navigation station; protection distance; UAV jammer; Air navigation; Antennas; Electric fields; Electromagnetic compatibility; Electromagnetic pulse; Electromagnetic wave interference; Unmanned aerial vehicles (UAV); Aerial vehicle; Distance measuring equipments; Electric field intensities; Electromagnetic interference effect; Jammers; Navigation station; Protection distance; Semi-anechoic chambers; Unmanned aerial vehicle jammer; Working frequency; Signal interference</t>
  </si>
  <si>
    <t>10.1109/ICET55676.2022.9824430</t>
  </si>
  <si>
    <t>https://www.scopus.com/inward/record.uri?eid=2-s2.0-85136323604&amp;doi=10.1109%2fICET55676.2022.9824430&amp;partnerID=40&amp;md5=ec447950e570b3466e7ef52e1e4f271d</t>
  </si>
  <si>
    <t>P307</t>
  </si>
  <si>
    <t>Kara, M.; Laouid, A.; Bounceur, A.; Hammoudeh, M.; Alshaikh, M.; Kebache, R.</t>
  </si>
  <si>
    <t>Semi-Decentralized Model for Drone Collaboration on Secure Measurement of Positions</t>
  </si>
  <si>
    <t>The importance of drone use is increasing in all fields due to several characteristics and advantages they provide, such as saving lives, quality imaging, and being easily controllable. In addition, Unmanned Aerial Vehicle (UAV) prices are going to decrease, this has contributed greatly to an increase in demand for them. However, many challenges face the widespread use of UAVs. One of the most important challenges is his vulnerability to hacking. This paper presents a semi-decentralized collaboration model for the secure measurement of drone positions. The proposed model is based on choosing a leader for each specified period of time by a lightweight consensus algorithm. The leader gets his position using satellites, other drone team members are based on the leader's safe position to find their locations in a way that is immune to GPS spoofing. Our proposal study shows the extent of the security level it provides against spoofing attacks. © 2021 ACM.</t>
  </si>
  <si>
    <t>Consensus; Data Collection.; Drone; Secure communication; UAV; Drones; Personal computing; Collaboration models; Consensus; Consensus algorithms; Data collection; Data collection.; Decentralised; Decentralized models; Drone; Life qualities; Measurements of; Antennas</t>
  </si>
  <si>
    <t>10.1145/3508072.3508083</t>
  </si>
  <si>
    <t>https://www.scopus.com/inward/record.uri?eid=2-s2.0-85128626631&amp;doi=10.1145%2f3508072.3508083&amp;partnerID=40&amp;md5=cb7f284d8a5c424618ba5c780ee44b3e</t>
  </si>
  <si>
    <t>P308</t>
  </si>
  <si>
    <t>Mershad, K.</t>
  </si>
  <si>
    <t>PROACT: Parallel multi-miner proof of accumulated trust protocol for Internet of Drones</t>
  </si>
  <si>
    <t>Several types of networks that comprise unmanned aerial vehicles (UAV or drone) are being utilized in important applications such as emergency response, environment and infrastructure monitoring, defense and security, and commerce. In such networks, swarms of UAVs cooperate in executing one or more missions to achieve the application's objectives. The UAVs communicate with terrestrial networks by connecting to fixed or mobile ground control stations (GCS). The ability of drones to connect to online applications and offer services to Internet users has led to the proliferation of the Internet of Drones (IoD). However, IoD applications are highly vulnerable to many types of cyberattacks. Hence, mechanisms must be deployed to secure the IoD operations and data. Recently, the blockchain has been proposed as a solution to detect and prevent malicious attacks on the UAV network (UAVN). Due to the UAV's limited resources, it becomes a challenge to integrate the blockchain into the IoD. In this paper, we propose a model that enables a drone to store the important data that it requires during its flight within a lightweight blockchain system. In addition, we propose a new blockchain consensus mechanism in which several miners produce their blocks in parallel, which decreases the time needed to add transactions securely to the blockchain and meets the requirements of delay-sensitive applications. Our simulations prove the advantages of the proposed model in decreasing the transaction-to-blockchain delay, the average drone energy consumption, and the blockchain block size as compared to other IoD blockchain systems. © 2022 Elsevier Inc.</t>
  </si>
  <si>
    <t>Blockchain; Consensus protocol; Data security; Internet of Drones; Lightweight cryptography; UAV</t>
  </si>
  <si>
    <t>10.1016/j.vehcom.2022.100495</t>
  </si>
  <si>
    <t>https://www.scopus.com/inward/record.uri?eid=2-s2.0-85132439556&amp;doi=10.1016%2fj.vehcom.2022.100495&amp;partnerID=40&amp;md5=2f753cfa3c0c593f2b5290e40da06e61</t>
  </si>
  <si>
    <t>P309</t>
  </si>
  <si>
    <t>Li, Y.; Pawlak, J.; Price, J.; Al Shamaileh, K.; Niyaz, Q.; Paheding, S.; Devabhaktuni, V.</t>
  </si>
  <si>
    <t>Jamming Detection and Classification in OFDM-Based UAVs via Feature- and Spectrogram-Tailored Machine Learning</t>
  </si>
  <si>
    <t>In this paper, a machine learning (ML) approach is proposed to detect and classify jamming attacks against orthogonal frequency division multiplexing (OFDM) receivers with applications to unmanned aerial vehicles (UAVs). Using software-defined radio (SDR), four types of jamming attacks; namely, barrage, protocol-aware, single-tone, and successive-pulse are launched and investigated. Each type is qualitatively evaluated considering jamming range, launch complexity, and attack severity. Then, a systematic testing procedure is established by placing an SDR in the vicinity of a UAV (i.e., drone) to extract radiometric features before and after a jamming attack is launched. Numeric features that include signal-to-noise ratio (SNR), energy threshold, and key OFDM parameters are used to develop a feature-based classification model via conventional ML algorithms. Furthermore, spectrogram images collected following the same testing procedure are exploited to build a spectrogram-based classification model via state-of-the-art deep learning algorithms (i.e., convolutional neural networks). The performance of both types of algorithms is analyzed quantitatively with metrics including detection and false alarm rates. Results show that the spectrogram-based model classifies jamming with an accuracy of 99.79% and a false-alarm of 0.03%, in comparison to 92.20% and 1.35%, respectively, with the feature-based counterpart.  © 2013 IEEE.</t>
  </si>
  <si>
    <t>convolutional neural networks (CNNs); Cybersecurity; deep learning; jamming; machine learning (ML); orthogonal frequency division multiplexing (OFDM); software-defined radio (SDR); spectrogram; unmanned aerial vehicles (UAVs); Aircraft detection; Analog circuits; Antennas; Application programs; Classification (of information); Deep learning; Errors; Feature extraction; Jamming; Learning algorithms; Neural networks; Orthogonal frequency division multiplexing; Personnel training; Radio; Radio receivers; Signal to noise ratio; Software radio; Software testing; Convolutional neural network; Cyber security; Deep learning; Features extraction; Interference; Machine learning; Orthogonal frequency division multiplexing; Orthogonal frequency-division multiplexing; Software-defined radio; Spectrograms; Unmanned aerial vehicle; Drones</t>
  </si>
  <si>
    <t>10.1109/ACCESS.2022.3150020</t>
  </si>
  <si>
    <t>https://www.scopus.com/inward/record.uri?eid=2-s2.0-85124727011&amp;doi=10.1109%2fACCESS.2022.3150020&amp;partnerID=40&amp;md5=84837ed986a1f8462e9a021773bbec11</t>
  </si>
  <si>
    <t>P31</t>
  </si>
  <si>
    <t>Grigel, E.; Adriaanse, D.; Falcon, G.; Chandler, D.; Chandler, E.; Dean, A.</t>
  </si>
  <si>
    <t>Safeguarding astronomical research: innovative and traditional techniques for rainwater leak detection in telescope observatories</t>
  </si>
  <si>
    <t>Ground-based telescope observatories are typically located in harsh environments. Due to their location, they are subject to a wide range of severe environmental conditions such as seismic events, strong winds, and large diurnal temperature swings including freeze/thaw cycles. It is common for telescope observatories to experience fatigue and degradation as a result of their unique dynamic use within these harsh environmental conditions. One specific result of this degradation includes rainwater leakage into the rotating telescope enclosure. This water leakage has the potential to cause serious damage to interior components of the telescope enclosure, including the telescope and its sensitive instruments. Innovative techniques for detecting rainwater leakage include the use of a thermal imaging camera in conjunction with an Unmanned Aircraft System (UAS)/drone. Standard RGB photography accompanies thermal integrated analysis to allow a non-invasive peer into the health of the telescope enclosure. The drone and its specialized camera capture visual data to identify any abnormality found and cross reference the thermal anomaly to a physical place on the structure. Traditional techniques used for detection include trained and experienced personnel physically observing the structure alongside the data captured by the drone. Using the 8.2-meter Subaru Telescope on Maunakea in Hawaii as a case study, this paper will present innovative and traditional techniques for detection of rainwater leakage into the rotating telescope enclosure and other sensitive areas. The Subaru Telescope was constructed in the late 1990's and is starting to experience predictable degradation of the rotating enclosure after 20+ years of use on Maunakea. By utilizing innovative and traditional techniques for rainwater leak detection, the Subaru Telescope will be able to better identify problem areas and start to repair these areas to prevent further degradation. Lessons learned from the experience will better prepare Architects and Engineers for the design of future ground-based telescope observatories. © 2024 SPIE.</t>
  </si>
  <si>
    <t>Airborne telescopes; Leak detection; Medical imaging; Temperature indicating cameras; Thermography (imaging); Diurnal temperatures; Environmental conditions; Ground-based telescopes; Harsh environment; Innovative techniques; Leaks detections; Seismic event; Strong winds; Subaru telescopes; Traditional techniques; Drones</t>
  </si>
  <si>
    <t>10.1117/12.3014714</t>
  </si>
  <si>
    <t>https://www.scopus.com/inward/record.uri?eid=2-s2.0-85205559509&amp;doi=10.1117%2f12.3014714&amp;partnerID=40&amp;md5=81eec7c529e5ae52486c3e41c9e6acbe</t>
  </si>
  <si>
    <t>P310</t>
  </si>
  <si>
    <t>Veksler, M.; Rodriguez, D.L.; Aris, A.; Akkaya, K.; Uluagac, A.S.</t>
  </si>
  <si>
    <t>LoFin: LoRa-based UAV Fingerprinting Framework</t>
  </si>
  <si>
    <t>The emerging proliferation of unmanned aerial vehicles (UAV) combined with their autonomous capabilities established the solid incorporation of UAVs for military applications. However, seamless deployment of drones into the adversarial environment and on the battlefield requires a robust and secure network stack, protected from adversarial intrusion. As LoRa became a low-cost solution for the long-distance control channel, it solved the challenge of long-range connectivity and prolonged lifespan present in UAV applications. However, the existing implementations lack protection mechanisms against unauthorized access. In this paper, we present LoFin, the first fingerprinting framework used to identify telemetry transceivers that communicate over the LoRa channel. LoFin exploits information leaked due to the differences in hardware structure, which results in processing time variations. Passively collecting network traffic, LoFin extracts unique signatures for UAV authentication while maintaining network integrity and data privacy. We evaluate the efficacy of our system on the extensive amount of network packets collected from the testbed of UAV transceivers in both isolated and adversarial settings. Our experiments demonstrate exceptional performance in distinguishing different LoRa-based devices with average precision and recall over 99 % and 96 % correspondinaly.  © 2022 IEEE.</t>
  </si>
  <si>
    <t>device fingerprinting; LoRa; Unmanned aerial vehicles (UAVs); Antennas; Data privacy; Network security; Radio transceivers; Unmanned aerial vehicles (UAV); Adversarial environments; Aerial vehicle; Autonomous capability; Device fingerprinting; Lora; Network stack; Robust network; Secure networks; Unmanned aerial vehicle; Vehicle fingerprinting; Military applications</t>
  </si>
  <si>
    <t>10.1109/MILCOM55135.2022.10017584</t>
  </si>
  <si>
    <t>https://www.scopus.com/inward/record.uri?eid=2-s2.0-85147328550&amp;doi=10.1109%2fMILCOM55135.2022.10017584&amp;partnerID=40&amp;md5=36c94ad208dcdf0627593a98faeb864e</t>
  </si>
  <si>
    <t>P311</t>
  </si>
  <si>
    <t>Aydin, H.; Temizel, C.; Yurukcu, M.</t>
  </si>
  <si>
    <t>Latest Applications of UAVs, Drones and Robotics in the Oil and Gas Industry</t>
  </si>
  <si>
    <t>Digital transformation brings substantial operational efficiency improvements in asset-heavy and capital-intensive industries like oil and gas. While digital transformation covers a wide array of technologies, this study focuses on the application of unmanned aerial vehicles (UAVs), drones, and robotics in the oil and gas industry. These technologies can unlock tremendous value in oilfield operations. The objective of this study is to examine methods through which this value will be brought to the industry and analyze the impact of these technologies in enabling Industrial Revolution 4.0 in the upstream oil and gas industry. The literature has been thoroughly reviewed to cover the history of UAVs, drones, and robotics in the oil and gas industry along with related technologies transferred from other industries. Focus has been provided on analyzing early-stage and mature technologies and how UAVs, drones, and robotics can be implemented in the oil and gas industry technologies in a repeatable and scalable manner. In addition, real-field applications of these technologies to oil and gas fields in different parts of the world, the incremental benefits each application provides, and the challenges in implementing them are investigated in detail. The innate ability of UAVs, drones, and robotics technologies in interconnecting physical assets with digital solutions is what allows it to unlock huge amounts of value in any given oilfield application. These technologies can be used in areas with a significant risk to personnel, such as deepwater platforms. They can be used in applications that help improve environmental safety, such as methane emissions monitoring, plugging leaks in subsea pipelines, etc. The focus must be given to ensure that customized solutions are developed for each use case so that the true gains these technologies can bring, either in cost reductions, revenue maximization, or enhanced safety, are realized. These technologies can also enable oilfield assets even in remote areas to continuously operate in optimal conditions and ensure positive project economics. While there are many advantages to these technologies, their challenges, such as cybersecurity issues and its impact of physical security of critical assets, are addressed in this study. UAVs, drones and robotics are widely known concepts across the industry, and there are multiple examples of specific use cases of such technologies in the literature. However, there still is a lack of clarity on the specific use-cases, benefits, and potential of such technologies amongst industry professionals. This study bridges the gap by providing a concise overview of these technologies enabling the fourth industrial revolution, including their history, application areas, successful use cases, and future potential. © 2022, Offshore Technology Conference. All rights reserved.</t>
  </si>
  <si>
    <t>Accident prevention; Antennas; Cost reduction; Gas industry; Offshore gas fields; Offshore oil well production; Offshore oil wells; Offshore technology; Robotics; Aerial robotics; Aerial vehicle; Capital-intensive industry; Digital transformation; Efficiency improvement; Industrial revolutions; Oil and gas; Oil and Gas Industry; Oilfield operations; Operational efficiencies; Drones</t>
  </si>
  <si>
    <t>10.4043/31735-MS</t>
  </si>
  <si>
    <t>https://www.scopus.com/inward/record.uri?eid=2-s2.0-85149292617&amp;doi=10.4043%2f31735-MS&amp;partnerID=40&amp;md5=3aaade72d52c61154828bb5445a35adf</t>
  </si>
  <si>
    <t>P312</t>
  </si>
  <si>
    <t>Karatzinis, G.D.; Michailidis, P.; Michailidis, I.T.; Kapoutsis, A.C.; Kosmatopoulos, E.B.; Boutalis, Y.S.</t>
  </si>
  <si>
    <t>Coordinating heterogeneous mobile sensing platforms for effectively monitoring a dispersed gas plume</t>
  </si>
  <si>
    <t>In order to sufficiently protect active personnel and physical environment from hazardous leaks, recent industrial practices integrate innovative multi-modalities so as to maximize response efficiency. Since the early detection of such incidents portrays the most critical factor for providing efficient response measures, the continuous and reliable surveying of industrial spaces is of primary importance. Current study develops a surveying mechanism, utilizing a swarm of heterogeneous aerial mobile sensory platforms, for the continuous monitoring and detection of CH4 dispersed gas plumes. In order to timely represent the CH4 diffusion progression incident, the research concerns a simulated indoor, geometrically complex environment, where early detection and timely response are critical. The primary aim was to evaluate the efficiency of a novel multi-agent, closed-loop, algorithm responsible for the UAV path-planning of the swarm, in comparison with an efficient a state-of-the-art path-planning EGO methodology, acting as a benchmark. Abbreviated as Block Coordinate Descent Cognitive Adaptive Optimization (BCD-CAO) the novel algorithm outperformed the Efficient Global Optimization (EGO) algorithm, in seven simulation scenarios, demonstrating improved dynamic adaptation of the aerial UAV swarm towards its heterogeneous operational capabilities. The evaluation results presented herein, exhibit the efficiency of the proposed algorithm for continuously conforming the mobile sensing platforms' formation towards maximizing the total measured density of the diffused volume plume.  © 2022 - IOS Press. All rights reserved.</t>
  </si>
  <si>
    <t>aerial remote sensing; ansys fluent test-bed; dynamic plume tracking; Heterogeneous swarm intelligence; multi-agent planning; Aircraft detection; Antennas; Drones; Efficiency; Global optimization; Motion planning; Multi agent systems; Remote sensing; Surveys; Aerial remote sensing; Ansys fluent test-bed; Dynamic plume tracking; Fluents; Gas plumes; Heterogeneous swarm intelligence; Mobile sensing platforms; Multi-agent planning; Plume tracking; Test bed; Swarm intelligence</t>
  </si>
  <si>
    <t>10.3233/ICA-220690</t>
  </si>
  <si>
    <t>https://www.scopus.com/inward/record.uri?eid=2-s2.0-85138765681&amp;doi=10.3233%2fICA-220690&amp;partnerID=40&amp;md5=86f79fd5dd2c5e319e6281a8123c0ec2</t>
  </si>
  <si>
    <t>P313</t>
  </si>
  <si>
    <t>Simon, O.; Gotthans, T.; Popela, M.</t>
  </si>
  <si>
    <t>Commercial UAV Jamming Possibilities</t>
  </si>
  <si>
    <t>Malicious UAVs pose a growing threat. There are various ways to counter such devices. This article discusses the use of noise and EMP to jam drones. In this work, an analysis of the UAV communication signals was performed and two experiments were conducted to investigate the effects of noise jamming and EMP on the UAV control channel. © 2022 IEEE.</t>
  </si>
  <si>
    <t>AKRS; Barker; drone; EMP; jamming; UAV; Drones; AKRS; Barker; Communication signals; Control channels; Drone; Effect of noise; EMP; Noise jamming; UAV control; Jamming</t>
  </si>
  <si>
    <t>10.1109/RADIOELEKTRONIKA54537.2022.9764904</t>
  </si>
  <si>
    <t>https://www.scopus.com/inward/record.uri?eid=2-s2.0-85130150772&amp;doi=10.1109%2fRADIOELEKTRONIKA54537.2022.9764904&amp;partnerID=40&amp;md5=54901f2990dbcaa609adc926ff231e49</t>
  </si>
  <si>
    <t>P314</t>
  </si>
  <si>
    <t>Insaurralde, C.C.; Blasch, E.</t>
  </si>
  <si>
    <t>Situation Awareness Decision Support System for Air Traffic Management Using Ontological Reasoning</t>
  </si>
  <si>
    <t>Air traffic management (ATM) is a vital service in air transportation provided by air traffic controllers (ATCs). Air traffic controllers and aircraft pilots are required to make increasingly difficult airspace decisions based on an ever-increasing number of information inputs, such as weather, flights, airspace, and reports. Additionally, proliferation of unmanned aerial systems raises concerns about safety and security (including cybersecurity) that challenge future airspace control. Additionally, ATM decision making requires dynamic situational awareness provided by mental cognitive faculties of airspace personnel. This paper presents a situation awareness (SAW) decision support system ATM reasoner (SAWDAR) approach to support decisional processes in ATM. The SAWDAR approach is based on artificial cognition implemented by means of knowledge representation (ontologies) and semantic reasoning. The ontological SAWDAR approach incorporates uncertainty considerations by including metrics for the veracity of surveillance systems, such as radars and automatic dependent surveillance-broadcast. By using the ontological SAW, experimental results demonstrate enhanced decision performance on airspace situations in a scenario, where an airplane is about to take off in the presence of potential hazardous drones flying around. The results demonstrate that the ontological SAWDAR approach can autonomously and dynamically support stakeholders (ATCs and pilots) to decide whether or not to allow aircraft takeoff. Concluding remarks and future research directions of avionics analytics ontology are also presented toward Next Generation Air Transportation System flight management. © 2022, AIAA International. All rights reserved.</t>
  </si>
  <si>
    <t>Countermeasure?; Advanced traffic management systems; Air navigation; Air traffic control; Air transportation; Antennas; Decision making; Knowledge representation; Ontology; Semantics; Air traffic controller; Air Traffic Management; Aircraft pilots; Countermeasure?; Decision-based; Management IS; Ontological reasoning; Reasoners; Situation awareness; Unmanned aerial systems; Decision support systems</t>
  </si>
  <si>
    <t>10.2514/1.I010989</t>
  </si>
  <si>
    <t>https://www.scopus.com/inward/record.uri?eid=2-s2.0-85125641358&amp;doi=10.2514%2f1.I010989&amp;partnerID=40&amp;md5=7f241dee8964d4dbda9c1745720ff2b8</t>
  </si>
  <si>
    <t>P315</t>
  </si>
  <si>
    <t>Ali, K.; Joraimee Mohamad, A.; Rifai, D.; Hazim Aizuddin Othman, M.; Mohamed Ayub, M.A.; Hussian, A.H.; Paw, K.S.; Phing, C.C.; Yaw, C.T.; Ding, T.J.</t>
  </si>
  <si>
    <t>Investigation of GMR Eddy Current Permanent Magnet System for Carbon Steel Corrosion Identification using IoT Unmanned Aerial Vehicles Drone Platform</t>
  </si>
  <si>
    <t>Eddy current test (ECT) is one of the techniques for accurate testing as well as widely used in the aircraft and nuclear industry. Changes in thickness due to corrosion will affect the measurement of defects on pipes or plates. This will make an irrelevant decision as to whether the defect that occurs on the work piece is the thickness of the paint or corrosion. This problem can lead to the occurrence of leaking pipes, apart from the deterioration of the company's productivity and most importantly endangering the safety of employees. Meanwhile, eddy current testing is one of the methods in NDT used to detect cracks or corrosion on the surface of carbon steel. In this work, GMR Eddy Current sensor is used to measure the corrosion on carbon steel pipes, and a permanent magnet is used to generate the magnetic field for corrosion detection. Also, this system is configured with an IoT Unmanned Aerial Vehicles (UAV) drone platform to facilitate access at different heights during the inspection process. The change of voltage amplitude at the GMR sensor on the test material proves the conditioning of the material either normal or corrosive. The result shows that when corrosion occurs on the pipe, the voltage amplitude increases up to 0.5% higher than normal. Finally, the metal loss is higher when the corrosion area is larger and at the same time it is directly proportional to the voltage amplitude  © Published under licence by IOP Publishing Ltd.</t>
  </si>
  <si>
    <t>Aircraft detection; Antennas; Deterioration; Drones; Eddy current testing; Inspection; Internet of things; Pipeline corrosion; Steel corrosion; Accurate testing; Aerial vehicle; Carbon steel corrosion; Change in thickness; Current test; Eddy-current; Leaking pipes; Magnet systems; Measurement of defects; Voltage amplitude; Permanent magnets</t>
  </si>
  <si>
    <t>10.1088/1742-6596/2319/1/012001</t>
  </si>
  <si>
    <t>https://www.scopus.com/inward/record.uri?eid=2-s2.0-85137727595&amp;doi=10.1088%2f1742-6596%2f2319%2f1%2f012001&amp;partnerID=40&amp;md5=14685d7381d61e52ad186bcc842b500d</t>
  </si>
  <si>
    <t>P316</t>
  </si>
  <si>
    <t>Aydin, Y.; Kurt, G.K.; Ozdemir, E.; Yanikomeroglu, H.</t>
  </si>
  <si>
    <t>Authentication and Handover Challenges and Methods for Drone Swarms</t>
  </si>
  <si>
    <t>Drones are begin used for various purposes such as border security, surveillance, cargo delivery, visual shows and it is not possible to overcome such intensive tasks with a single drone. In order to expedite performing such tasks, drone swarms are employed. The number of drones in a swarm can be high depending on the assigned duty. The current solution to authenticate a single drone using a 5G new radio (NR) network requires the execution of two steps. The first step covers the authentication between a drone and the 5G core network, and the second step is the authentication between the drone and the drone control station. It is not feasible to authenticate each drone in a swarm with the current solution without causing a significant latency. Authentication keys between a base station (BS) and a user equipment (UE) must be shared with the new BS while performing handover. The drone swarms are heavily mobile and require several handovers from BS to a new BS. Sharing authentication keys for each drone as explained in 5G NR is not scalable for the drone swarms. Also, the drones can be used as a UE or a radio access node on board unmanned aerial vehicle (UxNB). A UxNB may provide service to a drone swarm in a rural area or emergency. The number of handovers may increase and the process of sharing authentication keys between UxNB to new UxNB may be vulnerable to eavesdropping due to the wireless connectivity. In this work, we present a method where the time and the number of the communication for the authentication of a new drone joining the swarm are less than 5G NR. In addition, group-based handover solutions for the scenarios in which the base stations are terrestrial or mobile are proposed to overcome the scalability and latency issues in the 5G NR.  © 2017 IEEE.</t>
  </si>
  <si>
    <t>drone base station; Drone swarm; group authentication; handover; unmanned aerial vehicles; user equipment; UxNB; 5G mobile communication systems; Antennas; Authentication; Drones; Vehicle to vehicle communications; 'current; 3GPP; Drone base station; Drone swarm; Group authentication; Hand over; User equipment.; User equipments; UxNB; Base stations</t>
  </si>
  <si>
    <t>10.1109/JRFID.2022.3158392</t>
  </si>
  <si>
    <t>https://www.scopus.com/inward/record.uri?eid=2-s2.0-85126304018&amp;doi=10.1109%2fJRFID.2022.3158392&amp;partnerID=40&amp;md5=1a3095003bea0ec2ac54372b6c5f36c7</t>
  </si>
  <si>
    <t>P317</t>
  </si>
  <si>
    <t>Liu, R.; Xiao, Y.; Li, Z.; Cao, H.</t>
  </si>
  <si>
    <t>Research on the anti-UAV distributed system for airports : YOLOv5-based auto-targeting device</t>
  </si>
  <si>
    <t>The illegal intrusion of drones into airports poses a constant threat to public safety, and existing anti-drone technologies suffer from problems like blind detection zones and target loss. To address the shortcomings of existing methods, this paper proposes a distributed anti-drone system based on YOLOv5. Combined with the characteristics of airport defense UAVs intrusion scenarios, the system implements functions such as automatically targeting and releasing jamming signals to intercept illegal UAVs. In this paper, the YOLO algorithm is used to optimize the system's detection of drones. The mechanical structure is used to achieve automatic targeting, effectively improving detection accuracy. The distributed cluster deployment is used to solve the defects of detection blind area and target loss. This paper provides a deployment idea for airport measures against lightweight UAV equipment through experimental validation, which provides theoretical guidance for future countermeasures against UAVs. The technology can be extended to railway stations and other infrastructures to ensure public safety jointly. © 2022 IEEE.</t>
  </si>
  <si>
    <t>Artificial Intelligence; Computer Vision; Machine Learning; Object Detection; Aircraft detection; Airport security; Computer vision; Drones; Intrusion detection; Machine learning; Blind detection; Detection targets; Detection zones; Distributed systems; Drone system; Intrusion scenarios; Jamming signals; Machine-learning; Objects detection; Public safety; Object detection</t>
  </si>
  <si>
    <t>10.1109/CVIDLICCEA56201.2022.9824842</t>
  </si>
  <si>
    <t>https://www.scopus.com/inward/record.uri?eid=2-s2.0-85135412237&amp;doi=10.1109%2fCVIDLICCEA56201.2022.9824842&amp;partnerID=40&amp;md5=213879014b5dba23b007c9c4cd746e7a</t>
  </si>
  <si>
    <t>P318</t>
  </si>
  <si>
    <t>Harvey, W.; Rainwater, C.; Cothren, J.</t>
  </si>
  <si>
    <t>Direct aerial visual geolocalization using deep neural networks</t>
  </si>
  <si>
    <t>Unmanned aerial vehicles (UAVs) must keep track of their location in order to maintain flight plans. Currently, this task is almost entirely performed by a combination of Inertial Measurement Units (IMUs) and reference to GNSS (Global Navigation Satellite System). Navigation by GNSS, however, is not always reliable, due to various causes both natural (reflection and blockage from objects, technical fault, inclement weather) and artificial (GPS spoofing and denial). In such GPS-denied situations, it is desirable to have additional methods for aerial geolocalization. One such method is visual geolocalization, where aircraft use their ground facing cameras to localize and navigate. The state of the art in many ground-level image processing tasks involve the use of Convolutional Neural Networks (CNNs). We present here a study of how effectively a modern CNN designed for visual classification can be applied to the problem of Absolute Visual Geolocalization (AVL, localization without a prior location estimate). An Xception based architecture is trained from scratch over a &gt;1000 km2 section of Washington County, Arkansas to directly regress latitude and longitude from images from different orthorectified high-altitude survey flights. It achieves average localization accuracy on unseen image sets over the same region from different years and seasons with as low as 115 meters average error, which localizes to 0.004% of the training area, or about 8% of the width of the 1.5 × 1.5km input image. This demonstrates that CNNs are expressive enough to encode robust landscape information for geolocalization over large geographic areas. Furthermore, discussed are methods of providing uncertainty for CNN regression outputs, and future areas of potential improvement for use of deep neural networks in visual geolocalization. ©2021 by the authors. Licensee MDPI, Basel, Switzerland.</t>
  </si>
  <si>
    <t>Absolute visual geolocalization; Convolutional neural network; Deep learning; Drone; Geolocalization; Machine learning; UAV; Visual localization; Aircraft detection; Antennas; Convolution; Convolutional neural networks; Deep neural networks; Drones; Image processing; Location; Training aircraft; Absolute visual geolocalization; Convolutional neural network; Deep learning; Drone; Flight plans; Geo-localisation; Global Navigation Satellite Systems; Keep track of; Visual localization; Global positioning system</t>
  </si>
  <si>
    <t>10.3390/rs13194017</t>
  </si>
  <si>
    <t>https://www.scopus.com/inward/record.uri?eid=2-s2.0-85116706166&amp;doi=10.3390%2frs13194017&amp;partnerID=40&amp;md5=3c7b4baec187482d0e8f1c90f65d7a4e</t>
  </si>
  <si>
    <t>P319</t>
  </si>
  <si>
    <t>Veerappan, C.S.; Keong, P.L.K.; Balachandran, V.; Fadilah, M.S.B.M.</t>
  </si>
  <si>
    <t>DRAT :A Penetration Testing Framework for Drones</t>
  </si>
  <si>
    <t>As the usage of drones increases, attack vectors to exploit the vulnerabilities increases as well; particularly in commercial off-the-shelf Wi-Fi based drones. Hence, drones must be carefully evaluated and selected before deployment in the field. Penetration testing is a way to assess the vulnerabilities of drones, but it may require multiple commands, files or scripts and tools to generate and store the results. Many of these existing techniques and tools are dependent on human control and intervention. In this paper, we propose a Drone Pen-testing tool, which has integrated resources to conduct, organize the penetration tests and store the results. The tool has 3 main operation modes-Admin mode, User Mode and Machine learning mode. In Machine learning mode, the tool passively collects the network traffic from Wi-Fi drone access points for 60 seconds. The collected network traffic (in a pcap file) is used to analyze the IEEE 802.11 b/g/n protocol stack to identify a specific target among the surrounding Wi-Fi drones. This feature helps the user to launch a targeted attack quickly for a particular type of drone when the surrounding has many active drones. The paper explains the features of the scalable and easy to use, GUI (Graphical User Interface) based framework including details of its machine learning mode.  © 2021 IEEE.</t>
  </si>
  <si>
    <t>802.11 packets; Drone Security; framework; Machine Learning in Drone Security; penetration testing; UAV; vulnerability; Wi-Fi; Drones; Graphical user interfaces; IEEE Standards; Machine learning; Wireless local area networks (WLAN); 802.11 packet; Attack vector; Drone security; Framework; Machine learning in drone security; Machine-learning; Network traffic; Penetration testing; Testing framework; Vulnerability; Wi-Fi</t>
  </si>
  <si>
    <t>10.1109/ICIEA51954.2021.9516363</t>
  </si>
  <si>
    <t>https://www.scopus.com/inward/record.uri?eid=2-s2.0-85115443630&amp;doi=10.1109%2fICIEA51954.2021.9516363&amp;partnerID=40&amp;md5=4c420a2e2258008ebf93a554930e2756</t>
  </si>
  <si>
    <t>P32</t>
  </si>
  <si>
    <t>Wang, J.; Wang, R.</t>
  </si>
  <si>
    <t>Multi-UAV Area Coverage Track Planning Based on the Voronoi Graph and Attention Mechanism</t>
  </si>
  <si>
    <t>Drone area coverage primarily involves using unmanned aerial vehicles (UAVs) for extensive monitoring, surveying, communication, and other tasks over specific regions. The significance and value of this technology are multifaceted. Firstly, UAVs can rapidly and efficiently reach remote or inaccessible areas to perform tasks such as terrain mapping, disaster monitoring, or search and rescue, significantly enhancing response speed and execution efficiency. Secondly, drone area coverage in agricultural monitoring, forestry conservation, and urban planning offers high-precision data support, aiding scientists and decision-makers in making more accurate judgments and decisions. Additionally, drones can serve as temporary communication base stations in areas with poor communication, ensuring the transfer of crucial information. Drone area coverage technology is vital in improving work efficiency, reducing costs, and strengthening decision support. This paper aims to solve the optimization problem of multi-UAV area coverage flight path planning to enhance system efficiency and task execution capability. For multi-center optimization problems, a region decomposition method based on the Voronoi graph is designed, transforming the multi-UAV area coverage issue into the single-UAV area coverage problem, greatly simplifying the complexity and computational process. For the single-UAV area coverage problem and its corresponding area, this paper contrives a convolutional neural network with the channel and spatial attention mechanism (CSAM) to enhance feature fusion capability, enabling the model to focus on core features for solving single-UAV path selection and ultimately generating the optimal path. Simulation results demonstrate that the proposed method achieves excellent performance. © 2024 by the authors.</t>
  </si>
  <si>
    <t>area coverage; channel and spatial attention mechanism; flight path planning; multi-UAV; Voronoi graph; Aircraft accidents; Aircraft communication; Convolutional neural networks; Cracking (chemical); Deforestation; Flow visualization; Helicopter rescue services; Motion planning; Photomapping; Reforestation; Trees (mathematics); Wind effects; Aerial vehicle; Area coverages; Attention mechanisms; Channel and spatial attention mechanism; Coverage problem; Flight path planning; Multi-unmanned aerial vehicle; Optimization problems; Spatial attention; Voronoi graphs; Drones</t>
  </si>
  <si>
    <t>10.3390/app14177844</t>
  </si>
  <si>
    <t>https://www.scopus.com/inward/record.uri?eid=2-s2.0-85203857976&amp;doi=10.3390%2fapp14177844&amp;partnerID=40&amp;md5=73186b20a0030bf43217d2d4b2b4a675</t>
  </si>
  <si>
    <t>P320</t>
  </si>
  <si>
    <t>Ojo, T.; Chi, H.; Erskine, S.K.</t>
  </si>
  <si>
    <t>Unmanned Aerial Vehicle Forensics Investigation Performance under Different Attacks</t>
  </si>
  <si>
    <t>Unmanned Aerial Vehicles (UAVs), also called drones, have grown tremendously in recent years and have been adopted in various sectors. With the continuous development of machine learning algorithms to detect various attacks on UAVs. The attackers also focused on utilizing this machine-learning algorithm to disrupt the UAV's activities by using predictions to generate the attack route. In digital forensics, the forensics experts focus on the communication data between the controller and the drones, the multimedia files, and the flight data to make a complete cybersecurity report. This paper reviews various ways the drone may be compromised and its performance evaluation using the existing machine learning detection algorithm to make the forensics report about the drones. The machine learning algorithms investigated in this study include Multilayer Perceptron (MLP) for the detection technique. © 2022 IEEE.</t>
  </si>
  <si>
    <t>Cyber-Attacks; Digital forensics; Drones; Machine Learning; Aircraft detection; Antennas; Computer crime; Cybersecurity; Digital forensics; E-learning; Electronic crime countermeasures; Learning algorithms; Machine learning; Network security; Vehicle performance; Aerial vehicle; Attack route; Continuous development; Cyber-attacks; Different attacks; Forensic investigation; Machine learning algorithms; Machine-learning; Performance; Various attacks; Drones</t>
  </si>
  <si>
    <t>10.1109/CSCI58124.2022.00171</t>
  </si>
  <si>
    <t>https://www.scopus.com/inward/record.uri?eid=2-s2.0-85172022652&amp;doi=10.1109%2fCSCI58124.2022.00171&amp;partnerID=40&amp;md5=01ce50f68e76b3554308005a0ad03a7f</t>
  </si>
  <si>
    <t>P321</t>
  </si>
  <si>
    <t>Jacovic, M.; Liston, M.J.; Pano, V.; Mainland, G.; Dandekar, K.R.</t>
  </si>
  <si>
    <t>Experimentation framework for wireless communication systems under jamming scenarios</t>
  </si>
  <si>
    <t>Cyber-physical systems (CPS) integrate control, sensing, and processing into interconnected physical components to support applications within transportation, energy, healthcare, environment, and various other areas. Secure and reliable wireless communication between devices is necessary to enable the widespread adoption of these emerging technologies. Cyber-physical systems devices must be protected against active threats, such as Radio Frequency (RF) Jammers, which intentionally disrupt communication links. Jamming detection and mitigation techniques must be evaluated extensively to validate algorithms prior to full implementation. Challenges related to obtaining zoning permits, Federal Aviation Administration (FAA) pilot certification for Unmanned Aerial Vehicles (UAVs), and Federal Communications Commission (FCC) licencing lead to evaluation limited to simulation-based or simplistic, non-representative hardware experimentation. A site-specific ray-tracing emulation framework is presented to provide a realistic evaluation of communication devices under RF jamming attacks in complex scenarios involving mobility, vehicular, and UAV systems. System architecture and capabilities are provided for the devices under test, real-world jamming adversaries, channel modelling, and channel emulation. Case studies are provided to demonstrate the use of the framework for different applications and jamming threats. The experimental results illustrate the benefit of the ray-tracing emulation system for conducting complex wireless communication studies under the presence of RF jamming. © 2022 The Authors. IET Cyber-Physical Systems: Theory &amp; Applications published by John Wiley &amp; Sons Ltd on behalf of The Institution of Engineering and Technology.</t>
  </si>
  <si>
    <t>cyber-physical systems; hardware-in-the-loop stimulation; telecommunication security; Antennas; Cyber Physical System; Jamming; Radio links; Ray tracing; Unmanned aerial vehicles (UAV); Vehicle to vehicle communications; Emerging technologies; Energy; Federal Aviation Administration; Healthcare environments; Mitigation techniques; Physical components; Radio-frequency jammers; Radiofrequencies; Wireless communication system; Wireless communications; Embedded systems</t>
  </si>
  <si>
    <t>10.1049/cps2.12027</t>
  </si>
  <si>
    <t>https://www.scopus.com/inward/record.uri?eid=2-s2.0-85123792804&amp;doi=10.1049%2fcps2.12027&amp;partnerID=40&amp;md5=b528438b4014e3476dc46e8e251cb3df</t>
  </si>
  <si>
    <t>P322</t>
  </si>
  <si>
    <t>Pardhasaradhi, B.; Cenkeramaddi, L.R.</t>
  </si>
  <si>
    <t>GPS Spoofing Detection and Mitigation for Drones Using Distributed Radar Tracking and Fusion</t>
  </si>
  <si>
    <t>In today's world, Global positioning system (GPS)-based navigation is inexpensive for providing position, velocity, and time (PVT) information. GPS receivers are widely used on unmanned aerial vehicles (UAVs), and these targets are vulnerable to deliberate interference such as spoofing. In this paper, GPS spoofing detection and mitigation for UAVs are proposed using distributed radar ground stations equipped with a local tracker. In the proposed approach, UAVs and local trackers are linked to the fusion node. The UAVs estimate their position and covariance using the extended Kalman filter framework and send it to a fusion node as primary data. Simultaneously, the time-varying kinematics of the UAVs are estimated using the extended Kalman filter and global nearest neighbor association tracker frameworks, and this data is transmitted to the central fusion node as secondary data. A track-to-track association is proposed to detect spoofing attacks using available primary and secondary data. After detecting the spoofing attack, the secondary data is subjected to a correlation-free fusion. We propose using this fused state as a control input to the UAVs to mitigate the spoofing attack. The spoofing scenario results show that using the predicted fusion state provides the same accuracy as a GPS receiver in a clean environment. Furthermore, because the innovation is calculated using the predicted fused state, there is no effect on the number of satellite signals on PRMSE. Additionally, in terms of PRMSE, radars with low measurement noise outperform radars with high measurement noise. The proposed algorithm is best suited for use in drone swarm applications.  © 2001-2012 IEEE.</t>
  </si>
  <si>
    <t>drones tracking; GPS spoofing; multi-radar multi-drone tracking; sensor fusion; track-to-track association; Aircraft detection; Antennas; Drones; Extended Kalman filters; Radar measurement; Radar tracking; Tracking radar; Global positioning system receivers; Global positioning system spoofing; Measurement Noise; Multi-radar multi-drone tracking; Primary data; Secondary datum; Sensor fusion; Spoofing attacks; Targets tracking; Track-to-track association; Global positioning system</t>
  </si>
  <si>
    <t>10.1109/JSEN.2022.3168940</t>
  </si>
  <si>
    <t>https://www.scopus.com/inward/record.uri?eid=2-s2.0-85128673872&amp;doi=10.1109%2fJSEN.2022.3168940&amp;partnerID=40&amp;md5=4d2fd3706fd33dd5073d948905578a17</t>
  </si>
  <si>
    <t>P323</t>
  </si>
  <si>
    <t>Guerber, C.; Royer, M.; Larrieu, N.</t>
  </si>
  <si>
    <t>Machine Learning and Software Defined Network to secure communications in a swarm of drones</t>
  </si>
  <si>
    <t>As drones become more and more frequent in industry and perhaps tomorrow in everyday life, the variety and sensitivity of their missions will increase. Securing the communication taking place with the drones and especially in the network of a swarm, is of primary importance to allow a safe integration of Unmanned Aerial Vehicles into air traffic. Drones are subject to a range of attacks, from GPS jamming to application bug exploits. Among these attacks, and irrespective to whether they have already been implemented or not, communication is one of the main contributors, both as a vector and as a target. In this article, we use previous work on security threats concerning drones to identify two main types of attack in a network of drones: intrusion from the outside and network usage from inside. We demonstrate the robustness of the Software Defined Network (SDN) architecture facing most common attacks from the outside. In addition, we propose a traffic injection detection technique and corresponding countermeasures based on SDN flow counters. Finally, we present an innovative machine learning solution based on Random Forest Classifier to address insider attacks, relying solely on flow creation events. We propose two specific features that characterizes the activity in the network. They allow detecting common network attacks such as denial of service, port scanning and brute force and are easily available to the controller. Detection performance of these abnormal behaviors are promising, both in terms of true positive and false negative, and in terms of detection delay. Detection of these common attacks will allow tightening of security in such wireless network by denying further access to the network by rogue nodes. © 2021 Elsevier Ltd</t>
  </si>
  <si>
    <t>AODV; FANET; Machine Learning; Random Forest Classifier; SDN; Security architecture; Antennas; Decision trees; Denial-of-service attack; Drones; Machine learning; Software defined networking; Swarm intelligence; Abnormal behavior; Common networks; Denial of Service; Detection delays; Detection performance; False negatives; Random forest classifier; Security threats; Network security</t>
  </si>
  <si>
    <t>10.1016/j.jisa.2021.102940</t>
  </si>
  <si>
    <t>https://www.scopus.com/inward/record.uri?eid=2-s2.0-85110735968&amp;doi=10.1016%2fj.jisa.2021.102940&amp;partnerID=40&amp;md5=32de386dcebce9e4e6fdf1e822e53f17</t>
  </si>
  <si>
    <t>P324</t>
  </si>
  <si>
    <t>Aouladhadj, D.; Kpre, E.; Freitas, M.D.; Deniau, V.; Gransart, C.; Gaquiere, C.</t>
  </si>
  <si>
    <t>Contribution to the design of Smart Jamming waveforms for UAVs counter-measurement</t>
  </si>
  <si>
    <t>In recent years, the fight against unmanned aerial vehicles (UAVs) has become a primary concern due to the ease of obtaining a capable drone and the advent of numerous incidents perpetrated with UAVs flying over public or critical sites. Thus, drone jammers are developed and proposed to law enforcement agencies to counter this type of threat. However, these jamming devices can also affect other communications in the same industrial, scientific and medical (ISM) band. In this context, based on Radio Frequency (RF) sensing, a neutralization strategy is proposed in this paper. This RF analysis aims to recognize the drone type in order to optimize the jamming signal and then reducing the total power required to intercept the drone. This strategy should minimize possible collateral effects on other communications.  © 2022 URSI.</t>
  </si>
  <si>
    <t>classification; confusion matrix; Convolutional Neural Network; detection; jamming; RF sensing; UAV; Aircraft detection; Antennas; Convolutional neural networks; Jamming; Signal detection; Aerial vehicle; Confusion matrix; Convolutional neural network; Detection; Frequency sensing; Jamming; Radio frequency sensing; Radiofrequencies; Smart jamming; Unmanned aerial vehicle; Drones</t>
  </si>
  <si>
    <t>10.23919/AT-AP-RASC54737.2022.9814244</t>
  </si>
  <si>
    <t>https://www.scopus.com/inward/record.uri?eid=2-s2.0-85134878464&amp;doi=10.23919%2fAT-AP-RASC54737.2022.9814244&amp;partnerID=40&amp;md5=1b8b140ba37fda54c696e73ddf02b572</t>
  </si>
  <si>
    <t>P325</t>
  </si>
  <si>
    <t>Zhang, J.</t>
  </si>
  <si>
    <t>A Covert Surveillance Strategy for a Solar-Powered UAV over Suspicious Mobile Target</t>
  </si>
  <si>
    <t>Benefiting from the characteristics such as low-cost, excellent mobility and flexibility, rapid deployment, the aerial drones have been widely applied to wireless communication systems in both military and civilian domains. In particular,for the objects on the ground, UAVs could provide a high probability of line-of-sight (LoS) that enhances the capacity of the system. In this paper, we consider the application of covert surveillance for a solar-powered UAV on a suspicious mobile target on the ground while disguising its intention. A Q-learning based covert surveillance method is formulated to maximize the disguising metric and minimize the energy consumption while harvesting the solar energy while operation. Computer simulations demonstrate the performance of the proposed method, which outperforms the baseline method in both eavesdropping and disguising perspectives. © 2022 IEEE.</t>
  </si>
  <si>
    <t>covert surveillance; reinforcement learning; secretly eavesdropping; trajectory planning; Unmanned aerial vehicles (UAVs); wireless communications; Antennas; Energy utilization; Monitoring; Reinforcement learning; Security systems; Solar energy; Vehicle to vehicle communications; Covert surveillance; Low-costs; Mobile targets; Rapid deployments; Secretly eavesdropping; Solar-powered; Surveillance strategies; Trajectory Planning; Unmanned aerial vehicle; Wireless communications; Unmanned aerial vehicles (UAV)</t>
  </si>
  <si>
    <t>10.1109/ICCAE55086.2022.9762450</t>
  </si>
  <si>
    <t>https://www.scopus.com/inward/record.uri?eid=2-s2.0-85129863014&amp;doi=10.1109%2fICCAE55086.2022.9762450&amp;partnerID=40&amp;md5=72afa04bf9488c1a3c726db2048dc796</t>
  </si>
  <si>
    <t>P326</t>
  </si>
  <si>
    <t>Viana, J.; Farkhari, H.; Campos, L.M.; Sebastiao, P.; Cercas, F.; Bernardo, L.; Dinis, R.</t>
  </si>
  <si>
    <t>Two methods for Jamming Identification in UAV Networks using New Synthetic Dataset</t>
  </si>
  <si>
    <t>Unmanned aerial vehicle (UAV) systems are vulnerable to jamming from self-interested users who utilize radio devices to disrupt UAV transmissions. The vulnerability occurs due to the open nature of air-to-ground (A2G) wireless communication networks, which may enable network-wide attacks. This paper presents two strategies to identify Jammers in UAV networks. The first strategy is based on a time series approach for anomaly detection where the available signal in the resource block is decomposed statistically to find trends, seasonality, and residues. The second is based on newly designed deep networks. The combined techniques are suitable for UAVs because the statistical model does not require heavy computation processing, but is limited to generalizing possible attacks that might occur. On the other hand, the designed deep network can classify attacks accurately, but requires more resources. The simulation considers the location and power of the jamming attacks and the UAV position related to the base station. The statistical method technique made it feasible to identify 84.38% of attacks when the attacker was at a distance of 30 m from the UAV. Furthermore, the Deep network's accuracy was approximately 99.99 % for jamming powers greater than two and jammer distances less than 2II meters. © 2022 IEEE.</t>
  </si>
  <si>
    <t>4G; Convolutional Neural Networks (CNNs); Cybersecurity; Deep Learning; Jamming Detection; Jamming Identification; SG; UAV; Unmanned Aerial Vehicles; Aircraft detection; Anomaly detection; Convolutional neural networks; Cybersecurity; Deep learning; Drones; Jamming; Network security; Radio transmission; Vehicle transmissions; 4g; Aerial vehicle; Convolutional neural network; Cyber security; Deep learning; Jamming detection; Jamming identification; SG; Unmanned aerial vehicle; Antennas</t>
  </si>
  <si>
    <t>10.1109/VTC2022-Spring54318.2022.9860816</t>
  </si>
  <si>
    <t>https://www.scopus.com/inward/record.uri?eid=2-s2.0-85137803729&amp;doi=10.1109%2fVTC2022-Spring54318.2022.9860816&amp;partnerID=40&amp;md5=7f6894e26816b6c5a7a748363b3cdbbd</t>
  </si>
  <si>
    <t>P327</t>
  </si>
  <si>
    <t>An Autonomous Counter-Drone System with Jamming and Relative Positioning Capabilities</t>
  </si>
  <si>
    <t>With the rise of the number of unauthorized operations of Unmanned Aerial Vehicles (UAVs), versatile counter-drone systems are becoming a necessity. In this work, a counter-drone system is developed, where a pursuer drone employs algorithms for detecting and tracking a rogue drone, in conjunction with wireless interception capabilities to jam the rogue drone, while also jointly achieving self positioning for the pursuer drone. In the proposed system, a software-defined-radio (SDR) is used for switching between jamming transmissions and spectrum sweeping functionalities to achieve the desired GPS disruption and self-localization, respectively. Extensive field experiments demonstrate the effectiveness of the proposed solution in a real-world environment under various parameter settings. © 2022 IEEE.</t>
  </si>
  <si>
    <t>counter-drone system; jamming attacks; relative vehicle positioning; Signals of opportunity; Aircraft detection; Antennas; Jamming; Radio transmission; Software radio; Aerial vehicle; Counter-drone system; Drone system; Jamming attacks; Relative positioning; Relative vehicle positioning; Self-positioning; Signals of opportunities; Software-defined radios; Vehicle positioning; Drones</t>
  </si>
  <si>
    <t>10.1109/ICC45855.2022.9838783</t>
  </si>
  <si>
    <t>https://www.scopus.com/inward/record.uri?eid=2-s2.0-85137260254&amp;doi=10.1109%2fICC45855.2022.9838783&amp;partnerID=40&amp;md5=c45ceecd8038181a31af3f89d49b4edd</t>
  </si>
  <si>
    <t>P328</t>
  </si>
  <si>
    <t>Wu, J.; Guo, J.; Lv, Z.</t>
  </si>
  <si>
    <t>Deep Learning Driven Security in Digital Twins of Drone Network</t>
  </si>
  <si>
    <t>This study aims to explore the security issues and computational intelligence of drone information system based on deep learning. Targeting at the security issues of the drone system when it is attacked, this study adopts the improved long short-term memory (LSTM) network to analyze the cyber physical system (CPS) data for prediction from the perspective of predicting the control signal data of the system before the attack occurs. At the same time, the differential privacy frequent subgraph (DPFS) is introduced to keep data privacy confidential, and the digital twins technology is used to map the operating environment of the drone in the physical space, and an attack prediction model for drone digital twins CPS is constructed based on differential privacy-improved LSTM. Finally, the tennessee eastman (TE) process is undertaken as a simulation platform to simulate the constructed model so as to verify its performance. In addition, the proposed model is compared with the Bidirectional LSTM (BiLSTM) and Attention-BiLSTM models proposed by other scholars. It was found that the root mean square error (RMSE) of the proposed model is the smallest (0.20) when the number of hidden layer nodes is 26. Comparison with the actual flow value shows that the proposed algorithm is more accurate with better fitting. Therefore, the constructed drone attack prediction model can achieve higher prediction accuracy and obvious better robustness under the premise of ensuring errors, which can provide experimental basis for the later security and intelligent development of drone system. © 2022 IEEE.</t>
  </si>
  <si>
    <t>attack; deep learning; digital twins; dpfs frequent subgragh; security; unmanned aerial vehicle; Antennas; Cybersecurity; Data privacy; E-learning; Embedded systems; Forecasting; Long short-term memory; Mean square error; Network security; Simulation platform; Aerial vehicle; Attack; Cybe-physical systems; Cyber-physical systems; Deep learning; Dpfs frequent subgragh; Drone system; Security; Security issues; Unmanned aerial vehicle; Drones</t>
  </si>
  <si>
    <t>10.1109/ICC45855.2022.9838734</t>
  </si>
  <si>
    <t>https://www.scopus.com/inward/record.uri?eid=2-s2.0-85137267600&amp;doi=10.1109%2fICC45855.2022.9838734&amp;partnerID=40&amp;md5=70e5ccf05d59060e8983e035dfec0dda</t>
  </si>
  <si>
    <t>P329</t>
  </si>
  <si>
    <t>Xiong, D.; Wei, W.; Zhang, W.; Huang, K.; Li, B.; Zhang, L.; Bian, L.; Liu, J.</t>
  </si>
  <si>
    <t>UAV Inspection Monitoring and Management System based on Wireless Sensing Technology</t>
  </si>
  <si>
    <t>With the continuous progress of society, the economic level has also been greatly improved, and people are paying more and more attention to intelligent and humanized management in their lives. At the same time, environmental problems and hidden safety hazards are increasing, posing a serious threat to the safety of human life and property. People also have a higher pursuit for the quality of life. In order to ensure that personal, property and other related information are not leaked, and to ensure that the national security construction is not affected, security is one of the important issues. However, traditional monitoring and management work still has various problems. For example, due to the limitations of human eyes and monitoring equipment, the perception of changes in the surrounding environment is not timely and accurate, which leads to false alarms or accidents, inaccurate or incomplete data collection, and so on. The drone inspection technology can break through these limitations and reduce labor costs. This paper adopts experimental investigation method and data analysis method, and aims to further discover obstacles in the inspection work of UA V and optimize the UA V inspection monitoring and management system through the research of wireless sensing technology. According to the research results, the test system has a high packet loss rate when there is no routing node, and the probability of sending data packets again is high, which greatly increases the energy load of the measurement node. In the case of better signal quality, the retransmission rate of the system is also lower, and the energy loss is relatively low. © 2022 IEEE.</t>
  </si>
  <si>
    <t>Monitoring Management; Three-Dimensional Visualization; UAV Inspection; Wireless Sensing Technology; Information management; Inspection; Monitoring; Unmanned aerial vehicles (UAV); Wages; Economic level; Environmental problems; Hidden safety hazard; Monitoring and management systems; Monitoring management; Sensing technology; Three dimensional visualization; UAV inspection; Wireless sensing; Wireless sensing technology; Three dimensional computer graphics</t>
  </si>
  <si>
    <t>10.1109/ICETCI55101.2022.9832098</t>
  </si>
  <si>
    <t>https://www.scopus.com/inward/record.uri?eid=2-s2.0-85136325924&amp;doi=10.1109%2fICETCI55101.2022.9832098&amp;partnerID=40&amp;md5=8a8e02bdcd2f8a7054fc650b6548bfe5</t>
  </si>
  <si>
    <t>P33</t>
  </si>
  <si>
    <t>Usamentiaga, R.</t>
  </si>
  <si>
    <t>Semiautonomous Pipeline Inspection Using Infrared Thermography and Unmanned Aerial Vehicles</t>
  </si>
  <si>
    <t>Pipeline inspection is crucial to ensure the safe and efficient operation of pipelines, as well as to prevent potential hazards and disruptions in the transportation of materials. To address this challenge, this work proposes an innovative semiautonomous inspection method that uses unmanned aerial vehicles and infrared thermography to efficiently inspect pipelines. The approach combines the benefits of automated flight and high-speed data acquisition with advanced data processing techniques, enabling the detection of hidden defects and abnormal temperature patterns in pipelines. The proposed procedure presents a comprehensive operational approach that covers the entire inspection process, including flight configuration, data acquisition, and processing. The proposed method for data processing is automated, utilizing vision-based detection and tracking techniques, and leveraging the power of deep learning algorithms to ensure robust analysis and inspection. A novel active learning procedure is also proposed, further improving the efficiency and effectiveness of the pipeline inspection process. Extensive tests demonstrate the effectiveness of the proposed procedure in industrial applications. The proposed thermographic system enables the detection and localization of insulation defects and product leaks in pipes, which are critical for maintaining pipeline integrity.  © 2005-2012 IEEE.</t>
  </si>
  <si>
    <t>Active learning; detection and tracking; infrared thermography; pipeline inspection; unmanned aerial vehicles (UAVs); Aircraft detection; Antennas; Data acquisition; Data handling; Deep learning; Defects; Drones; Inspection; Learning algorithms; Materials handling; Pipelines; Temperature measurement; Active Learning; Aerial vehicle; Detection and tracking; Flight speed; High speed data acquisition; Inspection methods; Inspection process; Pipeline inspection; Potential hazards; Unmanned aerial vehicle; Thermography (imaging)</t>
  </si>
  <si>
    <t>10.1109/TII.2023.3295409</t>
  </si>
  <si>
    <t>https://www.scopus.com/inward/record.uri?eid=2-s2.0-85165902794&amp;doi=10.1109%2fTII.2023.3295409&amp;partnerID=40&amp;md5=385eb2b3dbf6371f7de29f8e754bf0ec</t>
  </si>
  <si>
    <t>P330</t>
  </si>
  <si>
    <t>Horovitz, S.; Zexer, I.; Ganot, B.</t>
  </si>
  <si>
    <t>UAVDome - Safe UAV Transportation</t>
  </si>
  <si>
    <t>With the rise of UAVs/drones in modern transportation and logistics, their security is being challenged and threatened both in frequency and sophistication. This creates the need for better secure drones in the commercial and military sectors. Several solutions are available, mainly relying on encryption or modified antennas, but those are often expensive or require extensive modification to the communication infrastructure, increasing the total cost and not applicable for commercial drones. Moreover, software based solutions are either limited to attack detection and rely on external or limited data sets. Other solutions require a camera which again can be attacked easily and limited during nighttime. This paper presents UAVDome, a machine learning-based solution that detects GPS attacks on drones and provides a unique return-to-home functionality without relying on GPS or camera sensors. The solution implements a virtual GPS that predicts the drone's relative position using internal sensors only preventing the effect of external attacks without relying on any external data or communication. Experiments present the solution feasibility with minimal loss. © 2022 IEEE.</t>
  </si>
  <si>
    <t>drone; GPS; spoofing; UAV; Aircraft detection; Cameras; Cryptography; Global positioning system; Attack detection; Camera sensor; Commercial sector; Communication infrastructure; Limited data sets; Machine-learning; Military sectors; Relative positions; Software-based solutions; Spoofing; Drones</t>
  </si>
  <si>
    <t>10.1109/ICITE56321.2022.10101441</t>
  </si>
  <si>
    <t>https://www.scopus.com/inward/record.uri?eid=2-s2.0-85158817834&amp;doi=10.1109%2fICITE56321.2022.10101441&amp;partnerID=40&amp;md5=081290d109f0e02fbb987dfb03928a03</t>
  </si>
  <si>
    <t>P331</t>
  </si>
  <si>
    <t>Tran, T.D.; Thiriet, J.-M.; Marchand, N.; El Mrabti, A.</t>
  </si>
  <si>
    <t>A Cybersecurity Risk Framework for Unmanned Aircraft Systems under Specific Category</t>
  </si>
  <si>
    <t>Nowadays, safety and cybersecurity are some of the most important issues involving the development of Unmanned Aircraft System (UAS) operations. For safety, the lawmakers and aviation authorities have a lot of efforts to establish an adequate safety level for UAS operations within the current airspace system. One of them is the Specific Operation Risk Assessment (SORA) methodology developed by Joint Authorities for Rulemaking on Unmanned Aircraft System (JARUS). This methodology provides a guide to conduct risk assessments for UAS operations under the Specific Category. However, the methodology supports only some problems related to safety. In this paper, we introduce our approach to extend the SORA methodology toward cybersecurity. We illustrate this approach by extending the methodology to cover the privacy problem - an aspect related to cybersecurity. Besides that, we also introduce our supporting tool in the form of a web application that helps users conduct automatic risk assessments. © 2021, The Author(s), under exclusive licence to Springer Nature B.V.</t>
  </si>
  <si>
    <t>Cybersecurity; Privacy; risk assessment; SORA; Specific operation; UAS; Cybersecurity; Risk assessment; Safety engineering; Cyber security; Operation risk; Privacy; Risk assessment methodologies; Risks assessments; Specific operation; Specific operation risk assessment; Systems operation; Unmanned aircraft system; Unmanned aerial vehicles (UAV)</t>
  </si>
  <si>
    <t>10.1007/s10846-021-01512-0</t>
  </si>
  <si>
    <t>https://www.scopus.com/inward/record.uri?eid=2-s2.0-85121034284&amp;doi=10.1007%2fs10846-021-01512-0&amp;partnerID=40&amp;md5=58ffba7f3913c598fce9c5c80a5eeed9</t>
  </si>
  <si>
    <t>P332</t>
  </si>
  <si>
    <t>Rugo, A.; Ardagna, C.A.; Ioini, N.E.</t>
  </si>
  <si>
    <t>A Security Review in the UAVNet Era: Threats, Countermeasures, and Gap Analysis</t>
  </si>
  <si>
    <t>Unmanned Aerial Vehicles (UAVs) are becoming one of the main technological supports for commercial applications, embracing many domains ranging from human safety to the medical field, agriculture and environment, multimedia production, and even commercial delivery. This rise in popularity, however, is causing an increasing interest from criminals, making UAVs the target of new attacks. To fully characterize the current UAV cybersecurity landscape, we perform a complete literature review, digging into drone security historic facts and scientific studies on the matter, reviewing specialized articles and scientific papers focusing on cybersecurity threats and gaps in the context of small UAVs in commercial applications. Being a recent research and development area, most of the articles have been published between 2016 and 2020 as a direct consequence of the increase of security concerns and interest in the drone field. Papers in this review deal with UAV cyberthreats and related vulnerabilities, identifying flaws experimented in a lab or describing incidents detected in the field. Communication, sensors, and system misconfigurations are among the most important threat vectors, while sensor spoofing/jamming and malware DoS/control are among the most cited threats. Threat vectors permit depicting a complete overview of the topic and potential countermeasures known to date, with related gap analysis, also accounting for the recent Unmanned Aircraft System evolution toward ad hoc or cloud-based UAV networks. Countermeasures include the adoption of traditional communication encryption and standard protocols, GPS spoofing/jamming mitigation, encryption and privacy-aware implementations, and counter-malware techniques, to name the most adopted. It also emerges that often attacks are simply ported or adapted from other attacks in similar domains, while peculiar attacks still remain such as targeted physical attacks, specific UAV malware, and GPS spoofing/jamming.  © 2022 Association for Computing Machinery.</t>
  </si>
  <si>
    <t>Cybersecurity; threats; unmanned aerial vehicles; unmanned aircraft systems; Antennas; Commercial vehicles; Cryptography; Drones; Malware; Mobile security; Aerial vehicle; Commercial applications; Countermeasure analysis; Cyber security; Gap analysis; Malwares; Threat; Threats analysis; Unmanned aerial vehicle; Unmanned aircraft system; Cybersecurity</t>
  </si>
  <si>
    <t>10.1145/3485272</t>
  </si>
  <si>
    <t>https://www.scopus.com/inward/record.uri?eid=2-s2.0-85127210838&amp;doi=10.1145%2f3485272&amp;partnerID=40&amp;md5=c488c9ff2cb749069d1ff3a2c0d73afc</t>
  </si>
  <si>
    <t>P333</t>
  </si>
  <si>
    <t>Aydın, S.; Kahraman, C.</t>
  </si>
  <si>
    <t>Aviation 4.0 Revolution</t>
  </si>
  <si>
    <t>The concept of Industry 4.0 arose in Germany in 2011 and spread to other countries. Industry 4.0 refers to a strategic step that was introduced by the German government seeking ways to change industrial manufacturing through digitalization and the development of new technologies. It introduced the world with new technologies such as cybersecurity, big data, the cloud, simulations, augmented reality, additive manufacturing, etc. The technologies also spread to other fields of business sectors such as aviation, agriculture, health, etc. Thanks to these technologies aviation sector underwent a change named Aviation 4.0. In this chapter, we first discuss the Industry revolution, Industry 4.0, and its technologies. Then, we explain Aviation 4.0 and technologies used in Aviation 4.0. Aviation 4.0 technologies are divided into three categories as follows: Ground services application in Aviation 4.0., Maintenance and production in Aviation 4.0, Unmanned aerial vehicles technology in Aviation 4.0. Furthermore, we give a brief discussion about Aviation 5.0. Finally, the conclusion is given. © 2022, The Author(s), under exclusive license to Springer Nature Switzerland AG.</t>
  </si>
  <si>
    <t>Aviation; Aviation 4.0; Aviation 5.0; Industry 4.0</t>
  </si>
  <si>
    <t>10.1007/978-3-030-75067-1_1</t>
  </si>
  <si>
    <t>https://www.scopus.com/inward/record.uri?eid=2-s2.0-85114857891&amp;doi=10.1007%2f978-3-030-75067-1_1&amp;partnerID=40&amp;md5=87d130c02cc69a61ccd188fc26cb00c6</t>
  </si>
  <si>
    <t>P334</t>
  </si>
  <si>
    <t>Tanveer, M.; Khan, A.U.; Kumar, N.; Hassan, M.M.</t>
  </si>
  <si>
    <t>RAMP-IoD: A Robust Authenticated Key Management Protocol for the Internet of Drones</t>
  </si>
  <si>
    <t>Internet of Drones (IoD) is the interconnection of unmanned aerial vehicles or drones deployed for collecting sensitive data to be used in critical applications. The drones transmit the collected data to the control room (CR) for analysis, while CR sends control commands to the drone to monitor their operations. This exchange of information between the drones and CR takes place through a wireless communication channel, which is susceptible to various security risks. Therefore, it is vital to ensure the confidentiality and integrity of such information in the IoD environment. To this end, authenticated key management (AKM) protocols can be leveraged to provide reliable and secure communication. However, due to the peculiarities associated with IoD environments, it is challenging to devise a robust and resource-efficient AKM protocol. To tackle this challenge, in this article, we propose a robust AKM protocol for IoD (RAMP-IoD). RAMP-IoD uses lightweight cryptography-based authenticated encryption primitive and elliptic-curve cryptography along with a hash function to perform the AKM process. Moreover, RAMP-IoD verifies the user's authenticity and then sets up a session key (SK) between the user and a specific drone for indecipherable communications. We verify the security of SK using the random oracle model. Scyther-based validation demonstrates that RAMP-IoD is protected against replay and man-in-the-middle attacks. Moreover, the informal analysis illustrates that RAMP-IoD is secure against various covert security attacks. Through a comparative study, we also demonstrate that RAMP-IoD provides enhanced security with low storage, communication, and computational overheads as compared to related AKM protocols. © 2014 IEEE.</t>
  </si>
  <si>
    <t>Access control; authenticated encryption with associative data (AEAD); authentication; Internet of Drones (IoD); security; Antennas; Authentication; Data privacy; Digital storage; Hash functions; Public key cryptography; Authenticated encryption; Computational overheads; Critical applications; Elliptic curve cryptography; Exchange of information; Key management protocols; Light-weight cryptography; Wireless communication channels; Drones</t>
  </si>
  <si>
    <t>10.1109/JIOT.2021.3084946</t>
  </si>
  <si>
    <t>https://www.scopus.com/inward/record.uri?eid=2-s2.0-85107327322&amp;doi=10.1109%2fJIOT.2021.3084946&amp;partnerID=40&amp;md5=ddd2eab1840d49fcc6209912b725b45e</t>
  </si>
  <si>
    <t>P335</t>
  </si>
  <si>
    <t>Agyemang, I.O.; Zhang, X.; Adjei-Mensah, I.; Agbley, B.L.Y.; Mawuli, B.C.; Fiasam, L.D.; Sey, C.</t>
  </si>
  <si>
    <t>Accelerating trail navigation for unmanned aerial vehicle: A denoising deep-net with 3D-NLGL</t>
  </si>
  <si>
    <t>Waypoints have enhanced the prospect of fully autonomous drone applications. However, Geographical Position System (GPS) spoofing and signal interferences are key issues in waypoint-based drone applications. Also, conceptual waypoint-based drone applications require accurate awareness of waypoints based on environmental cues and integration of additional sensing modalities. Additional sensor modalities may overwhelm drones' processing resources, reducing operational time. This study proposes W-MobileNet, a denoising model for autonomous trajectory trail navigation based on precision control of a path planner, denoising capabilities of Weiner filters, and perceptual knowledge of convolutional neural networks. Creatively integrating the modules of W-MobileNet results in an intuitive drone navigation controller characterized by position, orientation, and speed estimation. Further, a generic loss function that significantly aids models to converge faster during training is proposed based on adaptive weights. An extensive evaluation of a simulated and real-world experiment shows that W-MobileNet is more favorable in precision and robustness than contemporary state-of-the-art models. W-MobileNet has the potential to become one of the standards for autonomous drone applications.  © 2022 - IOS Press.</t>
  </si>
  <si>
    <t>autonomous; deep convolutional neural network; drone; Navigation; unmanned aerial vehicle; waypoint; Air navigation; Antennas; Convolution; Convolutional neural networks; Deep neural networks; Aerial vehicle; Autonomous; Convolutional neural network; De-noising; Deep convolutional neural network; Geographical positions; Key Issues; Position systems; Unmanned aerial vehicle; Waypoints; Drones</t>
  </si>
  <si>
    <t>10.3233/JIFS-220693</t>
  </si>
  <si>
    <t>https://www.scopus.com/inward/record.uri?eid=2-s2.0-85145655997&amp;doi=10.3233%2fJIFS-220693&amp;partnerID=40&amp;md5=cb3b4046d51e958206bbee729532a875</t>
  </si>
  <si>
    <t>P336</t>
  </si>
  <si>
    <t>Kaushik, K.; Negi, R.; Dev, P.</t>
  </si>
  <si>
    <t>An electronic warfare approach for deploying a software-based Wi-Fi jammer</t>
  </si>
  <si>
    <t>Some prominent instances have been centered on electronic warfare. For example, the American military has made significant investments in automation through UAV programs, only for competitors like the Iranians to create strategies to interfere with these systems. Iran managed to capture a top-secret U.S. surveil-lance drone by fooling it into descending in the incorrect place by jamming its control signals and providing it with bogus GPS data. In this paper, the authors have focused on the electronic warfare approach for deploying a software-based Wi-Fi jammer. The software-based Wi-Fi jammer can disconnect the targets using the DoS pursuit mode. The paper describes the unique methodology of how software can also be used for jamming wireless signals.  © 2022 IEEE.</t>
  </si>
  <si>
    <t>Electronic Warfare; Wi-Fi; Wi-Fi Jammer; Wireless; wireless attacks; Jamming; Wireless local area networks (WLAN); Control signal; GPS data; Jammers; UAV program; Wi-fi jammer; Wireless attack; Wireless signals; Wi-Fi</t>
  </si>
  <si>
    <t>10.1109/IC3I56241.2022.10073447</t>
  </si>
  <si>
    <t>https://www.scopus.com/inward/record.uri?eid=2-s2.0-85152034263&amp;doi=10.1109%2fIC3I56241.2022.10073447&amp;partnerID=40&amp;md5=4ef88b14ce57734483002a550fd37c03</t>
  </si>
  <si>
    <t>P337</t>
  </si>
  <si>
    <t>Liu, S.; Chen, J.; Hong, G.; Cao, L.; Wu, M.</t>
  </si>
  <si>
    <t>Research on Safety Risks and Safety Protection of UAV System</t>
  </si>
  <si>
    <t>With the advent of the Internet of Things era, China's various industries have undergone earth-shaking changes, especially the drone information industry, which has been rapidly developed under the impetus of the Internet of Things era, However, with the continuous development of network technology, the network structure has become more and more complex, and the types of network attacks have varied, Unmanned aerial vehicle systems have appeared security risks in the application of network platform information, These hidden dangers have caused the progress and development of the drone information industry with great negative impact, In this regard, this article will conduct research on the content of UAV system security risks and security protection, which can provide a basis for the effective assessment of UAV system network security risks, and provide references for UAV system security and data security hidden danger solutions and thereby reducing the security risks and losses of the drone information industry.  © 2022 ACM.</t>
  </si>
  <si>
    <t>network security; security protection; security risk; UAV system; Accident prevention; Antennas; Cybersecurity; Internet of things; Network security; Risk assessment; Continuous development; Information industry; Network technologies; Networks security; Safety protection; Safety risks; Security protection; Security risks; System security; UAV systems; Drones</t>
  </si>
  <si>
    <t>10.1145/3558819.3565182</t>
  </si>
  <si>
    <t>https://www.scopus.com/inward/record.uri?eid=2-s2.0-85149942126&amp;doi=10.1145%2f3558819.3565182&amp;partnerID=40&amp;md5=29a3fc94d7bf12fb56eee337068c0d49</t>
  </si>
  <si>
    <t>P338</t>
  </si>
  <si>
    <t>Chiper, F.-L.; Martian, A.; Muscalu, D.-I.; Vladeanu, C.; Marghescu, I.</t>
  </si>
  <si>
    <t>Aerial Drone Defense System based on Software Defined Radio Platforms</t>
  </si>
  <si>
    <t>With the ever-increasing number of commercial unmanned aerial vehicles (U A V) or drones, the necessity of designing and implementing systems that are able to provide protection against related security threats became a critical issue. Many agencies and governmental institutions started to develop anti-drone solutions using different approaches. In this paper, a review of mobile drone defense systems (DDS) is made, and an aerial DDS based on software defined radio (SDR) platforms is proposed. The proposed DDS is described from both hardware and software points of view. The three functions that are implemented: detection, localization and defense are detailed.  © 2022 IEEE.</t>
  </si>
  <si>
    <t>drone; drone defense system; jamming; software defined radio; spectrum sensing; UAV; Analog circuits; Antennas; Commercial vehicles; Jamming; Mobile security; Network security; Radio; Radio receivers; Software radio; Aerial vehicle; Critical issues; Defence systems; Drone defense system; Governmental institution; Jamming; Radio platforms; Security threats; Software-defined radios; Spectrum sensing; Drones</t>
  </si>
  <si>
    <t>10.1109/COMM54429.2022.9817314</t>
  </si>
  <si>
    <t>https://www.scopus.com/inward/record.uri?eid=2-s2.0-85135184003&amp;doi=10.1109%2fCOMM54429.2022.9817314&amp;partnerID=40&amp;md5=86b696c36c76604c8a6c3b5b281a51ce</t>
  </si>
  <si>
    <t>P339</t>
  </si>
  <si>
    <t>Sidharthan, S.; Ashok, A.; Bourgeois, A.</t>
  </si>
  <si>
    <t>Internet service via UAV: User centric comprehensive attack surface analysis</t>
  </si>
  <si>
    <t>Usage of Unmanned Aerial Vehicles (UAVs) in civil application domains such as real-time monitoring, wireless internet, remote sensing, delivery of foods, security, and surveillance, and industrial infrastructure inspection has grown rapidly in recent times. The proliferation of UAVs in commercial and civilian use has increased the importance of security in these applications. In this paper, we are exploring the security threats associated with a civilian UAV use case. We are addressing the use case of UAVs providing internet to users and exploring the attack surface of UAV internet scenarios specifically focused on user-level security. We list specific threats associated with UAV internet scenarios and compiles various attack vectors to present a comprehensive attack surface analysis. This research work has identified 4 attack cases for the initial study. 1) Malicious UAV trying to exploit a user through the service. 2) Adversary targeting the legitimate UAV and users connected to the service. 3) User is targeted through malicious entity or a program in the user's device, and 4) External entity or a hacker attacking the user through a UAV communication channel. We are exploring the attack surfaces of the UAV internet use case extending the 4 cases mentioned above.  © 2021 ACM.</t>
  </si>
  <si>
    <t>adversary; attack surface analysis; drone; internet of drone (IoD); threat vectors; UAV; Antennas; Drones; Personal computing; Remote sensing; Surface analysis; Web services; Adversary; Applications domains; Attack surface analyse; Civil applications; Drone; Internet of drone; Internet-services; Threat vector; User-centric; Vehicle users; Network security</t>
  </si>
  <si>
    <t>10.1145/3477087.3478379</t>
  </si>
  <si>
    <t>https://www.scopus.com/inward/record.uri?eid=2-s2.0-85119279268&amp;doi=10.1145%2f3477087.3478379&amp;partnerID=40&amp;md5=c5ca3d69476020ccdde64f9885ca01ff</t>
  </si>
  <si>
    <t>P34</t>
  </si>
  <si>
    <t>Tedeschi, P.; Al Nuaimi, F.A.; Awad, A.I.; Natalizio, E.</t>
  </si>
  <si>
    <t>Privacy-Aware Remote Identification for Unmanned Aerial Vehicles: Current Solutions, Potential Threats, and Future Directions</t>
  </si>
  <si>
    <t>The Federal Aviation Administration (FAA) recently introduced a new standard, namely, remote identification, to improve accountability for unmanned aerial vehicles (UAVs) operations. This rule requires UAV operators to broadcast messages revealing sensitive data, such as identity and location on the wireless channel. However, this leads to security and privacy concerns among UAV operators. Unauthorized parties may easily discover the location and identity of a UAV flying in a specific area and launch attacks on it such as using wireless jamming or tracking its activity. This review investigates and systematizes the main weaknesses affecting the Remote ID capability required of modern UAVs, and the approaches through which attackers can exploit these weaknesses to disrupt safety and accountability. Moreover, this article analyzes current solutions that mitigate privacy issues associated with Remote ID. Finally, we identify multiple challenges that require to be addressed by both industry and academia, and we propose future research directions to improve the security and privacy of UAVs.  © 2005-2012 IEEE.</t>
  </si>
  <si>
    <t>Anonymity; privacy; remote ID; security; unmanned aerial vehicles (UAVs); Aircraft detection; Antennas; Sensitive data; Aerial vehicle; Anonymity; Privacy; Regulation; Remote ID; Security; Unmanned aerial vehicle; Wireless fidelities; Drones</t>
  </si>
  <si>
    <t>10.1109/TII.2023.3280325</t>
  </si>
  <si>
    <t>https://www.scopus.com/inward/record.uri?eid=2-s2.0-85161566703&amp;doi=10.1109%2fTII.2023.3280325&amp;partnerID=40&amp;md5=043b80e3beae5c9cd14d89251928abb8</t>
  </si>
  <si>
    <t>P340</t>
  </si>
  <si>
    <t>Usman, M.; Amin, R.; Aldabbas, H.; Alouffi, B.</t>
  </si>
  <si>
    <t>Lightweight Challenge-Response Authentication in SDN-Based UAVs Using Elliptic Curve Cryptography</t>
  </si>
  <si>
    <t>Unmanned aerial vehicles (UAVs) (also known as drones) are aircraft that do not require the presence of a human pilot to fly. UAVs can be controlled remotely by a human operator or autonomously by onboard computer systems. UAVs have many military uses, including battlefield surveillance, effective target tracking and engagement in air-to-ground warfare, and situational awareness in challenging circumstances. They also offer a distinct advantage in various applications such as forest fire monitoring and surveillance. Surveillance systems are developed using advanced technologies in the modern era of communications and networks. As a result, UAVs require enhancements to control and manage systems efficiently. Network security is a critical concern with respect to UAVs due to the risk of surveillance information theft and physical misuse. Although several new tools have been introduced to secure networks, attackers can use more advanced methods to get into a UAV network and create problems that pose an organizational threat to the entire system. Security mechanisms also reduce the performance of systems because some restrictive measures prevent users from accessing specific resources, but a few techniques and tools have overcome the problem of performance reduction in various scenarios. There are many types of attacks, i.e., denial of service attacks (DOS), distributed denial of service attacks (DDOS), address resolution protocol (ARP) spoofing, sniffing, etc., that make it challenging to maintain a UAV network. This research paper proposes a lightweight challenge-response authentication that can overcome the previously mentioned problems. As security is provided by utilizing a minimum number of bits in memory, this technique offers the same security features while using fewer network resources, low computing resources, and low power consumption. © 2022 by the authors. Licensee MDPI, Basel, Switzerland.</t>
  </si>
  <si>
    <t>attacks; authentication; elliptic curve; software defined network; UAV</t>
  </si>
  <si>
    <t>10.3390/electronics11071026</t>
  </si>
  <si>
    <t>https://www.scopus.com/inward/record.uri?eid=2-s2.0-85127045058&amp;doi=10.3390%2felectronics11071026&amp;partnerID=40&amp;md5=c5feba9b1460f12395711476d0d4228c</t>
  </si>
  <si>
    <t>P341</t>
  </si>
  <si>
    <t>Khan, A.; Ivaki, N.; Madeira, H.</t>
  </si>
  <si>
    <t>Are UAVs' Flight Controller Software Reliable?</t>
  </si>
  <si>
    <t>Unmanned Ariel Vehicles (UAVs) are recently being studied and worked upon to make them safe and secure for the upcoming expected growth of UAVs in civilian airspace. These efforts resulted in services such as Unmanned Aircraft System Traffic Management (UTM) or U-space in Europe, providing services to regularize and organize (pre-flight), monitor/track (during the flight) drones in civilian airspace while avoiding collisions. The primary source of information for tracking drones during flight is GPS positioning data, which is used and filtered (after being fused with the other sensors' data) by the flight controller software to estimate the vehicle position, velocity, and orientation. Extended Kalman Filter (EKF), which is used in most open-source flight controllers such as PX4, is responsible for doing this estimation. This makes EKF a critical component of the whole system. This paper aims to study the reliability of flight controllers and their core component, namely EKF, in the presence of GPS-related failures. To do so, we injected faults (i.e., we emulated failures indeed) on GPS raw data ranging from small noises to complete failure (missing GPS signals) and GPS spoofing to study their impact on EKF estimation and on the system as a whole. We observed that for small faults (e.g., Fixed Small Noise or Freeze Values), EKF is efficient and can tolerate/compensate the faults, whereas there is a gap in the filter for handling bigger anomalies (e.g., Invalid Values or Random Values) in the GPS data. Our research also clearly demonstrates that GPS faults lasting 30 seconds or more have a noticeable effect, which represents a clear vulnerability since GPS can be subject of cyber attacks such as spoofing. The quantification of the impact of GPS-related failures in the PX4 is an essential step to measure and improve the reliability of UAVs' flight controller software.  © 2022 IEEE.</t>
  </si>
  <si>
    <t>Extended Kalman Filter (EKF); Fault Injection; Flight Controller Software; Reliability; UAVs; Aircraft accidents; Aircraft control; Aircraft detection; Controllers; Drones; Global positioning system; Information filtering; Network security; Open source software; Software reliability; Civilian airspace; Extended kalman filter; Fault injection; Flight controller software; Flight controllers; Pre-flight; Primary sources; Traffic management; Unmanned aircraft system; Unmanned ariel vehicles; Extended Kalman filters</t>
  </si>
  <si>
    <t>10.1109/PRDC55274.2022.00033</t>
  </si>
  <si>
    <t>https://www.scopus.com/inward/record.uri?eid=2-s2.0-85147841486&amp;doi=10.1109%2fPRDC55274.2022.00033&amp;partnerID=40&amp;md5=df7068670d40f9e80b610867875334ba</t>
  </si>
  <si>
    <t>P342</t>
  </si>
  <si>
    <t>A Multiagent and Machine Learning Based Denial of Service Intrusion Detection System for Drone Networks</t>
  </si>
  <si>
    <t>The objective of this research work was to propose a model based on Muli-Agent System and on machine learning techniques to detect Denial of Service (DoS) cyber-attacks targeting the networks of drones. The proposed model is autonomous, characterized by its high performance and enables the detection of known and unknown DoS attacks in UAV networks with high accuracy and low false-positives and false-negatives rates. This approach is intended to address the security vulnerabilities of drone-based infrastructures and to show how important this topic is, given that little attention is paid by the scientific community to the security aspect of drones. The detection of DoS attacks is an indispensable security measure to ensure the high availability of drone systems typically used in emergency situations (Intelligent Health and Public Safety Systems) where geospatial information is sensitive and highly critical. The proposed approach has made it possible to detect DoS attacks using multi-agent systems and the machine learning Decision Tree algorithm, which was chosen after testing several machine learning algorithms (Such as Random Forest, Decision Tree, Tree Ensemble, Naïve Bayes, Support Vector Machine…) on the CICIDS2017 which is a reference dataset used by researchers working on Network Intrusion Detection Systems (NIDS). The results of the experiment were conclusive and demonstrated the efficiency and effectiveness of our system in detecting DoS attacks with 100% of accuracy and with null rates of false positive and false negative. © 2022, The Author(s), under exclusive license to Springer Nature Switzerland AG.</t>
  </si>
  <si>
    <t>CICIDS2017; Denial of service; Geospatial data; Intrusion detection; Machine learning; Muli-agent systems; Network of drones</t>
  </si>
  <si>
    <t>10.1007/978-3-030-80458-9_5</t>
  </si>
  <si>
    <t>https://www.scopus.com/inward/record.uri?eid=2-s2.0-85119113545&amp;doi=10.1007%2f978-3-030-80458-9_5&amp;partnerID=40&amp;md5=1794e0b20d25ad9c1e9b5c78e3af277c</t>
  </si>
  <si>
    <t>P343</t>
  </si>
  <si>
    <t>Baig, Z.; Syed, N.; Mohammad, N.</t>
  </si>
  <si>
    <t>Securing the Smart City Airspace: Drone Cyber Attack Detection through Machine Learning</t>
  </si>
  <si>
    <t>Drones are increasingly adopted to serve a smart city through their ability to render quick and adaptive services. They are also known as unmanned aerial vehicles (UAVs) and are deployed to conduct area surveillance, monitor road networks for traffic, deliver goods and observe environmental phenomena. Cyber threats posed through compromised drones contribute to sabotage in a smart city’s airspace, can prove to be catastrophic to its operations, and can also cause fatalities. In this contribution, we propose a machine learning-based approach for detecting hijacking, GPS signal jamming and denial of service (DoS) attacks that can be carried out against a drone. A detailed machine learning-based classification of drone datasets for the DJI Phantom 4 model, compromising both normal and malicious signatures, is conducted, and results obtained yield advisory to foster futuristic opportunities to safeguard a drone system against such cyber threats. © 2022 by the authors. Licensee MDPI, Basel, Switzerland.</t>
  </si>
  <si>
    <t>criminal activity; cyber attacks; drones; machine learning; Aircraft detection; Antennas; Classification (of information); Crime; Cybersecurity; Denial-of-service attack; Machine learning; Network security; Smart city; Adaptive services; Aerial vehicle; Attack detection; Criminal activities; Cyber threats; Cyber-attacks; Environmental phenomena; Learning-based approach; Machine-learning; Road network; Drones</t>
  </si>
  <si>
    <t>10.3390/fi14070205</t>
  </si>
  <si>
    <t>https://www.scopus.com/inward/record.uri?eid=2-s2.0-85133522893&amp;doi=10.3390%2ffi14070205&amp;partnerID=40&amp;md5=ef36d03bd9cdbd6220269bce9d7e8c7a</t>
  </si>
  <si>
    <t>P344</t>
  </si>
  <si>
    <t>Alrefaei, F.; Alzahrani, A.; Song, H.; Alrefaei, S.</t>
  </si>
  <si>
    <t>A Survey on the Jamming and Spoofing attacks on the Unmanned Aerial Vehicle Networks</t>
  </si>
  <si>
    <t>Recently, unmanned aerial vehicles (UAVs) have attracted the attention of companies, governments, and organizations to execute strategic missions. The security of UAVs network has become an urgent need to avoid disastrous consequences. For example, jamming and spoofing attacks are the most dangerous attacks used frequently against UAV networks. The jamming attack is a stealthy attack that is hard to detect and leads to the unavailability of the service over the wireless network. In some cases, non-malicious interference and congestion in the network are similar to a jamming attack. Therefore, an efficient anomaly detection technique must distinguish behaviors in the drone's wireless network as normal or abnormal behavior. Furthermore, the spoofing attack targets the Global Position System (GPS) signal to manipulate it and deviate the UAV to the adversary's extreme zones. Some detection methods used to defend against GPS spoofing attacks are classified into three categories: digital signatures, encryption, and some characteristics of Automatic Dependable Surveillance-Broadcast (ADS-B). This article reviews the impact of the jamming and spoofing attack on the UAV wireless network and the previous conventional security detection and defense mechanism. Additionally, it addresses the benefit of deep learning technology to show how it is effective when it applies to protecting UAV networks.  © 2022 IEEE.</t>
  </si>
  <si>
    <t>cyber attack; deep learning; jamming attack; orthogonal frequency; UAV; Aircraft detection; Anomaly detection; Antennas; Cryptography; Cybersecurity; Deep learning; Global positioning system; Jamming; Mobile security; Network security; Security systems; Unmanned aerial vehicles (UAV); Aerial vehicle; Anomaly detection; Cyber-attacks; Deep learning; Global position systems; Jamming attacks; Orthogonal frequencies; Spoofing attacks; Unmanned aerial vehicle; Vehicle network; Wireless networks</t>
  </si>
  <si>
    <t>10.1109/IEMTRONICS55184.2022.9795809</t>
  </si>
  <si>
    <t>https://www.scopus.com/inward/record.uri?eid=2-s2.0-85133850385&amp;doi=10.1109%2fIEMTRONICS55184.2022.9795809&amp;partnerID=40&amp;md5=c052f354514a45765ce16a37fb0d7102</t>
  </si>
  <si>
    <t>P345</t>
  </si>
  <si>
    <t>41st International Conference on Computer Safety, Reliability and Security, SAFECOMP 2022</t>
  </si>
  <si>
    <r>
      <rPr>
        <sz val="11"/>
        <color rgb="FF000000"/>
        <rFont val="Calibri"/>
        <family val="2"/>
        <scheme val="minor"/>
      </rPr>
      <t xml:space="preserve">The proceedings contain 24 papers. The special focus in this conference is on Computer Safety, Reliability and Security. The topics include: STPA-Driven Multilevel Runtime Monitoring for In-Time Hazard Detection; proposal of Cybersecurity and Safety Co-engineering Approaches on Cyber-Physical Systems; On the Feasibility and Performance of Secure OPC UA Communication with IIoT Devices; SailFAIL: Model-Derived Simulation-Assisted ISA-Level Fault-Injection Platforms; quality of Fault Injection Strategies on Hardware Accelerator; </t>
    </r>
    <r>
      <rPr>
        <sz val="11"/>
        <color rgb="FFFF0000"/>
        <rFont val="Calibri"/>
        <family val="2"/>
        <scheme val="minor"/>
      </rPr>
      <t>assessment of the Impact of U-space Faulty Conditions on Drones Conflict Rate</t>
    </r>
    <r>
      <rPr>
        <sz val="11"/>
        <color rgb="FF000000"/>
        <rFont val="Calibri"/>
        <family val="2"/>
        <scheme val="minor"/>
      </rPr>
      <t>; ACTOR: Accelerating Fault Injection Campaigns Using Timeout Detection Based on Autocorrelation; formally Compensating Performance Limitations for Imprecise 2D Object Detection; architectural Patterns for Handling Runtime Uncertainty of Data-Driven Models in Safety-Critical Perception; bayesianSafety - An Open-Source Package for Causality-Guided, Multi-model Safety Analysis; Hardware Faults that Matter: Understanding and Estimating the Safety Impact of Hardware Faults on Object Detection DNNs; Application of STPA for the Elicitation of Safety Requirements for a Machine Learning-Based Perception Component in Automotive; Exploring a Maximal Number of Relevant Obstacles for Testing UAVs; data-Driven Assessment of Parameterized Scenarios for Autonomous Vehicles; optimising the Reliability that Can Be Claimed for a Software-Based System Based on Failure-Free Tests of Its Components; safety Certification with the Open Source Microkernel-Based Operating System L4Re; data-Driven Inference of Fault Tree Models Exploiting Symmetry and Modularization; ARACHNE: Automated Validation of Assurance Cases with Stochastic Contract Networks; automating Pattern Selection for Assurance Case Development for Cyber-Physical Systems; generating Assurance Cases Using Workflow+ Models; Uncertainty Elicitation and Propagation in GSN Models of Assurance Cases; impact of Machine Learning on Safety Monitors.</t>
    </r>
  </si>
  <si>
    <t>https://www.scopus.com/inward/record.uri?eid=2-s2.0-85137973519&amp;partnerID=40&amp;md5=069fe95cae62316d5af641c463a6131c</t>
  </si>
  <si>
    <t>P346</t>
  </si>
  <si>
    <t>Ayati, S.A.; Naji, H.R.</t>
  </si>
  <si>
    <t>A Secure mechanism to protect UAV communications</t>
  </si>
  <si>
    <t>This paper presents a novel authentication method based on a distributed version of Kerberos for UAVs. One of the major problems of UAVs in recent years has been cyber-attacks which allow attackers to control the UAV or access its information. The growing use of UAVs has encouraged us to investigate the methods of their protection especially authentication of their users. In the past, the Kerberos system was rarely used for authentication in UAV systems. In our proposed method, based on a distributed version of Kerberos, we can authenticate multiple ground stations, users, and controllers for one or more UAVs. This method considers most of the security aspects to protect UAV systems mainly in the authentication phase and improves the security of UAVs and ground control stations and their communications considerably. © 2022 IEEE.</t>
  </si>
  <si>
    <t>Access Control; Cryptography; Distributed Systems; Internet of Drones; Internet of Things; Internet Security; IoT; Kerberos; Smart Cities; UAV; UAV Communication Network; Authentication; Cryptography; Cybersecurity; Internet of things; Network security; Rock mechanics; Smart city; Authentication methods; Distributed systems; Ground controllers; Ground stations; Internet of drone; Internet security; Kerberos; Multiple grounds; UAV communication networks; UAV systems; Drones</t>
  </si>
  <si>
    <t>10.1109/CFIS54774.2022.9756480</t>
  </si>
  <si>
    <t>https://www.scopus.com/inward/record.uri?eid=2-s2.0-85129532524&amp;doi=10.1109%2fCFIS54774.2022.9756480&amp;partnerID=40&amp;md5=7eff10f00f600b76f94e0136f91d6ca1</t>
  </si>
  <si>
    <t>P347</t>
  </si>
  <si>
    <t>Sallouha, H.; Chiumento, A.; Pollin, S.</t>
  </si>
  <si>
    <t>Aerial Vehicles Tracking Using Noncoherent Crowdsourced Wireless Networks</t>
  </si>
  <si>
    <t>Air traffic management (ATM) of manned and unmanned aerial vehicles (AVs) relies critically on ubiquitous location tracking. While technologies exist for AVs to broadcast their location periodically and for airports to track and detect AVs, methods to verify the broadcast locations and complement the ATM coverage are urgently needed, addressing anti-spoofing and safe coexistence concerns. In this work, we propose an ATM solution by exploiting noncoherent crowdsourced wireless networks (CWNs) and correcting the inherent clock-synchronization problems present in such non-coordinated sensor networks. While CWNs can provide a great number of measurements for ubiquitous ATM, these are normally obtained from unsynchronized sensors. This article first presents an analysis of the effects of lack of clock synchronization in ATM with CWN and provides solutions based on the presence of few trustworthy sensors in a large non-coordinated network. Secondly, autoregressive-based and long short-term memory (LSTM)-based approaches are investigated to achieve the time synchronization needed for localization of the AVs. Finally, a combination of a multilateration (MLAT) method and a Kalman filter is employed to provide an anti-spoofing tracking solution for AVs. We demonstrate the performance advantages of our framework through a dataset collected by a real-world CWN. Our results show that the proposed framework achieves localization accuracy comparable to that acquired using only GPS-synchronized sensors and outperforms the localization accuracy obtained based on state-of-the-art CWN synchronization methods.  © 1967-2012 IEEE.</t>
  </si>
  <si>
    <t>dynamic clock model; Kalman filter; Localization; multilateration; synchronization; TDoA; tracking; unmanned aerial vehicle (UAV); Advanced traffic management systems; Air traffic control; Aircraft detection; Antennas; Crowdsourcing; Location; Long short-term memory; Mechanical clocks; Synchronization; Time difference of arrival; Wireless sensor networks; Aerial vehicle; Air Traffic Management; Auto-regressive; Clock Synchronization; Localization accuracy; Synchronization method; Time synchronization; Tracking solutions; Internet protocols</t>
  </si>
  <si>
    <t>10.1109/TVT.2021.3103315</t>
  </si>
  <si>
    <t>https://www.scopus.com/inward/record.uri?eid=2-s2.0-85112535270&amp;doi=10.1109%2fTVT.2021.3103315&amp;partnerID=40&amp;md5=1018acfac76049061251eb322b218f35</t>
  </si>
  <si>
    <t>P348</t>
  </si>
  <si>
    <t>Aydln, E.E.; Kara, O.; Cakir, F.; Cansiz, B.S.; Secinti, G.; Canberk, B.</t>
  </si>
  <si>
    <t>Enabling Self-Organizing TDMA Scheduling for Aerial Swarms</t>
  </si>
  <si>
    <t>With the proliferation of affordable VTOL drones, application domain of aerial swarms expands everyday, spanning from public drone art to offensive military operations. Orchestrating these systems towards a successful mission, especially in contested environments, requires strict synchronization and reliable communication among network entities. Although using a ground controller with a long range link provides a cost-effective solution, it is extremely vulnerable to single-point of failure and/or jamming attacks. Thus, in contested environments, adapting ad-hoc policies is one of the most promising approaches, mitigating these vulnerabilities. However, existing ad-hoc approaches fail to sustain multi-hop connections, suffering from frequent topology changes and intermittent links due to dynamic environment. In this paper, we propose self-organizing TDMA (STDMA) protocol for aerial swarms in order to ensure reliable communication through efficient network management. We also partially implement our protocol on a small-scale test-bed and show that how drones are able to self-configure upon joining the network without any prior information. Our proposed STDMA protocol improves the overall channel utilization up to 55 percent with less control traffic overhead compared to the existing studies.  © 2022 ACM.</t>
  </si>
  <si>
    <t>ad hoc networks; aerial swarms; contention; protocol design; self-organizing time division multiple access (STDMA); Ad hoc networks; Antennas; Cost effectiveness; Internet protocols; Military operations; Time division multiple access; Ad-hoc networks; Aerial swarm; Applications domains; Contention; Protocol design; Reliable communication; Self-organising; Self-organizing time division multiple access; TDMA scheduling; Time-division multiple access; Drones</t>
  </si>
  <si>
    <t>10.1145/3539493.3539584</t>
  </si>
  <si>
    <t>https://www.scopus.com/inward/record.uri?eid=2-s2.0-85135403396&amp;doi=10.1145%2f3539493.3539584&amp;partnerID=40&amp;md5=082d8afd2145dd62a9a9c86ad7b3d263</t>
  </si>
  <si>
    <t>P349</t>
  </si>
  <si>
    <t>Bhandarkar, A.B.; Jayaweera, S.K.; Lane, S.A.</t>
  </si>
  <si>
    <t>Adversarial Sybil attacks against Deep RL based drone trajectory planning</t>
  </si>
  <si>
    <t>A deep reinforcement learning (DRL) approach is proposed for simultaneously maximizing distinct user coverage and data throughput in the presence of Sybil attacks. Adversaries are assumed to be capable of PHY layer spoofing and their own reinforcement learning (RL) to cause disruption to the drone network. The distribution of users is modelled as a Gaussian Mixture Model (GMM) with a fixed mean to model a stationary user population and a time varying mean to model movement of users. The drone communication is assumed to be over the millimeter-Wave (mmWave) frequency band and the presence of users are determined based on the beacon signals transmitted by them. Adversaries are assumed to attack the drone network by transmitting spoofed beacon signals. The simulation results indicate that DRL based approaches for UAV path planning is able to cover a significant number of users after a few training epochs. They also indicate that the presence of spoofed transmissions by the adversaries results in 10 to 22 percent reduction in the amount of data handled and the number of distinct users covered.  © 2022 IEEE.</t>
  </si>
  <si>
    <t>Adversarial attacks; Deep Q-Network (DQN); Deep Reinforcement Learning (DRL); Optimal trajectory learning; Unmanned Aerial Vehicles (UAVs); wireless user coverage; Antennas; Deep learning; Gaussian distribution; Millimeter waves; Motion planning; Object recognition; Reinforcement learning; Adversarial attack; Aerial vehicle; Deep Q-network; Deep reinforcement learning; Optimal trajectories; Optimal trajectory learning; Reinforcement learnings; Unmanned aerial vehicle; Wireless user coverage; Wireless users; Drones</t>
  </si>
  <si>
    <t>10.1109/MILCOM55135.2022.10017870</t>
  </si>
  <si>
    <t>https://www.scopus.com/inward/record.uri?eid=2-s2.0-85147324144&amp;doi=10.1109%2fMILCOM55135.2022.10017870&amp;partnerID=40&amp;md5=edfc5f9119954d5133d510d6958e83fc</t>
  </si>
  <si>
    <t>P35</t>
  </si>
  <si>
    <t>Kloepper, L.N.; Taylor, G.K.; Domski, P.; Vanderelst, D.; Eveland, K.; Stevenson, R.L.</t>
  </si>
  <si>
    <t>HawkEar: A bird-borne visual and acoustic platform for eavesdropping the behaviour of mobile animals</t>
  </si>
  <si>
    <t>Unoccupied aerial vehicles (UAVs; drones) offer mobile platforms for ecological investigation, but can be impractical in some environments and the resulting noise can disturb wildlife. We developed a mobile alternative using a bird-borne platform to record the behaviour of other animals in the field. This unit consists of a lightweight audio and video sensor that is carried by a trained Harris's hawk Parabuteo unicinctus. We tested the hypothesis that our bird-borne platform is a viable option for collecting behavioural data from mobile animals. We recorded acoustic and video data as the hawk flew through a dense group of Brazilian free-tailed bats Tadarida brasiliensis emerging from a cave, with a test case of investigating how echolocation calls change depending on spatial position in the bat group. The HawkEar platform is an alternative for collecting behavioural data when a mobile platform that is less noisy and restrictive than traditional UAVs is needed. The design and software are open source and can be modified to accommodate additional sensor needs. © 2024 The Author(s). Methods in Ecology and Evolution published by John Wiley &amp; Sons Ltd on behalf of British Ecological Society.</t>
  </si>
  <si>
    <t>animal-borne tag; bats; collective behaviour; falconry; hawk; silent monitoring system; UAV</t>
  </si>
  <si>
    <t>10.1111/2041-210X.14329</t>
  </si>
  <si>
    <t>https://www.scopus.com/inward/record.uri?eid=2-s2.0-85195141100&amp;doi=10.1111%2f2041-210X.14329&amp;partnerID=40&amp;md5=9a9ecc7d271d07dec65c5a39c68df0d8</t>
  </si>
  <si>
    <t>P350</t>
  </si>
  <si>
    <t>Colter, J.; Kinnison, M.; Henderson, A.; Schlager, S.M.; Bryan, S.; O'Grady, K.L.; Abballe, A.; Harbour, S.</t>
  </si>
  <si>
    <t>Testing the Resiliency of Consumer Off-the-Shelf Drones to a Variety of Cyberattack Methods</t>
  </si>
  <si>
    <t>An often overlooked but equally important aspect of unmanned aerial system (UAS) design is the security of their networking protocols and how they deal with cyberattacks. In this context, cyberattacks are malicious attempts to monitor or modify incoming and outgoing data from the system. These attacks could target anywhere in the system where a transfer of data occurs but are most common in the transfer of data between the control station and the UAS. A compromise in the networking system of a UAS could result in a variety of issues including increased network latency between the control station and the UAS, temporary loss of control over the UAS, or a complete loss of the UAS. A complete loss of the system could result in the UAS being disabled, crashing, or the attacker overtaking command and control of the platform, all of which would be done with little to no alert to the operator. Fortunately, the majority of higher-end, enterprise, and government UAS platforms are aware of these threats and take actions to mitigate them. However, as the consumer market continues to grow and prices continue to drop, network security may be overlooked or ignored in favor of producing the lowest cost product possible. Additionally, these commercial off-the-shelf UAS often use uniform, standardized frequency bands, autopilots, and security measures, meaning a cyberattack could be developed to affect a wide variety of models with minimal changes. This paper will focus on a low-cost educational-use UAS and test its resilience to a variety of cyberattack methods, including man-in-the-middle attacks, spoofing of data, and distributed denial-of-service attacks. Following this experiment will be a discussion of current cybersecurity practices for counteracting these attacks and how they can be applied onboard a UAS. Although in this case the cyberattacks were tested against a simpler platform, the methods discussed are applicable to any UAS platform attempting to defend against such cyberattack methods. © 2022 IEEE.</t>
  </si>
  <si>
    <t>cyberattack; cybersecurity; DDoS; distributed denial-of-service; drone; man-in-the-middle; mitm; spoofing; UAS; Unmanned Aerial Systems; Antennas; Costs; Cybersecurity; Data transfer; Denial-of-service attack; Military applications; Network security; Control station; Cyber security; Cyber-attacks; DDoS; Distributed denial of service; Man in the middle; Mitm; Spoofing; Unmanned aerial systems; Drones</t>
  </si>
  <si>
    <t>10.1109/DASC55683.2022.9925879</t>
  </si>
  <si>
    <t>https://www.scopus.com/inward/record.uri?eid=2-s2.0-85141936865&amp;doi=10.1109%2fDASC55683.2022.9925879&amp;partnerID=40&amp;md5=81cc2c3cf8bd20941a77aa17b06394af</t>
  </si>
  <si>
    <t>P351</t>
  </si>
  <si>
    <t>Zou, Y.; Zhu, J.; Wu, T.; Guo, H.; Wei, H.</t>
  </si>
  <si>
    <t>Cooperative Drone Communications for Space-Air-Ground Integrated Networks</t>
  </si>
  <si>
    <t>This article explores cooperative communications for drone swarms which become an essential part of space-air-ground integrated networks (SAGINs), since drones (also called unmanned aerial vehicles) have the advantage of fast and flexible deployment. However, the rapid spread of drone applications leads to a dramatic increase in the spectrum and energy demand for drone communications, resulting in a shortage of spectrum and energy resources. Moreover, the inherent broadcast nature of radio propagation makes the air interface of drone communications extremely vulnerable to jamming and eavesdropping attacks, especially considering the fact that an unknown drone may sneak into a swarm for the purpose of intentionally interfering with or tapping confidential transmissions of the legitimate drones. As a consequence, a cooperative networking architecture is proposed for drone-swarm-aided SAGINs. A heterogeneous spectrum sharing mechanism is presented for drone communications to alleviate the spectrum shortage by dynamically identifying and accessing idle spectrum resources with the aid of spectrum sensing and inference. Physical-layer security is also examined for cooperative drone communications with limited energy supply. Finally, a wide range of potential applications of drone communications are pointed out, including emergency wireless networks, beyond 5G and 6G systems, and smart grid. © 1986-2012 IEEE.</t>
  </si>
  <si>
    <t>5G mobile communication systems; Antennas; Cooperative communication; Drones; Network layers; Radio transmission; Radio waves; Air grounds; Air interface; Eavesdropping attacks; Energy demands; Integrated networks; Jamming attacks; Networking architecture; Spectra's; Spectrum demand; Spectrum sharing; Energy resources</t>
  </si>
  <si>
    <t>10.1109/MNET.111.2100016</t>
  </si>
  <si>
    <t>https://www.scopus.com/inward/record.uri?eid=2-s2.0-85119423764&amp;doi=10.1109%2fMNET.111.2100016&amp;partnerID=40&amp;md5=409b7f6b8907188820364c80f9fc2d23</t>
  </si>
  <si>
    <t>P352</t>
  </si>
  <si>
    <t>Amit, R.A.; Mohan, C.K.</t>
  </si>
  <si>
    <t>Federated Learning: Dataset Management for Airport Object Representations Using Remote Sensing Images</t>
  </si>
  <si>
    <t>Airport image analysis using machine learning is an efficient way to diagnose security. However, the sharing of in-formation across airports is usually constrained due to national security policies. The menace of cyber-attacks on airport secu-rity and surveillance systems continues to pose major threats to national security. Also, the protection and privacy preservation of information and technology assets are growing in complexity and importance. Airport image analysis (e.g., remote sensing, UAV screening, etc.) using deep learning emerges as the new methodology to perform surveillance tasks. Nevertheless, the major concern continues to be safety regulations and privacy issues for data sharing. Thus, causing insufficiency in dataset availability for training any computer vision application model. To improve data availability, security, performance, and communication efficiency, we propose a novel fusion-based feder-ated learning approach for airport surveillance through object detections using remote sensing images. The proposed archi-tecture serves as a guide for the Federated learning system design that preserves privacy by generating an independent global model based on local model updates from different clients without revealing the data itself. Secondly, a real-time fusion method is proposed to decide the participating clients according to their local model performance. Based on critical parameters like training time, dataset size, client system configuration, etc., at the participating clients, we schedule the model dynamically. A custom dataset annotated for 6 object categories, character-izing the real-world scenario with airports across the world is generated at different spatial resolutions. We evaluate the model for the object detection tasks using two benchmark algorithms (YOLOV3 and Faster R-CNN). Our experiments indicated that this methodology is robust to unbalanced and non-IID (Indepen-dent and Identically Distributed) datasets. Besides, this method can be used to reduce the round of communication needed to train a deep network on decentralized data. © 2022 IEEE.</t>
  </si>
  <si>
    <t>Airport security; Airports; Cybersecurity; Data privacy; Deep learning; Image enhancement; Learning systems; Monitoring; Network security; Object detection; Object recognition; Remote sensing; Security systems; Airport image; Airport object; Image-analysis; Learning dataset; Local model; Machine-learning; Object representations; Objects detection; Remote sensing images; Security policy; National security</t>
  </si>
  <si>
    <t>10.1109/AERO53065.2022.9843800</t>
  </si>
  <si>
    <t>https://www.scopus.com/inward/record.uri?eid=2-s2.0-85137568376&amp;doi=10.1109%2fAERO53065.2022.9843800&amp;partnerID=40&amp;md5=b4113fe497cca3bafb034408036cdc13</t>
  </si>
  <si>
    <t>P353</t>
  </si>
  <si>
    <t>Zheng, X.; Wu, H.</t>
  </si>
  <si>
    <t>Robust filtering algorithm against hybrid-attacks and randomly occurring nonlinearities: Application to a quadrotor UAV</t>
  </si>
  <si>
    <t>This paper addresses the filtering problem for a class of discrete-time cyber-physical system (CPS) in simultaneous presence of physical attack, denial of service attacks (DoS), false data injection (FDI) attacks and randomly occurring nonlinearities (RONs). The malicious attacks can be simultaneously launched at the physical and cyber space to assault/disturb the system's state or block the measurement transmission channels. Firstly, the physical attack is considered as an injected unknown information, which can modify the system's state; then, a unified framework is proposed under which the phenomena of DoS attacks and FDI attacks are depicted by two independent Bernoulli distributed random variables, respectively. Furthermore, the available random probability information of the hybrid attacks and RONs are taken into account in the developed state estimation algorithm. Subsequently, by employing the stochastic analysis and matrix techniques, the exponential boundedness of the state estimation error is discussed from the theoretical aspects. As a typical CPS, a quadrotor unmanned aerial vehicle(UAV) system is provided to demonstrate the effectiveness and practicability of the proposed state estimation method. © 2021 Elsevier Inc.</t>
  </si>
  <si>
    <t>Cyber-physical system; Denial of service attack; Exponential boundedness; False data injection attack; Physical attack; Randomly occurring nonlinearities; Antennas; Drones; Embedded systems; Network security; Signal filtering and prediction; State estimation; Stochastic systems; Cyber-physical systems (CPS); Distributed random variables; Probability informations; Quadrotor unmanned aerial vehicles; Randomly occurring nonlinearities (RONs); State estimation algorithms; State estimation methods; Transmission channels; Denial-of-service attack</t>
  </si>
  <si>
    <t>10.1016/j.dsp.2021.103159</t>
  </si>
  <si>
    <t>https://www.scopus.com/inward/record.uri?eid=2-s2.0-85110591632&amp;doi=10.1016%2fj.dsp.2021.103159&amp;partnerID=40&amp;md5=52b28469563ebb239e5f4cca0e5b683f</t>
  </si>
  <si>
    <t>P354</t>
  </si>
  <si>
    <t>Ahmed, M.; Cox, D.; Simpson, B.; Aloufi, A.</t>
  </si>
  <si>
    <t>ECU-IoFT: A Dataset for Analysing Cyber-Attacks on Internet of Flying Things</t>
  </si>
  <si>
    <t>There has been a significant increase in the adoption of unmanned aerial vehicles (UAV) within science, technology, engineering, and mathematics project-based learning. However, the risks that education providers place their student and staff under is often unknown or undocumented. Low-end consumer drones used within the education sector are vulnerable to state-of-the-art cyberattacks. Therefore, datasets are required to conduct further research to establish cyber defenses for UAVs used within the education sector. This paper showcases the development of the ECU-IoFT dataset, documenting three known cyber-attacks targeting Wi-Fi communications and the lack of security in an affordable off-the-shelf drone. At present, there are no publicly available labeled datasets that reflect cyberattacks on the Internet of Flying Things (IoFT). The majority of the publicly available network traffic datasets are emulated and do not reflect the scenarios/attacks from a real test setup. This dataset will be beneficial for both cybersecurity researchers to develop defense strategies and UAV manufacturers to design more secure products. In the future, endeavors will be taken to incorporate newer attacks and create datasets appropriate for big data analysis. © 2022 by the authors. Licensee MDPI, Basel, Switzerland.</t>
  </si>
  <si>
    <t>Cyberattack; Dataset; IDS; IoFT; STEM; UAV</t>
  </si>
  <si>
    <t>10.3390/app12041990</t>
  </si>
  <si>
    <t>https://www.scopus.com/inward/record.uri?eid=2-s2.0-85124757139&amp;doi=10.3390%2fapp12041990&amp;partnerID=40&amp;md5=53ee0fe933c4d32dbe1aa2669cd4c96a</t>
  </si>
  <si>
    <t>P355</t>
  </si>
  <si>
    <t>Durfey, N.; Sajal, S.</t>
  </si>
  <si>
    <t>A Comprehensive Survey: Cybersecurity Challenges and Futures of Autonomous Drones</t>
  </si>
  <si>
    <t>Unmanned Aircraft Systems (UAS) also known as drones are changing the world [1]. Whether it's military, medicine, agriculture, city planning, surveillance, package delivery or sports. These machines are useful in ways that haven't been discovered yet. Making dangerous work safe by putting something between people and potential risks. Increasing the amount of land that can be searched in search and rescues. Drones are making difficult jobs easier. Conversely the danger they pose is also being discovered. Everyday a new danger is presented by the growing number of drones being used, and as we rely more on them the problem grows. This research paper looks into the current security issues that are found in drones and what is being done to lessen the risk that drones pose to countries, businesses, and civilians. Looking to find what works best to protect drones from cyber threats, and how to protect against them. This is done by reading research journals, news articles, watching videos done by professors/news organizations then analyzing the data found. Two frames of mind are used when analyzing the problems found from research. First, will be how to protect the drone from cyber threats. Second will be how to protect from drone cyber attacks. The results of this research found that drones are extremely unsafe against cyber attacks, and are powerful weapons to finding and exploiting holes in a systems defense. Research on defending drones found insufficient authentication, encryption, signal verification, defined access privileges, and threat reporting. These problems exist from hobby pilots to [2]Department of Defense (DOD) drones. The greatest tool a drone has when attacking a system is stealth and mobility. It can attack multiple targets with only a few fly bys. Because of this the best defense against drone cyber threats is detection. Once detected the drone could be dealt with physically or by exploiting security holes commonly found in drones. Resulting from the cybersecurity threat posed both to drones, and from drones [3, 4, 5, 6] laws are being written in multiple countries. These laws are designed to limit their usage or ban them completely. To solve this problem, there are three key steps to eliminating a majority of the threats. [7] Implementing authentication, encryption, and a threat reporting system would allow drones to continue to change the world safely.  © 2022 IEEE.</t>
  </si>
  <si>
    <t>Autonomous; Challenges; Drone; Security; Authentication; Crime; Cryptography; Cybersecurity; Drones; Sports; Authentication encryption; Autonomous; Challenge; Cyber security; Cyber threats; Cyber-attacks; Military medicine; Package delivery; Security; Unmanned aircraft system; Network security</t>
  </si>
  <si>
    <t>10.1109/IETC54973.2022.9796881</t>
  </si>
  <si>
    <t>https://www.scopus.com/inward/record.uri?eid=2-s2.0-85133955713&amp;doi=10.1109%2fIETC54973.2022.9796881&amp;partnerID=40&amp;md5=ea4a66153a99d3a91f79095da38985ae</t>
  </si>
  <si>
    <t>P356</t>
  </si>
  <si>
    <t>Toma, A.; Cecchinato, N.; Drioli, C.; Oliva, G.; Ferrin, G.; Sechi, G.; Foresti, G.L.</t>
  </si>
  <si>
    <t>Onboard Audio and Video Processing for Secure Detection, Localization, and Tracking in Counter-UAV Applications</t>
  </si>
  <si>
    <t>Nowadays, UAVs are of fundamental importance in numerous civil applications like search and rescue and military applications like monitoring and patrolling or counter-UAV where the remote UAV nodes collect sensor data. In the last case, flying UAVs collect environmental data to be used to contrast external attacks launched by adversary drones. However, due to the limited computing resources on board of the acquisition UAVs, most of the signal processing is still performed on a ground central unit where the sensor data is sent wirelessly. This poses serious security problems from malicious entities such as cyber attacks that exploit vulnerabilities at the application level. One possibility to reduce the risk is to concentrate part of the computing onboard of the remote nodes. In this context, we propose a framework where detection of nearby drones and their localization and tracking can be performed in real-time on the small computing devices mounted on board of the drones. Background subtraction is applied to the video frames for pre-processing with the objective of an on-board UAV detection using machine-vision algorithms. For the localization and tracking of the detected UAV, multi-channel acoustic signals are instead considered and DOA estimations are obtained through the MUSIC algorithm. In this work, the proposed idea is described in detail along with some experiments and, then, methods of effective implementation are provided.  © 2022 The Author(s).</t>
  </si>
  <si>
    <t>audio MUSIC localization; detection localization; onboard multimedia processing; tracking; UAV security; video background subtraction; Audio acoustics; Data acquisition; Drones; Military applications; Network security; Audio MUSIC localization; Background subtraction; Detection localization; Localisation; Multimedia processing; Onboard multimedium processing; Tracking; UAV security; Video background subtraction; Aircraft detection</t>
  </si>
  <si>
    <t>10.1016/j.procs.2022.09.003</t>
  </si>
  <si>
    <t>https://www.scopus.com/inward/record.uri?eid=2-s2.0-85143078617&amp;doi=10.1016%2fj.procs.2022.09.003&amp;partnerID=40&amp;md5=f2d569c2211c8cec1980313fed10a36a</t>
  </si>
  <si>
    <t>P357</t>
  </si>
  <si>
    <t>Mairaj, A.; Javaid, A.Y.</t>
  </si>
  <si>
    <t>Game theoretic solution for an Unmanned Aerial Vehicle network host under DDoS attack</t>
  </si>
  <si>
    <t>Game theory is being used in cybersecurity to observe different attacks as it can provide a mathematical representation of the interactions between system admins, hackers, and users. The game-theoretic solution determines the favorable parameters (strategies), predicts the player's behavior, and suggests the best settings for minimizing the attack's effect. To this end, our paper attempts to study the usefulness of game-theoretic applications for the prevention of Distributed Denial of Service (DDoS) attacks on a drone by deriving the information from conventional game solutions and augmenting that with the bounded rationality concept called Quantal response equilibrium (QRE). In this process, we identify feasible strategies for each player through simulations and formulate five non-cooperative game scenarios for two variants of DDoS attacks. In these games, the traditional game-theoretic solution or Nash Equilibrium (NashE) provides information about the drone's recommended settings, the hacker's preferred strategy, and the game-theoretic threshold assuming that all participants are highly intelligent. We augment this information by considering the participant's tendency to make errors and the evolution in their behavioral pattern from zero to high-values of rationality using QRE. The information coupled from NashE and QRE provides better clarity to a drone operator, thus improving the drone's security by two levels and allowing the drone operator to take timely precautions. Inspired by this multilevel process, we propose an equivalent real-world framework for protecting Unmanned Aerial Vehicle (UAV) nodes against a DDoS attack. © 2022 Elsevier B.V.</t>
  </si>
  <si>
    <t>DDoS attack; Drone security; FANETs; Game theory; Quantal response equilibrium; Antennas; Computation theory; Cybersecurity; Denial-of-service attack; Drones; Network security; Personal computing; Denialof- service attacks; Distributed denial of service; Distributed denial of service attack; Drone security; FANET; Game-theoretic; Nash equilibria; Network hosts; Quantal response equilibriums; Vehicle network; Game theory</t>
  </si>
  <si>
    <t>10.1016/j.comnet.2022.108962</t>
  </si>
  <si>
    <t>https://www.scopus.com/inward/record.uri?eid=2-s2.0-85129748173&amp;doi=10.1016%2fj.comnet.2022.108962&amp;partnerID=40&amp;md5=ccb41db8ac40637ccdd458559de6d2db</t>
  </si>
  <si>
    <t>P358</t>
  </si>
  <si>
    <t>Ren, Y.; Wang, Z.</t>
  </si>
  <si>
    <t>A Novel Scene Matching Algorithm via Deep Learning for Vision-based UAV Absolute Localization</t>
  </si>
  <si>
    <t>Almost all military systems and combat platforms rely on GNSS to achieve military missions. However, they are facing more and more intensive jamming and spoofing attacks. Due to the rapid development of computer vision technology and vision sensor, visual navigation and localization technology have gradually revealed their advantages to solve this kind of problem. In this paper, a new framework of visual localization under a GNSS-denied environment is proposed. Firstly, a novel image preprocessing method based on information entropy and granular segmentation is presented which can significantly filtrate the Google tiles in the georeferenced area to parsimony set to reduce UAV localization time. Secondly, we introduce an end-to-end image matching method based on convolutional neural network and image preprocessing to realize UAV localization which has strong robustness and localization accuracy. Finally, the proposed localization algorithm achieves experimental performance on the real images captured by DJI Phantom 3 drone. The good accuracy and fast execution time shown by experiments indicate that the proposed localization algorithm can serve as a powerful tool to keep the UAVs working continuously in the face of intensive jamming and spoofing attacks.  © 2022 IEEE.</t>
  </si>
  <si>
    <t>deep learning; image matching; image preprocessing; UAV; visual localization; Air navigation; Convolutional neural networks; Deep learning; Global positioning system; Image matching; Image segmentation; Deep learning; Image preprocessing; Jamming attacks; Learning for vision; Localisation; Localization algorithm; Scene-matching algorithms; Spoofing attacks; Vision based; Visual localization; Unmanned aerial vehicles (UAV)</t>
  </si>
  <si>
    <t>10.1109/MLCCIM55934.2022.00043</t>
  </si>
  <si>
    <t>https://www.scopus.com/inward/record.uri?eid=2-s2.0-85143800316&amp;doi=10.1109%2fMLCCIM55934.2022.00043&amp;partnerID=40&amp;md5=e80b6648ba182dd27abcfb27c0a205e0</t>
  </si>
  <si>
    <t>P359</t>
  </si>
  <si>
    <t>Davidovich, B.; Nassi, B.; Elovici, Y.</t>
  </si>
  <si>
    <t>Towards the Detection of GPS Spoofing Attacks against Drones by Analyzing Camera’s Video Stream</t>
  </si>
  <si>
    <t>A Global Positioning System (GPS) spoofing attack can be launched against any commercial GPS sensor in order to interfere with its navigation capabilities. These sensors are installed in a variety of devices and vehicles (e.g., cars, planes, cell phones, ships, UAVs, and more). In this study, we focus on micro UAVs (drones) for several reasons: (1) they are small and inexpensive, (2) they rely on a built-in camera, (3) they use GPS sensors, and (4) it is difficult to add external components to micro UAVs. We propose an innovative method, based on the video stream captured by a drone’s camera, for the real-time detection of GPS spoofing attacks targeting drones. The proposed method collects frames from the video stream and their location (GPS coordinates); by calculating the correlation between each frame, our method can detect GPS spoofing attacks on drones. We first analyze the performance of the suggested method in a controlled environment by conducting experiments on a flight simulator that we developed. Then, we analyze its performance in the real world using a DJI drone. Our method can provide different levels of security against GPS spoofing attacks, depending on the detection interval required; for example, it can provide a high level of security to a drone flying at altitudes of 50–100 m over an urban area at an average speed of 4 km/h in conditions of low ambient light; in this scenario, the proposed method can provide a level of security that detects any GPS spoofing attack in which the spoofed location is a distance of 1–4 m (an average of 2.5 m) from the real location. © 2022 by the authors. Licensee MDPI, Basel, Switzerland.</t>
  </si>
  <si>
    <t>countermeasures; drones; GPS spoofing; Geographic Information Systems; Unmanned Aerial Devices; Aircraft detection; Drones; Flight simulators; Global positioning system; Location; Video streaming; Cell phone; Countermeasure; External components; Global positioning system spoofing; Innovative method; Micro UAVs; Micro-UAV; Performance; S-Video; Spoofing attacks; geographic information system; Cameras</t>
  </si>
  <si>
    <t>10.3390/s22072608</t>
  </si>
  <si>
    <t>https://www.scopus.com/inward/record.uri?eid=2-s2.0-85127119339&amp;doi=10.3390%2fs22072608&amp;partnerID=40&amp;md5=2a7868849420815ca33e90832bcabbab</t>
  </si>
  <si>
    <t>P36</t>
  </si>
  <si>
    <t>Mon, Y.-J.</t>
  </si>
  <si>
    <t>Correction: Simulation and Implementation of Signal Processing for LFM Radar Using DSK 6713 (Electronics, (2023), 12, 17, (3682), 10.3390/electronics12173682)</t>
  </si>
  <si>
    <t>In the original publication [1], references [4,5] need to be corrected in terms of the authors and publishers, and references [6,7,9–24,31] need to be updated to provide correct published references. The citations in the main text do not need to be updated due to the changes in these references. The correct references are listed below: 4. Andersson, U. Time-Domain Methods for the Maxwell Equations. Ph.D. Thesis, KTH Royal Institute of Technology, Stockhalm, Sweden, February 2001. 5. Tait, P. Introduction to Radar Target Recognition; IET Digital Library: Edison, NJ, USA, 2005. 6. Patole, S.M.; Torlak, M.; Wang, D.; Ali, M. Automotive radars: A review of signal processing techniques. IEEE Signal Process Mag. 2017, 34, 22–35. https://doi.org/10.1109/MSP.2016.2628914. 7. Hanif, A.; Muaz, M.; Hasan, A.; Adeel, M. Micro-Doppler Based Target Recognition with Radars: A Review. IEEE Sens. J. 2022, 22, 2948–2961. https://doi.org/10.1109/JSEN.2022.3141213. 9. Liu, Q.; Li, Z.; Yuan, S.; Zhu, Y.; Li, X. Review on Vehicle Detection Technology for Unmanned Ground Vehicles. Sensors 2021, 21, 1354. https://doi.org/10.3390/s21041354. 10. Shariff, K.K.M.; Hoare, E.; Daniel, L.; Antoniou, M.; Cherniakov, M. Comparison of Adaptive Spectral Estimation for Vehicle Speed Measurement with Radar Sensors. Sensors 2017, 17, 751. https://doi.org/10.3390/s17040751. 11. Ahmed, S.; Qiu, B.; Ahmad, F.; Kong, C.-W.; Xin, H. A State-of-the-Art Analysis of Obstacle Avoidance Methods from the Perspective of an Agricultural Sprayer UAV’s Operation Scenario. Agronomy 2021, 11, 1069. https://doi.org/10.3390/agronomy11061069. 12. Başpınar, Ö.O.; Omuz, B.; Öncü, A. Detection of the Altitude and On-the-Ground Objects Using 77-GHz FMCW Radar Onboard Small Drones. Drones 2023, 7, 86. https://doi.org/10.3390/drones7020086 13. Guerra, A.; Dardari, D.; Djurić, P.M. Dynamic Radar Network of UAVs: A Joint Navigation and Tracking Approach. IEEE Access 2020, 8, 116454–116469. https://doi.org/10.1109/ACCESS.2020.3001393. 14. Wessendorp, N.; Dinaux, R.; Dupeyroux, J.; de Croon, G.C.H.E. Obstacle Avoidance onboard MAVs using a FMCW Radar. In Proceedings of the 2021 IEEE/RSJ International Conference on Intelligent Robots and Systems (IROS), Prague, Czech Republic, 27 September 2021–1 October 2021. 15. Tierney, B.B.; Rodenbeck, C.T. 3D-Sensing MIMO Radar for UAV Formation Flight and Obstacle Avoidance. In Proceedings of the 2019 IEEE Radio and Wireless Symposium (RWS), Orlando, FL, USA, 20–23 January 2019. https://doi.org/10.1109/RWS.2019.8714287. 16. Shi, C.; He, J.; Han, X.; Zhang, X. Research on anti-jamming technology of missile-borne radar seeker in complex electromagnetic environment. In Proceedings of the 2022 IEEE International Conference on Electrical Engineering, Big Data and Algorithms (EEBDA), Changchun, China, 25–27 February 2022. 17. Yuan, M.; Zhang, L.; Wang, Y.; Han, C. Polarimetric Range Extended Target Detection via Adaptive Range Weighted Feature Extraction. Remote Sens. 2023, 15, 2929. https://doi.org/10.3390/rs15112929. 18. Lakshminaray anan, A.P.; Kumawat, H.C.; Raj, A.B. Moving Target Detection in Foliage Environment using FMCW Radar. In Proceedings of the 2020 5th International Conference on Communication and Electronics Systems (ICCES), Coimbatore, India, 10–12 June 2020. 19. Li, G.; Ge, Y.; Wang, Y.; Chen, Q.; Wang, G. Detection of Human Breathing in Non-Line-of-Sight Region by Using mmWave FMCW Radar. IEEE Trans. Instrum. Meas. 2022, 71, 1–11. 20. Jin, K.; Li, G.; Lai, T.; Jin, T.; Zhao, T. A Novel Long-Time Coherent Integration Algorithm for Doppler-Ambiguous Radar Maneuvering Target Detection. IEEE Sens. J. 2020, 20, 9394–9407. https://doi.org/10.1109/JSEN.2020.2988583. 21. Addabbo, P.; Bernardi, M.L.; Biondi, F.; Cimitile, M.; Clemente, C.; Orlando, D. Temporal Convolutional Neural Networks for Radar Micro-Doppler Based Gait Recognition. Sensors 2021, 21, 381. https://doi.org/10.3390/s21020381 22. Liu, J.; Zhang, K.; Sun, Z.; Wu, Q.; He, W.; Wang, H. Concealed Object Detection and Recognition System Based on Millimeter Wave FMCW Radar. Appl. Sci. 2021, 11, 8926. https://doi.org/10.3390/app11198926 23. Rouveure, R.; Faure, P.; Monod, M.-O. PELICAN: Panoramic millimeter-wave radar for perception in mobile robotics applications, Part 1: Principles of FMCW radar and of 2D image construction. Rob. Autom. Syst. 2016, 81, 1–16. https://doi.org/10.1016/j.robot.2016.04.001. 24. Vivet, D.; Checchin, P.; Chapuis, R. Localization and Mapping Using Only a Rotating FMCW Radar Sensor. Sensors 2013, 13, 4527–4552. https://doi.org/10.3390/s130404527. 31. Tavanti, E.; Rizik, A.; Fedeli, A.; Caviglia, D.D.; Randazzo, A. A Short-Range FMCW Radar-Based Approach for Multi-Target Human-Vehicle Detection. IEEE Trans. Geosci. Remote Sens. 2022, 60, 1–16. https://doi.org/10.1109/TGRS.2021.3138687. The author states that the scientific conclusions are unaffected. This correction was approved by the Academic Editor. The original publication has also been updated. © 2024 by the author.</t>
  </si>
  <si>
    <t>10.3390/electronics13030468</t>
  </si>
  <si>
    <t>https://www.scopus.com/inward/record.uri?eid=2-s2.0-85184468487&amp;doi=10.3390%2felectronics13030468&amp;partnerID=40&amp;md5=dbe44f74f65097d523b52fa94a7eeed1</t>
  </si>
  <si>
    <t>P360</t>
  </si>
  <si>
    <t>AL-Ghafri, F.’S.S.; Vidhya, L.</t>
  </si>
  <si>
    <t>Unmanned Aerial Vehicles (UAV) Jammer</t>
  </si>
  <si>
    <t>Unmanned aerial vehicles, or industrial drones as they are more widely known, have sparked questions about confidentiality of private assets. Drones are machines that fly without an operator, and they are controlled and monitored from the platform by an engineer. Drones come in a wide range of designs, configurations, sizes, and features. Drones can be used for a number of purposes, including video recording, spying, firing weapons, and dropping bombs. Due to the coordinator of communication in the Sultanate of Oman's Telecommunication Regulatory Authority's (TRA) protective regulation of adopting drones and jammers, there have been no programs or discoveries regarding drones or jammers in the Sultanate of Oman. As a result of the lack of organized regulations for the use of drones in Oman, several drones have been illegally imported into the country over the last 3 years. TRA was aware that Oman's drone legislation will be released shortly, posing a significant challenge in determining how to secure Oman's diverse and delicate organizations from unauthorized drone use in the absence of jammer authorizations. This framework reinforces a jammer system that complies with the TRA specification of disrupting drone band frequencies of 2.4 and 5.8 GHz, with GPS as an alternative. The jammer's suggested range is 500 m. This paper gave a simple representation of three main configurations of signal production analysis for jamming signals. Since jammers that block (2.4 and 5.8 GHz) frequencies are unlawful in the Sultanate of Oman, this model is intended for academic purposes and is not for business or private use. In order to develop and test a jammer system for this framework, a TRA permission letter was received. © 2022, The Author(s), under exclusive license to Springer Nature Singapore Pte Ltd.</t>
  </si>
  <si>
    <t>2.4 GHz; 5.8 GHz; Communication; Drone; Frequencies; Jammer; Legislation; Regulations; Signals; TRA</t>
  </si>
  <si>
    <t>10.1007/978-981-16-5529-6_35</t>
  </si>
  <si>
    <t>https://www.scopus.com/inward/record.uri?eid=2-s2.0-85123444462&amp;doi=10.1007%2f978-981-16-5529-6_35&amp;partnerID=40&amp;md5=71b3b711c643ee9cf89ba56912512d06</t>
  </si>
  <si>
    <t>P361</t>
  </si>
  <si>
    <t>We, J.; Ye, J.; Zou, J.; Gao, J.; Cui, K.</t>
  </si>
  <si>
    <t>Electromagnetic Interference Effect of the UAV Jamming Equipment on Instrument Landing System of Airport</t>
  </si>
  <si>
    <t>In this paper, the electric field strength of the UAV jamming equipment at frequency band of the instrument landing system is acquired in the semi-anechoic chamber. Then the maximum value of electric field strength at frequency band of the instrument landing system is obtained. Meanwhile the electromagnetic interference effects of the UAV jamming equipment on the localizer beacon and glide slope beacon were analyzed. After that the change between protection distances from the UAV jamming equipment to a localizer beacon and a glide slope beacon and the maximum value of electric field strength was demonstrated. Finally, protection distances of the localizer beacon and glide slope beacon were given.  © 2022 IEEE.</t>
  </si>
  <si>
    <t>Electromagnetic interference; Instrument landing system; Protection distance; Protection rate; UAV jamming equipment; Electric fields; Electromagnetic pulse; Electromagnetic wave interference; Jamming; Landing; Electric field strength; Electromagnetic interference effect; Instrument landing systems; Jamming equipment; Protection distance; Protection rate; Semi-anechoic chambers; UAV jamming equipment; Unmanned aerial vehicles (UAV)</t>
  </si>
  <si>
    <t>10.1109/IMCEC55388.2022.10020107</t>
  </si>
  <si>
    <t>https://www.scopus.com/inward/record.uri?eid=2-s2.0-85147668775&amp;doi=10.1109%2fIMCEC55388.2022.10020107&amp;partnerID=40&amp;md5=001f581fe8a0947fe171dd5bc1849561</t>
  </si>
  <si>
    <t>P362</t>
  </si>
  <si>
    <t>Crippa, P.</t>
  </si>
  <si>
    <t>Cyber Security and Drones</t>
  </si>
  <si>
    <t>The market for small civilian drones (unmanned aerial vehicles - UAVs) is expanding rapidly. At the same time, thanks to technological developments in connectivity, robotics, and artificial intelligence, the possibilities of use of these devices within our societies and in many productive sectors are also increasing. If on the one hand drones are an extremely useful technology for our daily life, on the other they pose numerous and heterogeneous threats to the safety of people and to the security of critical infrastructures. The peculiar characteristics of most small UAVs, such as low observability, versatility, and ease of use, make them particularly suitable for terrorist or criminal purposes. This chapter surveys the main safety and security aspects related to the improper use of small drones, cataloguing and analyzing the different typologies of threats. Starting from some relevant case studies, we inspect both the physical and cyber dangers related to such systems and discuss the main strategies and tools currently available to counter the threat. The last part of the chapter focuses on future technological developments. The relationship between drones and cybersecurity is investigated, as well as the security and ethical issues arising from the implementation of neural networks and artificial intelligence software. © Springer Nature Switzerland AG 2022.</t>
  </si>
  <si>
    <t>10.1007/978-3-319-91875-4_60</t>
  </si>
  <si>
    <t>https://www.scopus.com/inward/record.uri?eid=2-s2.0-85159500263&amp;doi=10.1007%2f978-3-319-91875-4_60&amp;partnerID=40&amp;md5=e65337c895612fc73ceef2a16731c671</t>
  </si>
  <si>
    <t>P363</t>
  </si>
  <si>
    <t>Shin, S.; Min, D.; Lee, J.</t>
  </si>
  <si>
    <t>Multi-Matching-Based Vision Navigation Referencing Map Tile</t>
  </si>
  <si>
    <t>Modern unmanned aerial vehicles (UAVs), including combat drones, are usually equipped with cameras for imaging. A camera is mainly used to increase the accuracy of the attack by ensuring stable-guided flight toward the target when the UAV detects the target in the terminal phase. Despite the high cost of these pieces of equipment, their utilization is in fact low, except during the final stage. The method proposed here extends the range of use of a UAV-mounted camera to the navigation stage. When GPS is unable to estimate the position due to jamming or a sensor error, the possibility of using the position estimation value calculated through vision navigation is described. © 2021, The Korean Society for Aeronautical &amp; Space Sciences.</t>
  </si>
  <si>
    <t>3D structure/landmark; Constraint method; Edge detection; Edge matching; Frame matching; GPS-denied environment; Hausdorff distance; Hough transform; Iterative closest point; Map tile; Pixel-meter coordinate transformation; Pseudo frame; Vincenty’s formulae; Vision navigation; Antennas; Cameras; Military vehicles; Unmanned aerial vehicles (UAV); High costs; Position estimation; Sensor errors; Vision navigation; Navigation</t>
  </si>
  <si>
    <t>10.1007/s42405-021-00373-z</t>
  </si>
  <si>
    <t>https://www.scopus.com/inward/record.uri?eid=2-s2.0-85105471507&amp;doi=10.1007%2fs42405-021-00373-z&amp;partnerID=40&amp;md5=d5b71d0644153f0f4c36b88b0ca52894</t>
  </si>
  <si>
    <t>P364</t>
  </si>
  <si>
    <t>Platenka, V.; Vrsecka, M.; Novotny, J.</t>
  </si>
  <si>
    <t>Analysis of UAV Control Signals</t>
  </si>
  <si>
    <t>This article discusses the possibility of taking control or jamming a commercial drone. Unmanned Aerial Vehicle (UAV) is capable of flying unmanned and is increasingly used. Given their affordability, they can become a major threat. In order to take control of the drone, it is necessary to capture the control signal of the drone, analyze it and send back a signal stronger than the signal from the controller. In order for this idea to be realizable, it is necessary to create a database of control signals. This and our previous work can be used to create such a database. The IZ225 digital receiver and SPECON, AKRS-RT and CipherCAD softwares were used at the radio signal analysis and monitoring workplace to capture and analyze the signals we measured. In the article we describe the procedure how to get the necessary information about the control signal of the drone.  © 2021 IEEE.</t>
  </si>
  <si>
    <t>AKRS; CipherCAD; jamming; signal analysis; SPECON; UAV; Antennas; Drones; Jamming; Signal receivers; AKRS; Ciphercad; Control signal; Digital receivers; Radio signals; Signal monitoring; Signals analysis; SPECON; Signal analysis</t>
  </si>
  <si>
    <t>10.1109/KIT52904.2021.9583746</t>
  </si>
  <si>
    <t>https://www.scopus.com/inward/record.uri?eid=2-s2.0-85119212562&amp;doi=10.1109%2fKIT52904.2021.9583746&amp;partnerID=40&amp;md5=9639b41151d990f0890773531f91b323</t>
  </si>
  <si>
    <t>P365</t>
  </si>
  <si>
    <t>Li, H.; Zhang, Y.; Dan, Z.; Ma, L.; Zhang, C.; Wang, Q.</t>
  </si>
  <si>
    <t>Distributed Interference Optimization Method of Large-scale UAV Based on Tabu Search Artificial Bee Colony Algorithm</t>
  </si>
  <si>
    <t>With the rapid development of UAV control link and ad hoc network, and the low success rate of single UAV mission, a large number of UAVs have become the mainstream in disaster relief, security and other fields. In the airport, the interference and Countermeasure of the competition venue against UAVs has become the core link of security in large-scale events and important places. The existing interference sources are mainly single point interference. Due to the shielding of buildings, it is impossible to fully cover the venue. Therefore, distributed interference optimization is the best option to combat large-scale UAVs in the future. On the basis of summarizing the jamming benefit evaluation system, this paper introduces the probability of jamming source discovery as the jamming cost, and establishes the satellite navigation distributed jamming optimization model. Tabu search artificial bee colony algorithm (TSABC) is proposed to solve the problems of slow interference speed and low success rate of traditional distributed interference optimization algorithm. The algorithm proposed in this paper is compared with ABC algorithm and PSO algorithm in interference countermeasure scenario. The simulation results show that the TSABC algorithm proposed in this paper effectively improves the interference efficiency and can quickly and accurately interfere with a large number of UAVs.  © 2022 IEEE.</t>
  </si>
  <si>
    <t>A large number of UAVs; Artificial bee colony; Distributed optimization; Interference efficiency; Ad hoc networks; Aircraft accidents; Disaster prevention; Efficiency; Jamming; Particle swarm optimization (PSO); Tabu search; A large number of UAV; Ad-hoc networks; Artificial bee colony; Artificial bees; Bee colony algorithms; Distributed optimization; Interference efficiency; Large-scales; Optimization method; UAV control; Unmanned aerial vehicles (UAV)</t>
  </si>
  <si>
    <t>10.1109/ICSPCC55723.2022.9984353</t>
  </si>
  <si>
    <t>https://www.scopus.com/inward/record.uri?eid=2-s2.0-85146432634&amp;doi=10.1109%2fICSPCC55723.2022.9984353&amp;partnerID=40&amp;md5=0d66fe6e2612822802aa1fbfeaf5b631</t>
  </si>
  <si>
    <t>P366</t>
  </si>
  <si>
    <t>Sathaye, H.; LaMountain, G.; Closas, P.; Ranganathan, A.</t>
  </si>
  <si>
    <t>SemperFi: Anti-spoofing GPS Receiver for UAVs</t>
  </si>
  <si>
    <t>It is well-known that GPS is vulnerable to signal spoofing attacks. Although several spoofing detection techniques exist, they are incapable of mitigation and recovery from stealthy attackers. In this work, we present SemperFi, a single antenna GPS receiver capable of tracking legitimate GPS satellite signals and estimating the true location even against strong adversaries. Our design leverages a combination of the Extended Kalman Filter based GPS failsafe mechanism built into majority of UAVs and a custom designed legitimate signal retriever module to detect and autonomously recover from majority of spoofing attacks. We develop algorithms to carefully synthesize recovery signals and extend the successive interference cancellation technique to preserve the legitimate signal's ToA, while eliminating the attacker's signal. For strong adversaries capable of stealthy and seamless takeover, SemperFi uses brief maneuvers designed to exploit the short-term stability of inertial sensors and identify stealthy spoofing attacks. We implement SemperFi in GNSS-SDR, an open-source software-defined GNSS receiver, and evaluate its performance using UAV simulators, real drones, a variety of real-world GPS datasets, as well as on various embedded platforms. Our evaluation results indicate that in many scenarios, SemperFi can identify adversarial peaks by executing flight patterns less than 100 m long and recover the true location within 0.54 s (Jetson Xavier). We show that our receiver is secure against both naive and stealthy spoofers who exploit inertial sensor errors and execute seamless takeover attacks. Furthermore, we design SemperFi as a pluggable module capable of generating a spoofer-free GPS signal for processing on any commercial-off-the-shelf GPS receiver available today. Finally, we release our implementation to the community for usage and further research. © 2022 29th Annual Network and Distributed System Security Symposium, NDSS 2022. All Rights Reserved.</t>
  </si>
  <si>
    <t>Antennas; Inertial navigation systems; Kalman filters; Open source software; Open systems; Recovery; Signal receivers; Signal reconstruction; Unmanned aerial vehicles (UAV); Antispoofing; Fail-safe mechanism; Filter-based; GPS satellites; GPS-receivers; Interference-cancellation technique; Satellite signals; Single-antenna GPS receivers; Spoofing attacks; Successive interference cancellations; Global positioning system</t>
  </si>
  <si>
    <t>10.14722/ndss.2022.23071</t>
  </si>
  <si>
    <t>https://www.scopus.com/inward/record.uri?eid=2-s2.0-85139891525&amp;doi=10.14722%2fndss.2022.23071&amp;partnerID=40&amp;md5=0107996de2f1d14854b3c3c3b6e8b785</t>
  </si>
  <si>
    <t>P367</t>
  </si>
  <si>
    <t>Bera, B.; Das, A.K.; Garg, S.; Jalil Piran, M.; Hossain, M.S.</t>
  </si>
  <si>
    <t>Access Control Protocol for Battlefield Surveillance in Drone-Assisted IoT Environment</t>
  </si>
  <si>
    <t>Surveillance drones, called as unmanned aerial vehicles (UAVs), are aircrafts that are utilized to collect video recordings, still images, or live video of the targets, such as vehicles, people or specific areas. Particularly in battlefield surveillance, there is high possibility of eavesdropping, inserting, modifying or deleting the messages during communications among the deployed drones and ground station server (GSS). This leads to launch several potential attacks by an adversary, such as main-in-middle, impersonation, drones hijacking, replay attacks, etc. Moreover, anonymity and untraceability are two crucial security properties that need to be maintained in battlefield surveillance communication environment. To deal with such a crucial security problem, we propose a new access control protocol for battlefield surveillance in drone-assisted Internet of Things (IoT) environment, called ACPBS-IoT. Through the detailed security analysis using formal and informal (nonmathematical), and also the formal security verification under automated software simulation tool, we show that the proposed ACPBS-IoT can resist several potential attacks needed in a battlefield surveillance scenario. Furthermore, the testbed experiments for various cryptographic primitives have been performed for measuring the execution time. Finally, a detailed comparative study on communication and computational overheads, and security, as well as functionality features, reveals that the proposed ACPBS-IoT provides superior security and more functionality features, and better or comparable overheads than other existing competing access control schemes. © 2014 IEEE.</t>
  </si>
  <si>
    <t>Access control; battlefield surveillance; drones; Internet of Things (IoT); key agreement; security; Access control; Aircraft control; Antennas; Computer software; Drones; Monitoring; Network security; Security systems; Verification; Video recording; Access control protocol; Access control schemes; Battlefield surveillance; Communication environments; Computational overheads; Cryptographic primitives; Internet of Things (IOT); Software simulation tools; Internet of things</t>
  </si>
  <si>
    <t>10.1109/JIOT.2020.3049003</t>
  </si>
  <si>
    <t>https://www.scopus.com/inward/record.uri?eid=2-s2.0-85099216108&amp;doi=10.1109%2fJIOT.2020.3049003&amp;partnerID=40&amp;md5=efed6716538c32be4a4dadf3b8746c71</t>
  </si>
  <si>
    <t>P368</t>
  </si>
  <si>
    <t>Ye, J.; Zou, J.; Gao, J.; Zhang, G.; Kong, M.; Pei, Z.; Cui, K.</t>
  </si>
  <si>
    <t>Software Defined Radio Platform for Creating Imitation Signals Based on a Record of Data Exchange between the UAV and the Operator</t>
  </si>
  <si>
    <t>This article presents a method for detecting a communication channel between an unmanned aerial vehicle (quadcopter) and an operator using a software-defined radio system (SDR) to record control commands. This recording is used as a source of imitation signals. Signal parameters for DSM2 (DSMX) protocols at 2.4-2.48 GHz frequencies are considered: carrier frequency, duration, modulation. A method of detection is proposed, based on which a software and hardware complex is implemented. It is based on the HackRF SDR using the GNU Radio software environment in Python. With the help of a hardware and software system, an experiment was set up to record control signals and then relay them as imitation signals. During the experiment, the quadcopter perceived the simulated signal and reproduced commands transmitted from a software-defined radio system. According to the results of the experiment, the initializing command of the interface of the operator console and the quadcopter, the take-off commands were recorded and analyzed.  © 2022 IEEE.</t>
  </si>
  <si>
    <t>communication protocol; detection; drone; software-defined radio system; UAV; Aircraft control; Aircraft detection; Analog circuits; Antennas; Electronic data interchange; Open source software; Radio; Radio receivers; Software radio; Aerial vehicle; Communications channels; Communications protocols; Control command; Detection; GHz frequencies; Radio platforms; Signal parameters; Software-defined radio system; Software-defined radios; Drones</t>
  </si>
  <si>
    <t>10.1109/USBEREIT56278.2022.9923384</t>
  </si>
  <si>
    <t>https://www.scopus.com/inward/record.uri?eid=2-s2.0-85141844533&amp;doi=10.1109%2fUSBEREIT56278.2022.9923384&amp;partnerID=40&amp;md5=58143cecaa38883899f19323bdc7fa4e</t>
  </si>
  <si>
    <t>P369</t>
  </si>
  <si>
    <t>A PROPOSED X.800-BASED SECURITY ARCHITECTURE FRAMEWORK FOR UNMANNED AIRCRAFT SYSTEM</t>
  </si>
  <si>
    <t>Cybersecurity is considered to be one of the most challenging topics when developing cyber-physical systems. One typical example are weak security protection measures that can have a severe impact in many applications domains. The aviation domain and Unmanned Aircraft Systems are in particular vulnerable since they usually come with several wireless interfaces but only with limited processing power. Successful cyberattacks can have a multitude of negative consequences. A hijacked Unmanned Arial Vehicle can potentially harm people or damage infrastructure. Network cybersecurity presents multiple sets of applicable protection mechanisms and security services for each network layer to ensure the full consideration of security issues. Therefore, in this work, we propose a security architecture framework that combines the security recommendations outlined in ITU-T X.800 with a threat modelling approach. This helps to classify the existing potential threats and define the applicable security mechanisms and services that can protect our system model against multiple cyberattacks. © 2022 IDIMT. All rights reserved.</t>
  </si>
  <si>
    <t>Cybersecurity; Potential Threats; Security Mechanisms; Security Services; Cyber Physical System; Embedded systems; Network architecture; Network layers; Network security; Unmanned aerial vehicles (UAV); Architecture frameworks; Cybe-physical systems; Cyber security; Cyber-attacks; Cyber-physical systems; Potential threats; Security Architecture; Security mechanism; Security services; Unmanned aircraft system; Cybersecurity</t>
  </si>
  <si>
    <t>10.35011/IDIMT-2022-389</t>
  </si>
  <si>
    <t>https://www.scopus.com/inward/record.uri?eid=2-s2.0-85137149158&amp;doi=10.35011%2fIDIMT-2022-389&amp;partnerID=40&amp;md5=d5665deb097caf8012b31a45b0cdcc60</t>
  </si>
  <si>
    <t>P37</t>
  </si>
  <si>
    <t>Elia, R.; Rak, M.; Pascarella, D.</t>
  </si>
  <si>
    <t>A First Step Towards an Automated Methodology for the Security Risk Assessment of U-Space Solutions</t>
  </si>
  <si>
    <t>U-space is an European initiative for developing a framework to support drone operations, as well as a clear and effective interface to manned aviation, by means of a fully automated drone management system. With the U-space revolution, drones are going to pose an ever-evolving threat landscape with complex multi-domain security risks. Thus, U-space security is a primary challenge, requiring proper security-by-design approaches. In addition, research should address automated security risk assessment for facing the U-space complexity and for increasing the cost-efficiency of engineering secure U-space systems. This work proposes a preliminary definition of a methodology relying on formalisms, techniques and tools for the automated security risk assessment of U-space solutions. As a first step, a model-based methodology is investigated for a semi-automatic impact assessment of attacks on U-space. Some preliminary results are presented for a case study about drone-based pharmaceutical delivery in U-space environment.  © 2024 IEEE.</t>
  </si>
  <si>
    <t>Cybersecurity; Drones; SecRAM; Security Risk Assessment; U-space; UAS; UAV; Unmanned Traffic Management; Cost engineering; Manned space flight; Medium access control; Risk management; Cyber security; European initiatives; Fully automated; Manned aviation; SecRAM; Security risk assessments; Traffic management; U-space; UAS; Unmanned traffic management; Drones</t>
  </si>
  <si>
    <t>10.1109/MASS62177.2024.00108</t>
  </si>
  <si>
    <t>https://www.scopus.com/inward/record.uri?eid=2-s2.0-85210256685&amp;doi=10.1109%2fMASS62177.2024.00108&amp;partnerID=40&amp;md5=be8b1ab89d6d5acc0015f788d4e31be8</t>
  </si>
  <si>
    <t>P370</t>
  </si>
  <si>
    <t>Li, L.; Lian, X.; Wang, Y.; Tan, L.</t>
  </si>
  <si>
    <t>CSECMAS: An Efficient and Secure Certificate Signing Based Elliptic Curve Multiple Authentication Scheme for Drone Communication Networks</t>
  </si>
  <si>
    <t>With the rapid development of communication technology, unmanned aerial vehicles (UAVs) have been widely used in the military, rescue, agricultural and other fields. The security and privacy issues are one of the biggest challenges for UAV communications. In this paper, we propose a certificate signing based on an Elliptic Curve multiple authentication scheme (CSECMAS). The scheme employs multiple authentication tools to ensure the legitimacy of the identity and the integrity of the information. We treat multiple UAVs as a cluster, and after establishing a secure session between the ground control station (GCS) and the UAV, we use the fitness function to select one node from them as the key node. Mutual authentication between the UAVs through the key node establishes secure conversations while increasing the security and resistance to destruction of the entire communication network. The proposed protocol is formally analyzed and verified by using the model-checking tool SPIN. The informal analysis shows that the protocol can resist various attacks, such as man-in-the-middle attacks, replay attacks, and DoS attacks. The performance analysis shows that the proposed protocol is superior compared to other related protocols. © 2022 by the authors.</t>
  </si>
  <si>
    <t>CSECMAS; formal analysis; multiple authentication; security; the fitness function; the key node; UAV</t>
  </si>
  <si>
    <t>10.3390/app12189203</t>
  </si>
  <si>
    <t>https://www.scopus.com/inward/record.uri?eid=2-s2.0-85138647714&amp;doi=10.3390%2fapp12189203&amp;partnerID=40&amp;md5=fc684514f8ff646af0f01d00e673579e</t>
  </si>
  <si>
    <t>P371</t>
  </si>
  <si>
    <t>Wang, B.; Tresoldi, G.; Strohmeier, M.; Lenders, V.</t>
  </si>
  <si>
    <t>On the Security of the FLARM Collision Warning System</t>
  </si>
  <si>
    <t>In the past decade, the vulnerability of aircraft communications against low-resourced attackers has received significant attention both in the information security community and from aviation industry and regulators. Until now, research on attacks against such communications technologies has focused on larger aircraft, neglecting the technologies used in light aircraft and unmanned aerial vehicles (UAV). As such lighter aircraft make up a large and growing majority of both airspace users and casualties, this is a glaring oversight from a security and safety perspective. To alleviate this problem, we conduct a first comprehensive security analysis of the FLARM ecosystem, a collision avoidance system focusing on light aircraft and UAV with a large and increasing distribution in many countries. Besides being used in more than 40,000 aircraft, several large providers of air traffic data capture the unauthenticated FLARM data using ground receivers in order to feed crucial downstream applications. To show the vulnerability of this ecosystem, we design, implement and evaluate a practical spoofing attack, which is capable of interacting with FLARM receivers in the air and on the ground. The demonstrated attack uses low-cost hardware and open-source software and is as such accessible to a wide range of threat actors, resulting in a significant potential impact on the safety of all airspace users. Finally, in order to counter such attacks, we propose a first anomaly detection approach based on physical-layer characteristics and validate it with real-world aircraft data. © 2022 ACM.</t>
  </si>
  <si>
    <t>aircraf; collision avoidance; flarm; spoofing; uav; Aircraft accidents; Aircraft communication; Aircraft detection; Alarm systems; Anomaly detection; Collision avoidance; Ecosystems; Open source software; Open systems; Unmanned aerial vehicles (UAV); Aerial vehicle; Aircraf; Airspace users; Aviation industry; Collision warning system; Collisions avoidance; Flarm; Security community; Spoofing; Uav; Antennas</t>
  </si>
  <si>
    <t>10.1145/3488932.3517409</t>
  </si>
  <si>
    <t>https://www.scopus.com/inward/record.uri?eid=2-s2.0-85133205474&amp;doi=10.1145%2f3488932.3517409&amp;partnerID=40&amp;md5=39a025b5ccd62d5b0a45a1be92de01f1</t>
  </si>
  <si>
    <t>P372</t>
  </si>
  <si>
    <t>Purisai, S.; Sharar, O.</t>
  </si>
  <si>
    <t>A Robust Navigation Solution to Enable Safe Autonomous Aerospace Operations</t>
  </si>
  <si>
    <t>The world is seeing a rise in demand for UAVs due to their versatile applications and aptness for widespread use. GPS signal is a critical input for safe and accurate navigation of UAS/UAV. It is now being globally recognized that The GPS (Global Positioning System) is susceptible to jamming and can be suppressed or lost when in urban canyons and dense metro locations. Jamming can be easily initiated using cheap jammers sold online and easily accessible. For both defense and commercial enterprise applications, GPS jamming continues to be a GAP and a barrier to FULL BVLOS autonomous drone operations. With an increasing number of UAV users relying on precise location services to carry out their everyday tasks, public safety and the country's defense positions (especially at border regions) would be jeopardized if the GPS was to be interfered with or even shut down intentionally or accidentally. As a result, in addition to safeguarding the system against unauthorized usage, it is critical to assure signal consistency at all times. Several standard bodies such as the SAE and ANSI standards have already documented the GAP and have begun to identify solutions to address the gap. Anti-jamming technologies are now being required in UAS and UAM systems in several US and international countries. Honeywell and infiniDome have jointly developed a "Robust Navigation System"that provides a multilayer resiliency against loss of GPS. This system is being utilized by several tier 1 UAS manufacturers and defense suppliers. We STRONGLY ENCOURAGE the Indian government evaluate and mandate measures for GPS jam-proofing in their present and future systems to enable safe operations of UAS/UAV in defense and civilian applications. Below we provide a few use cases and how a Robust Navigation System will provide safety and resiliency in operations.  © 2022 SAE International. All Rights Reserved.</t>
  </si>
  <si>
    <t>Drones; Jamming; Network security; Aerospace operations; Commercial enterprise; Critical inputs; Enterprise applications; Global positioning systems jamming; Jammers; Navigation solution; Robust navigation; System signals; Urban canyons; Global positioning system</t>
  </si>
  <si>
    <t>10.4271/2022-26-0016</t>
  </si>
  <si>
    <t>https://www.scopus.com/inward/record.uri?eid=2-s2.0-85131809178&amp;doi=10.4271%2f2022-26-0016&amp;partnerID=40&amp;md5=84ea81426680e9ddd7b6bf2a9599bfff</t>
  </si>
  <si>
    <t>P373</t>
  </si>
  <si>
    <t>Li, J.Q.; Cross, S.A.; Yang, G.; Wang, K.</t>
  </si>
  <si>
    <t>Development of an Asphalt Pavement Unmanned Aerial Vehicle (UAV) Test Facility</t>
  </si>
  <si>
    <t>Oklahoma State University (OSU) developed an airport runway near Elgin, Oklahoma, to evaluate lightweight unmanned aerial vehicles (UAV). This paper documents the construction and evaluation of the asphalt pavement testing runway for the UAV facility. The preparation and construction of the runway was first discussed. Four asphalt mixtures were sampled and tested for the 2-in. surface lifts using a foamed warm mix asphalt (WMA) technology and hot mix asphalt pavements with reclaimed asphalt pavement (RAP). The dynamic modulus and semi-circular bend (SCB) testing were performed to evaluate the four experimental mixtures used in the facility. Subsequently, runway surface characterization and performance evaluation results, in terms of pavement cracking, longitudinal profiling and roughness, surface texture, and pavement friction, were presented based on the field data collection performed using four state-of-the-art instruments. The results from this study demonstrated that the UAV testing runway with the mixes evaluated met the material requirements and had a superior short-term field performance.  © ASCE.</t>
  </si>
  <si>
    <t>Asphalt runway; dynamic modulus; field performance; semi-circular bend (SCB) testing; Unmanned Aerial Vehicle (UAV) facility; Antennas; Asphalt mixtures; Mixtures; Textures; Unmanned aerial vehicles (UAV); Vehicle performance; Aerial vehicle; Asphalt runway; Bend testing; Dynamic moduli; Field performance; Oklahoma; Oklahoma State University; Semi-circular bend  testing; Unmanned aerial vehicle  facility; Vehicle tests; Asphalt pavements</t>
  </si>
  <si>
    <t>10.1061/9780784484357.008</t>
  </si>
  <si>
    <t>https://www.scopus.com/inward/record.uri?eid=2-s2.0-85138722543&amp;doi=10.1061%2f9780784484357.008&amp;partnerID=40&amp;md5=b0d86ad70a090b4e63dea8ac661a87f5</t>
  </si>
  <si>
    <t>P374</t>
  </si>
  <si>
    <t>2021 International Conference on Electronic Communication, Computer Science and Technology</t>
  </si>
  <si>
    <t>The proceedings contain 33 papers. The topics discussed include: robust visual place recognition method for robot facing drastic illumination changes; research on non-uniform interrupted sampling repeater jamming for phase coded radar; research on equalization technology of broadband satellite communication channel; measuring the orbital angular momentum mode of vortex beam based on phase matching sequence; design of intelligent anti-suffocation system in vehicle; application of information processing system based on DSP in electronic information engineering; analysis and research on the interference of civil aviation radio navigation equipment; research on application of artificial intelligence in communication network; dynamic power allocation in D2D communications using deep reinforcement learning; and design of multi-band compatible trigeminal monopole array antenna for unmanned aerial vehicle.</t>
  </si>
  <si>
    <t>https://www.scopus.com/inward/record.uri?eid=2-s2.0-85127009867&amp;partnerID=40&amp;md5=371cc1f383efc1b694fd2b8c4df7fe6b</t>
  </si>
  <si>
    <t>P375</t>
  </si>
  <si>
    <t>Haider, M.; Ahmed, I.; Rawat, D.B.</t>
  </si>
  <si>
    <t>Cyber Threats and Cybersecurity Reassessed in UAV-assisted Cyber Physical Systems</t>
  </si>
  <si>
    <t>This study aims to perceive the potential security threats in unmanned aerial vehicles (UAVs) assisted communication networks and to determine the feasible and effective security solutions in order to ensure secured UAV assisted cyber physical system (CPS) (UAV-a-CPS). Fifth generation (5G) and beyond wireless technology is capable to provide support for a plethora of data hungry and time sensitive applications. UAV is one of the vital features of 5G and beyond cellular technology to be deployed in a wide gamut of applications. Since the application domain of UAV networks includes civilian, aviation, and military sectors, thus it can be a prime target to the hackers. This work emphasizes the security issues that require to be prioritized and addressed with appropriate security measures to make UAV-a-CPS secured and safe enough for commercial applications. Moreover, we provide several innovative, scalable, and insightful design considerations to encounter security threats inherent to UAV networks. It is shown that the multi-layer based adaptive security approaches would be beneficial to protect UAV-a-CPS from the potential and emerging security threats effectively. Finally, we provide probable futuristic research directions to add newer dimensions in these arena.  © 2022 IEEE.</t>
  </si>
  <si>
    <t>5G and beyond; cyber physical system (CPS); cybersecurity; energy efficiency; Unmanned aerial vehicles (UAVs); 5G mobile communication systems; Antennas; Cybersecurity; Embedded systems; Energy efficiency; Personal computing; Security systems; Unmanned aerial vehicles (UAV); 5g and beyond; Aerial vehicle; Cybe physical system; Cybe-physical systems; Cyber security; Cyber threats; Cyber-physical systems; Security threats; Unmanned aerial vehicle; Vehicle network; Cyber Physical System</t>
  </si>
  <si>
    <t>10.1109/ICUFN55119.2022.9829584</t>
  </si>
  <si>
    <t>https://www.scopus.com/inward/record.uri?eid=2-s2.0-85135243458&amp;doi=10.1109%2fICUFN55119.2022.9829584&amp;partnerID=40&amp;md5=a32a980cada278ae376bcac68fecdeff</t>
  </si>
  <si>
    <t>P376</t>
  </si>
  <si>
    <t>Katta, S.S.; Nandyala, S.; Viegas, E.K.; Almahmoud, A.</t>
  </si>
  <si>
    <t>Benchmarking Audio-based Deep Learning Models for Detection and Identification of Unmanned Aerial Vehicles</t>
  </si>
  <si>
    <t>Over the last few years, Unmanned Aerial Vehicles (UAVs) have become increasingly popular for both commercial and personal applications. As a result, security concerns in both physical and cyber domains have been raised, as a malicious UAV can be used for the jamming of nearby targets or even for carrying explosive assets. UAV detection and identification is a very important task for safety and security. In this regard, several techniques have been proposed for the detection and identification of UAVs, in general, through image, audio, radar, and RF based approaches. In this paper, we benchmark the detection and identification of UAVs via audio data from [1]. We benchmarked with widely used deep learning algorithms such as Deep Neural Networks (DNN), Convolutional Neural Network (CNN), Long Short Term Memory (LSTM), Convolutional Long Short Term Memory (CLSTM) and Transformer Encoders (TE). In addition to the dataset of [1], we collected our own diverse identification audio dataset and experimented with Deep Neural Networks (DNN). In a UAV detection task, our best model (LSTM) outperformed the best model of [1] (CRNN) by over 4% in accuracy, 2% in precision, 4% in recall and 4% in F1-score. In UAV identification task, our best model (LSTM) outperformed the best model of [1] (CNN) by over 5% in accuracy, 2% in precision, 4% in recall and 3% in F1-score.  © 2022 IEEE.</t>
  </si>
  <si>
    <t>Audio; Deep learning; Detection; Identification; UAVs; Aircraft detection; Antennas; Commercial vehicles; Convolution; Convolutional neural networks; Deep neural networks; Drones; Learning systems; Aerial vehicle; Audio; Best model; Deep learning; Detection; Detection and identifications; Identification; Unmanned aerial vehicle; Vehicle identification; Vehicles detection; Long short-term memory</t>
  </si>
  <si>
    <t>10.1109/CPS-IoTBench56135.2022.00008</t>
  </si>
  <si>
    <t>https://www.scopus.com/inward/record.uri?eid=2-s2.0-85134332833&amp;doi=10.1109%2fCPS-IoTBench56135.2022.00008&amp;partnerID=40&amp;md5=8c1456446fdc023bea36f9edb0f39603</t>
  </si>
  <si>
    <t>P377</t>
  </si>
  <si>
    <t>Pohjavirta, O.; Liang, X.; Wang, Y.; Kukko, A.; Pyörälä, J.; Hyyppä, E.; Yu, X.; Kaartinen, H.; Hyyppä, J.</t>
  </si>
  <si>
    <t>Automated registration of wide-baseline point clouds in forests using discrete overlap search</t>
  </si>
  <si>
    <t>Forest is one of the most challenging environments to be recorded in a three-dimensional (3D) digitized geometrical representation, because of the size and the complexity of the environment and the data-acquisition constraints brought by on-site conditions. Previous studies have indicated that the data-acquisition pattern can have more influence on the registration results than other factors. In practice, the ideal short-baseline observations, i.e., the dense collection mode, is rarely feasible, considering the low accessibility in forest environments and the commonly limited labor and time resources. The wide-baseline observations that cover a forest site using a few folds less observations than short-baseline observations, are therefore more preferable and commonly applied. Nevertheless, the wide-baseline approach is more challenging for data registration since it typically lacks the required sufficient overlaps between datasets. Until now, a robust automated registration solution that is independent of special hardware requirements has still been missing. That is, the registration accuracy is still far from the required level, and the information extractable from the merged point cloud using automated registration could not match that from the merged point cloud using manual registration. This paper proposes a discrete overlap search (DOS) method to find correspondences in the point clouds to solve the low-overlap problem in the wide-baseline point clouds. The proposed automatic method uses potential correspondences from both original data and selected feature points to reconstruct rough observation geometries without external knowledge and to retrieve precise registration parameters at data-level. An extensive experiment was carried out with 24 forest datasets of different conditions categorized in three difficulty levels. The performance of the proposed method was evaluated using various accuracy criteria, as well as based on data acquired from different hardware, platforms, viewing perspectives, and at different points of time. The proposed method achieved a 3D registration accuracy at a 0.50-cm level in all difficulty categories using static terrestrial acquisitions. In the terrestrial-aerial registration, data sets were collected from different sensors and at different points of time with scene changes, and a registration accuracy at the raw data geometric accuracy level was achieved. These results represent the highest automated registration accuracy and the strictest evaluation so far. The proposed method is applicable in multiple scenarios, such as 1) the global positioning of individual under-canopy observations, which is one of the main challenges in applying terrestrial observations lacking a global context, 2) the fusion of point clouds acquired from terrestrial and aerial perspectives, which is required in order to achieve a complete forest observation, 3) mobile mapping using a new stop-and-go approach, which solves the problems of lacking mobility and slow data collection in static terrestrial measurements as well as the data-quality issue in the continuous mobile approach. Furthermore, this work proposes a new error estimate that units all parameter-level errors into a single quantity and compensates for the downsides of the widely used parameter- and object-level error estimates; it also proposes a new deterministic point sets registration method as an alternative to the popular sampling methods. © 2022 The Authors</t>
  </si>
  <si>
    <t>Close-range sensing; Discrete overlap search; Drone; Forest; In situ; Point cloud; Registration; Terrestrial laser scanning; Unmanned aerial vehicle; Wide-baseline</t>
  </si>
  <si>
    <t>10.1016/j.fecs.2022.100080</t>
  </si>
  <si>
    <t>https://www.scopus.com/inward/record.uri?eid=2-s2.0-85144771982&amp;doi=10.1016%2fj.fecs.2022.100080&amp;partnerID=40&amp;md5=0b56af9dd61e652c92f37c176d84f7e3</t>
  </si>
  <si>
    <t>P378</t>
  </si>
  <si>
    <t>Cybersecurity Trends in Low-Altitude Air Traffic Management</t>
  </si>
  <si>
    <t>Cybersecurity is a well-recognised issue in the aviation system but effective protection measures have not been implemented yet. Moreover, Artificial Intelligence (AI) algorithms and autonomous technologies are driving innovation, especially with Unmanned Aircraft Systems (UAS)-based commercial transportation methods, which implies the need for enhanced capabilities in critical infrastructures such as Communication, Navigation and Surveillance (CNS), as well as ground networks. Cybercrime is, therefore, seriously threatening the safety of traditional ATM and future UAS Traffic Management (UTM). These threats have gradually evolved from traditional invasion methods to AI-based techniques. Further uptake of AI technologies in aviation is bound to increase the complexity and interdependence of CNS/ATM systems, resulting in an increase in the attack surface. Therefore, it is necessary to address both existing and emerging cyber threats by exploiting AI algorithms and developing adequate defences. This paper analyses a number of cybersecurity issues that are potentially encountered in ATM and UTM systems. The various possible threat agents and threat targets are categorised based on goals, motivations and capabilities. Additionally, the possible attack and corresponding defence methods based on traditional and AI-based techniques are introduced and discussed. © 2022 IEEE.</t>
  </si>
  <si>
    <t>ATM; Communication; Cyber-attacks; Cybersecurity; Navigation; Surveillance; UAS network; UTM; Advanced traffic management systems; Air navigation; Air traffic control; Internet protocols; Network security; Unmanned aerial vehicles (UAV); Artificial intelligence algorithms; Cyber security; Cyber-attacks; Low altitudes; Surveillance; Systems networks; Traffic management; UAS traffic management; Unmanned aircraft system; Unmanned aircraft system network; Cybersecurity</t>
  </si>
  <si>
    <t>10.1109/DASC55683.2022.9925840</t>
  </si>
  <si>
    <t>https://www.scopus.com/inward/record.uri?eid=2-s2.0-85141933926&amp;doi=10.1109%2fDASC55683.2022.9925840&amp;partnerID=40&amp;md5=e44a67c2e4298db86b02866887717daa</t>
  </si>
  <si>
    <t>P379</t>
  </si>
  <si>
    <t>Bottino, V.; De Alteriis, G.; Schiano Lo Moriello, R.; Accardo, D.</t>
  </si>
  <si>
    <t>System Architecture Design of a UAV for Automated Cinematography in GNSS-Challenging Scenarios</t>
  </si>
  <si>
    <t>The paper presents an architecture design of a custom drone whose mission consists in reproducing typical cinematographic shots in unstructured environments, where loss or degradation of the Global Navigation Satellite System (GNSS) signal can be experienced due to jamming, spoofing, and multipath effects. In this application field, an accurate measurement system is required to estimate the drone position and attitude with a high-Accuracy level; in fact, not only do these values have a remarkable impact on the execution of the cinematographic shots, but they also allow to adopt drones in critical environmental conditions such as tunnels, bridges, canyon, and desert which are typical for these applications. The preliminary configuration is designed considering Unmanned Vehicle's navigation and communication requirements; in particular, the paper proposes the integration of a tactical-grade Inertial Navigation Unit (IMU) and an accurate GNSS receiver in RTK (Real-Time Kinematic) mode, and the employment of a 5G Radio-modem to compensate for any signal loss or damage. In addition, an appropriate hardware selection algorithm is proposed to also account for power consumption due to 5G and GNSS module usage depending on the mission type and on the GNSS integrity signal. The employment of 5G technology is then proposed as an advantageous solution in case of GNSS signal loss or damage and, finally, a suitable GNSS/5G integrated methodology is assessed.  © 2022 IEEE.</t>
  </si>
  <si>
    <t>5G; GNSS RTK; IMU; Kalman Filter; UAV; 5G mobile communication systems; Bridges; Computer architecture; Damage detection; Global positioning system; Navigation; Signal receivers; Vehicle to vehicle communications; 5g; Architecture designs; Global navigation satellite system real-time kinematic; Global Navigation Satellite Systems; IMU; Real time kinematic; Signal loss; System architecture design; System signals; Unstructured environments; Drones</t>
  </si>
  <si>
    <t>10.1109/MetroAeroSpace54187.2022.9856262</t>
  </si>
  <si>
    <t>https://www.scopus.com/inward/record.uri?eid=2-s2.0-85137995960&amp;doi=10.1109%2fMetroAeroSpace54187.2022.9856262&amp;partnerID=40&amp;md5=28b6324d0aaf3d4b9ffebc057635869f</t>
  </si>
  <si>
    <t>P38</t>
  </si>
  <si>
    <t>Maqbool, A.; Slimane, J.B.; Khediri, N.; Ammar, M.B.; Kachoukh, A.; Alshammari, A.</t>
  </si>
  <si>
    <t>PROACTIVE CYBER DEFENSE AND FORENSIC INVESTIGATION TECHNIQUES FOR DRONE OPERATION: A HOLISTIC APPROACH</t>
  </si>
  <si>
    <t>The integration of drones into various sectors, such as logistics, surveillance, agriculture, and emergency response, has revolutionized operational capabilities. However, this advancement has also exposed drones to significant cybersecurity threats, necessitating robust forensic investigation techniques. This paper presents a comprehensive approach to enhancing cyber defense mechanisms and forensic investigation methodologies specifically tailored for drone operations. Leveraging deep learning and machine learning techniques, our proposed framework aims to detect, mitigate, and investigate cyber threats targeting drones in real-time. The framework was developed and validated using a combination of publicly available datasets, including the DARPA UAV attack scenarios dataset and UNSW-NB15 network intrusion data, as well as data from controlled drone operation simulations that replicated real-world scenarios, such as surveillance and delivery missions under cyber-attack conditions. This comprehensive approach allows for a holistic evaluation of the framework’s effectiveness across various cyber-attack types. The publicly available datasets include UAV attack scenarios and network intrusion data, which cover a wide range of cyber threats. Additionally, we collected data from simulations of different drone operations, including surveillance and delivery missions, under various cyber-attack conditions. The proposed framework demonstrates significant improvements in real-time threat detection for drones, utilizing deep learning and machine learning techniques. The framework was tested using both publicly available datasets and simulations of drone operations under various attack scenarios, achieving high accuracy (95.3%), precision (94.8%), recall (93.7%), and F1-score (94.2%) for CNN-based threat detection. These results highlight the robustness of our approach in enhancing the security and reliability of drone operations. The study contributes to the field of drone cybersecurity by offering a scalable and real-time defense mechanism, supported by a forensic investigation framework. Comparisons with existing techniques highlight significant improvements achieved by our approach. Furthermore, we present case studies that illustrate the practical application of our framework in real-world scenarios, showcasing its capability to handle both cyber-attack and forensic investigation situations effectively. Finally, we address the challenges and limitations encountered during the research, providing insights into potential future work. This paper contributes significantly to the field of drone cybersecurity and forensic investigation, offering a holistic approach that enhances the safety and reliability of drone operations. © Little Lion Scientific.</t>
  </si>
  <si>
    <t>Anomaly Detection; Case Studies; Cyber Defense Framework; Deep Learning; Digital Forensics; Drone Cybersecurity; Forensic Investigation; Machine Learning; Network Intrusion Data; Performance Metrics; Threat Detection; UAV Attack Scenarios</t>
  </si>
  <si>
    <t>https://www.scopus.com/inward/record.uri?eid=2-s2.0-85206446209&amp;partnerID=40&amp;md5=bf0ec7a31e9d9fbae40831a362d732a3</t>
  </si>
  <si>
    <t>P380</t>
  </si>
  <si>
    <t>Xie, Y.; Gardi, A.; Sabatini, R.; Liang, A.</t>
  </si>
  <si>
    <t>Hybrid AI-based Dynamic Re-routing Method for Dense Low-Altitude Air Traffic Operations</t>
  </si>
  <si>
    <t>In this paper, we propose a rerouting method based on hybrid Artificial Intelligence (AI) algorithms for managing Unmanned Aircraft Systems (UAS) and Urban Air Mobility (UAM) traffic during their cruise and approach phases. The adopted approach capitalizes upon FourDimensional Trajectory (4DT) functionalities, supporting an uncertainty-resilient and flexible strategic deconfliction framework to improve the operational efficiency and security of Demand-Capacity Balancing (DCB) services. The objective is to accommodate future UAM and other autonomous vehicle-based business models by safely implementing traffic management in dense low-altitude airspace around cities and suburbs. The proposed UAS Traffic Management (UTM) system uses metaheuristic algorithm, especially the Tabu-search algorithm, to determine a global optimised rerouting solution. The calculated solutions can be continuously used as labelled data to train and optimise a machine learning process for real-time decision making, greatly improving the computational performance of intelligent UTM systems. © 2022 IEEE.</t>
  </si>
  <si>
    <t>A; ATM; Cybersecurity; DCB; Metaheuristics Algorithm; Path Planning; Re-routing; UTM; Air traffic control; Balancing; Decision making; Learning algorithms; Motion planning; Real time systems; Routing algorithms; Tabu search; A; Capacity balancing; Cyber security; Demand-capacity balancing; Hybrid artificial intelligences; Meta-heuristics algorithms; Re-routing; Traffic management; UAS traffic management; Unmanned aircraft system; Air mobility</t>
  </si>
  <si>
    <t>10.1109/DASC55683.2022.9925777</t>
  </si>
  <si>
    <t>https://www.scopus.com/inward/record.uri?eid=2-s2.0-85141937859&amp;doi=10.1109%2fDASC55683.2022.9925777&amp;partnerID=40&amp;md5=44bab509b12d9ad3ae47367275106bea</t>
  </si>
  <si>
    <t>P381</t>
  </si>
  <si>
    <t>Kariri, E.</t>
  </si>
  <si>
    <t>IoT Powered Agricultural Cyber-Physical System: Security Issue Assessment</t>
  </si>
  <si>
    <t>Smart farming or development in agriculture Cyber-Physical Systems has led to the development of various IOT based innovative platforms to aid automated systems for precision agriculture. There are smart devices (IoT devices, smart vehicles, UAVs, ROVs, and drones) and sensors (magnetic, electrochemical, and mechanical sensors)constantly connected at the edge and procure data that is uploaded to cloud-based interfaces for further processing. The sensors can be maneuvered using an insecure, intelligent farming system to create choreographed cybersecurity attacks on a particular farm. End-to-end system is achieved by putting together smart devices, communication media, uploading data to the cloud, intermediate nodes, and processing this data at a central unit like the cloud or intermediate processing at other nodes. Cyber-physical systems are a combination of many technologies, resulting in a large number of security threats. This chapter is to delineate the attack vectors and categories of threats that can be performed on these innovative IOT based agricultural products; if not appropriately secured, can lead to more strategized and sophisticated security attacks that can hinder production for a region under effect and thus bringing down the economy and food stocks of Nations who implemented smart agriculture. © 2022 IETE.</t>
  </si>
  <si>
    <t>IoT security; IoT security threats; Smart agriculture; Smart farming; Threat intelligence; Agricultural products; Automation; Cyber Physical System; Cybersecurity; Internet of things; Security systems; Automated systems; IoT security; IoT security threat; Precision Agriculture; Security issues; Security threats; Smart agricultures; Smart devices; Smart farming; Threat intelligence; Embedded systems</t>
  </si>
  <si>
    <t>10.1080/03772063.2022.2032848</t>
  </si>
  <si>
    <t>https://www.scopus.com/inward/record.uri?eid=2-s2.0-85125460363&amp;doi=10.1080%2f03772063.2022.2032848&amp;partnerID=40&amp;md5=6579dc0555d42c72d1803b72d70220b7</t>
  </si>
  <si>
    <t>P382</t>
  </si>
  <si>
    <t>Khanapuri, E.; Sharma, R.; Brink, K.</t>
  </si>
  <si>
    <t>Learning-based Detection of Stealthy False Data Injection Attack Applied to Cooperative Localization Problem</t>
  </si>
  <si>
    <t>Security of autonomous, connected UAVs plays an essential role in their far-reaching capability and acceptance. A single adversarial UAV injected with false bearing measurements in the cooperative localization setting can disrupt other UAVs sharing bearing information with the adversarial UAV. This paper focuses on detecting the stealthy false data injection (not detected by statistical tests) attacks on UAVs in the cooperative localization environment. Our approach is decentralized and requires only local bearing measurements of the UAVs. To detect the attacks, we have explored both machine learning and deep learning methods, such as Dynamic Time Wrapping-Nearest Neighbor (DTW-NN) classifier, Fully Connected Deep Neural Network (FCDNN), and Convolutional Neural Network (CNN). We have shown that pre-processing techniques like Gramian Angular Fields (GAF) and Markov Transition fields improve the performance of deep CNN in detecting attacks. Also, three decentralized detection strategies, Unique Neural Network (UNN), General Neural Network (GNN), and One Shot learning, are studied. The results show that we can achieve up to 98% accuracy with the One-Shot learning approach. The problem can be generalized to n number of UAVs in the environment with various sensing topologies. Finally, the results also show the performance of the strategies and algorithms when the attacker has complete and incomplete information about the system. © 2022, American Institute of Aeronautics and Astronautics Inc.. All rights reserved.</t>
  </si>
  <si>
    <t>Aircraft detection; Aviation; Convolutional neural networks; Unmanned aerial vehicles (UAV); Cooperative localization; Decentralised; False data injection; False data injection attacks; Learning methods; Localization problems; Measurements of; Neural-networks; One-shot learning; Performance; Deep neural networks</t>
  </si>
  <si>
    <t>10.2514/6.2022-2543</t>
  </si>
  <si>
    <t>https://www.scopus.com/inward/record.uri?eid=2-s2.0-85123870568&amp;doi=10.2514%2f6.2022-2543&amp;partnerID=40&amp;md5=b958b21f525e18ee30e74bd8ad0bd275</t>
  </si>
  <si>
    <t>P383</t>
  </si>
  <si>
    <t>Barenji, R.V.; Nejad, M.G.</t>
  </si>
  <si>
    <t>Blockchain Applications in UAV-Towards Aviation 4.0</t>
  </si>
  <si>
    <t>Aviation 4.0 is one of the most important contexts that started to attract many researchers in recent years. The main element of Aviation 4.0 is to employ and manage unmanned aircraft vehicles (UAVs). Employing UAVs in the Aviation 4.0 era will minimize the human dependency level of the aviation management systems. Embedding UAVs with Blockchain technology (BCT) might become an increasing phenomenon since the UAVs should be operated in an environment with many obstacles and possibilities of cyber-attacks. Therefore, using BCT, regulators in the whole world will be able to track the identities of UAVs flying in their territories. This chapter provides detailed information about the BCT and explains its implementation architecture, and the potential applications of this technology in the UAV in the Aviation 4.0 era are also stated. © 2022, The Author(s), under exclusive license to Springer Nature Switzerland AG.</t>
  </si>
  <si>
    <t>Applications; Aviation 4.0; Blockchain technology; Cyber-physical system; Unmanned aircraft vehicles (UAVs)</t>
  </si>
  <si>
    <t>10.1007/978-3-030-75067-1_18</t>
  </si>
  <si>
    <t>https://www.scopus.com/inward/record.uri?eid=2-s2.0-85114866437&amp;doi=10.1007%2f978-3-030-75067-1_18&amp;partnerID=40&amp;md5=66cbced08c17853f74425daf0b5ebde4</t>
  </si>
  <si>
    <t>P384</t>
  </si>
  <si>
    <t>Sokolov, V.; Skladannyi, P.; Platonenko, A.</t>
  </si>
  <si>
    <t>Video Channel Suppression Method of Unmanned Aerial Vehicles</t>
  </si>
  <si>
    <t>For this paper, a noise generator based on the ADF435x board was developed and a spectrum analyzer based on Pololu Wixel with OLED. A simple Unmanned Aerial Vehicle (UAV) DJI Tello was used as a test bench, which operates in the 2.4 GHz frequency range. The problem of cooling the stationary UAV was constructively solved during the creation of the experimental model. The study results show that the influence of an external noise generator can lead to significant image distortions, which can lead to piloting errors. And after the limit value of 7.33%, the video signal transmission is stopped, and the control signals may be partially lost.  © 2022 IEEE.</t>
  </si>
  <si>
    <t>cyberattack; drone; jamming; noise generator; radio suppression; UAV; unmanned aerial vehicle; Antennas; Jamming; Spectrum analyzers; Aerial vehicle; Cyber-attacks; Jamming; Radio suppression; Simple++; Suppression method; Unmanned aerial vehicle; Video channels; Drones</t>
  </si>
  <si>
    <t>10.1109/ELNANO54667.2022.9927105</t>
  </si>
  <si>
    <t>https://www.scopus.com/inward/record.uri?eid=2-s2.0-85142604882&amp;doi=10.1109%2fELNANO54667.2022.9927105&amp;partnerID=40&amp;md5=4b65ec91f170cdaaa9d5919b75ad04c3</t>
  </si>
  <si>
    <t>P385</t>
  </si>
  <si>
    <t>Sun, Y.; Ma, O.</t>
  </si>
  <si>
    <t>Automating Aircraft Scanning for Inspection or 3D Model Creation with a UAV and Optimal Path Planning</t>
  </si>
  <si>
    <t>Visual inspections of aircraft exterior surfaces are required in aircraft maintenance routines for identifying possible defects such as dents, cracks, leaking, broken or missing parts, etc. This process is time-consuming and is also prone to error if performed manually. Therefore, it has become a trend to use mobile robots equipped with visual sensors to perform automated inspections. For such a robotic inspection, a digital model of the aircraft is usually required for planning the robot’s path, but a CAD model of the entire aircraft is usually inaccessible to most maintenance shops. It is very labor-intensive and time-consuming to generate an accurate digital model of an aircraft, or even a large portion of it, because the scanning work still must be performed manually or by a manually controlled robotic system. This paper presents a two-stage approach of automating aircraft scanning with an unmanned aerial vehicle (UAV) or autonomous drone equipped with a red–green–blue and depth (RGB-D) camera for detailed inspection or for reconstructing a digital replica of the aircraft when its original CAD model is unavailable. In the first stage, the UAV–camera system follows a predefined path far from the aircraft surface (for safety) to quickly scan the aircraft and generate a coarse model of the aircraft. Then, an optimal scanning path (much closer to the surface) in the sense of the shortest flying distance for full coverage is computed based on the coarse model. In the second stage, the UAV–camera system follows the computed path to closely inspect the surface for possible defects or scan the surface for generating a dense and precise model of the aircraft. We solved the coverage path planning (CPP) problem for the aircraft inspection or scanning using a Monte Carlo tree search (MCTS) algorithm. We also implemented the max–min ant system (MMAS) strategy to demonstrate the effectiveness of our approach. We carried out a digital experiment and the results showed that our approach can scan 70% of the aircraft surface within one hour, which is much more efficient than manual scanning. © 2022 by the authors. Licensee MDPI, Basel, Switzerland.</t>
  </si>
  <si>
    <t>3D digitizing; aircraft inspection; aircraft scanning; optimization; path planning; UAV; Aircraft detection; Cash registers; Drones; Geological surveys; Health risks; Linear programming; Mobile robots; Risk analysis; Risk assessment; Risk perception; Robot programming; 3d digitizing; Aerial vehicle; Aircraft inspections; Aircraft scanning; Aircraft surface; CAD models; Camera systems; Digital modeling; Optimisations; Unmanned aerial vehicle; Motion planning</t>
  </si>
  <si>
    <t>10.3390/drones6040087</t>
  </si>
  <si>
    <t>https://www.scopus.com/inward/record.uri?eid=2-s2.0-85128028751&amp;doi=10.3390%2fdrones6040087&amp;partnerID=40&amp;md5=8f4c65c0ec90172b1fac96f78105ea8b</t>
  </si>
  <si>
    <t>P386</t>
  </si>
  <si>
    <t>Ihekoronye, V.U.; Ajakwe, S.O.; Kim, D.-S.; Lee, J.M.</t>
  </si>
  <si>
    <t>Cyber Edge Intelligent Intrusion Detection Framework For UAV Network Based on Random Forest Algorithm</t>
  </si>
  <si>
    <t>The synchronization of swarms of drones (also known as unmanned aerial vehicles (UAV)) in a network can be attributed to their high mobility and maneuverability capabilities, making them deployable for time-critical operations such as security surveillance, disaster management, and search and rescue operations. However, the resource constraints of these flying robots are limitations to their functionalities. Likewise, the neglect of the security status of this network significantly promotes attacks by invaders, thus, thwarting the mission of this network. In this study, mobile edge computing (MEC) technology and anomaly-based intrusion detection scheme are leveraged to curb these challenges using an optimized Random Forest (RCSV) model embedded in dedicated UAV-MEC servers. The selection of prominent features and hyperparameters for modeling an optimized attack predictor is enabled by Pearson correlation coefficient (PCC) and randomized search cross-validation techniques. Also, the training and evaluation of the proposed model were achieved using intrusion detection data set (CICIDS2017 data set) comprised of complex network attack types. The simulation results obtained by the model in the detection and classification of the different attacks in the network (accuracy = 99.87%, precision = 99.32%, recall = 98.81 % and F1-score = 99.06%) shows its superiority over other optimized machine learning models and some existing models utilized in previous research.  © 2022 IEEE.</t>
  </si>
  <si>
    <t>Drones Security; Intrusion Detection System; Mobile edge computing; Pearson Correlation Coefficient; Random Forest; UAV Network; Aircraft detection; Anomaly detection; Antennas; Complex networks; Computer crime; Correlation methods; Cybersecurity; Decision trees; Disaster prevention; Intrusion detection; Mobile edge computing; Network security; Random forests; Aerial vehicle; Data set; Detection framework; Drone security; Intrusion Detection Systems; Intrusion-Detection; Pearson correlation coefficients; Random forests; Unmanned aerial vehicle network; Vehicle network; Drones</t>
  </si>
  <si>
    <t>10.1109/ICTC55196.2022.9952400</t>
  </si>
  <si>
    <t>https://www.scopus.com/inward/record.uri?eid=2-s2.0-85143256198&amp;doi=10.1109%2fICTC55196.2022.9952400&amp;partnerID=40&amp;md5=788345469fdd1977f3f4808746d82753</t>
  </si>
  <si>
    <t>P387</t>
  </si>
  <si>
    <t>https://www.scopus.com/inward/record.uri?eid=2-s2.0-85151060560&amp;doi=10.1007%2f978-3-031-19309-5_36&amp;partnerID=40&amp;md5=f8e46a3e6a39045c857607e2c2a0f006</t>
  </si>
  <si>
    <t>P388</t>
  </si>
  <si>
    <t>Intwala, K.; Jatav, S.; Kolhe, K.</t>
  </si>
  <si>
    <t>System to capture WiFi based Drones using IoT</t>
  </si>
  <si>
    <t>The Internet of Things (IoT) has emerged as one of the most vital technologies of the twenty-first century in recent years. IoT can be described as the common physical objects that are digitally connected. Things in IoT refers to all the physical objects like sensors that can be used to be embedded with software. A drone is a type of unmanned aerial vehicle. It does not have a human pilot on board, as the name implies. Because of its compact size and lightweight mechanism, it has a lot of potential to carry out tasks that will make our lives easier. Drones may be controlled via different mediums like wifi transmissions and radio frequency signals. In the case of radio frequency drones, the drones are typically controlled via a remote controller, although wifi equipped drones may also be controlled by devices with wifi access, such as smart phones. Due to the qualities of the drone, they have become popular for use in both legal and unlawful activities, such as delivering illegal materials across country borders. Anti-drone systems are thus being developed in anticipation of their potential use in future smart cities. However, the cost of each anti-drone technology is currently too exorbitant to be employed in civilian settings. As a result, we've offered a notion for creating an anti-drone system utilizing IoT technologies in this article. Making an anti-drone system with Raspberry Pi and Wifi-Pineapple is the subject of this study. Wireless assaults can knock down or even take control of wifi-enabled drones, forcing them to make a safe or emergency landing. In this paper we have tried to bring down the drone in the vicinity of the system by means of a wireless attack using the above components. The wireless attack consists of deauthentication attack and wireless password cracking. In this study, the findings and the attack success rate have been described. The DJI Tello, a WIFI-enabled drone, was the one used in this experiment, and the system was automated so that it could decide for itself how to carry out the attacks.  © 2022 IEEE.</t>
  </si>
  <si>
    <t>Anti-drone System; Automation; IoT; Wireless Attacks; Antennas; Internet of things; Radio transmission; Radio waves; Remote control; Smartphones; Wi-Fi; Wireless local area networks (WLAN); Aerial vehicle; Anti-drone system; Compact size; Drone system; Human pilots; Physical objects; Radiofrequencies; Radiofrequency signals; Transmission frequencies; Wireless attack; Drones</t>
  </si>
  <si>
    <t>10.1109/ICCUBEA54992.2022.10011038</t>
  </si>
  <si>
    <t>https://www.scopus.com/inward/record.uri?eid=2-s2.0-85147444972&amp;doi=10.1109%2fICCUBEA54992.2022.10011038&amp;partnerID=40&amp;md5=048845b199245b0b5d5ea23c276c8088</t>
  </si>
  <si>
    <t>P389</t>
  </si>
  <si>
    <t>Liang, C.; Miao, M.; Ma, J.; Yan, H.; Zhang, Q.; Li, X.</t>
  </si>
  <si>
    <t>Detection of global positioning system spoofing attack on unmanned aerial vehicle system</t>
  </si>
  <si>
    <t>Most of the existing global positioning system (GPS) spoofing detection schemes are vulnerable to the generative GPS spoofing attack, or require additional auxiliary equipment and extensive signal processing capabilities, leading to defects such as low real-time performance and large communication overhead which are not available for the unmanned aerial vehicle (UAV, also known as drone) system. Therefore, we propose a novel solution which employs information fusion based on the GPS receiver and inertial measurement unit. We use a real-time model of tracking and calculating to derive the current position of the drones which are then contrasted with the position information received by the receiver to verify whether the presence or absence of spoofing attack. Subsequent experimental work shows that, the proposed method can accurately detect the spoof within 8 seconds, with a detection rate (DR) of 98.6%. Compared with the existing schemes, the performance of real-time detecting is improved while the DR is ensured. Even in our worst-case, we detect the spoof within 28 seconds after the UAV system starts its mission. © 2020 John Wiley &amp; Sons Ltd</t>
  </si>
  <si>
    <t>attack detection; drone; GPS spoofing; UAV; Antennas; Auxiliary equipment; Drones; Global positioning system; Signal processing; Communication overheads; Detection scheme; Inertial measurement unit; Position information; Real time modeling; Real time performance; Signal processing capability; Unmanned aerial vehicle systems; Aircraft detection</t>
  </si>
  <si>
    <t>10.1002/cpe.5925</t>
  </si>
  <si>
    <t>https://www.scopus.com/inward/record.uri?eid=2-s2.0-85088312463&amp;doi=10.1002%2fcpe.5925&amp;partnerID=40&amp;md5=b26fa5588b2159625ea21aed4b644632</t>
  </si>
  <si>
    <t>P39</t>
  </si>
  <si>
    <t>Khan, M.A.; Javaid, S.; Mohsan, S.A.H.; Tanveer, M.; Ullah, I.</t>
  </si>
  <si>
    <t>Future-Proofing Security for UAVs With Post-Quantum Cryptography: A Review</t>
  </si>
  <si>
    <t>Unmanned Aerial Vehicles (UAVs), commonly known as drones, are increasingly being employed across a broad spectrum of applications, ranging from military operations to commercial purposes. However, as UAVs become more integrated into everyday life, security and privacy concerns are similarly escalating due to vulnerabilities arising from operating on open wireless channels and having limited onboard computational resources. Moreover, with the emergence of quantum computers, conventional cryptographic methods that ensure the security and privacy of UAV communications are at severe risk. These risks encompass the possibility of unauthorized access, breaches of data, and cyber-physical attacks that jeopardize the integrity, confidentiality, and availability of UAV operations. Quantum computers are expected to break the conventional cryptography methods, such as symmetric and asymmetric schemes, with the support of Grover's and Shor's algorithms, respectively. Consequently, traditional cryptographic algorithms must give way to quantum-resistant algorithms, referred to as Post-Quantum Cryptography (PQC) algorithms. Although researchers actively develop, test, and standardize new PQC algorithms, the threat persists despite the progress made through these consistent efforts. This review article first examines the security and privacy landscape, including threats and requirements of UAVs. This article also discusses PQC and various PQC families and the status of the NIST's implementation and standardization process. Lastly, we explore challenges and future directions in implementing PQC for UAVs. © 2020 IEEE.</t>
  </si>
  <si>
    <t>Post-quantum cryptography; privacy; quantum attacks; security; UAVs; Aircraft communication; Computer crime; Cyber attacks; Differential privacy; Quantum communication; Quantum cryptography; Quantum electronics; Unmanned aerial vehicles (UAV); Aerial vehicle; Broad spectrum; Cryptography algorithms; Post quantum cryptography; Privacy; Quanta computers; Quantum attack; Security; Security and privacy; Unmanned aerial vehicle; Quantum computers</t>
  </si>
  <si>
    <t>10.1109/OJCOMS.2024.3486649</t>
  </si>
  <si>
    <t>https://www.scopus.com/inward/record.uri?eid=2-s2.0-85208113366&amp;doi=10.1109%2fOJCOMS.2024.3486649&amp;partnerID=40&amp;md5=b7bf1318a54c38e682a17fd1dea8c7df</t>
  </si>
  <si>
    <t>P390</t>
  </si>
  <si>
    <t>Ferreira, R.; Gaspar, J.; Sebastião, P.; Souto, N.</t>
  </si>
  <si>
    <t>A Software Defined Radio Based Anti-UAV Mobile System with Jamming and Spoofing Capabilities</t>
  </si>
  <si>
    <t>The number of incidents between unmanned aerial vehicles (UAVs) and aircrafts at airports and airfields has been increasing over the last years. To address the problem, in this paper we describe a portable system capable of protecting areas against unauthorized UAVs, which is based on the use of low-cost SDR (software defined radio) platforms. The proposed anti-UAV system supports target localization and integrates effective jamming techniques with the generation of global positioning system (GPS) spoofing signals aimed at the drone. Real-life tests of the implemented prototype have shown that the proposed approach is capable of stopping the reliable reception of radionavigation signals and can also divert or even take control of unauthorized UAVs, whose flight path depends on the information obtained by the GPS system. © 2022 by the authors. Licensee MDPI, Basel, Switzerland.</t>
  </si>
  <si>
    <t>GPS spoofing; Jamming; Radionavigation; Software defined radio; Unmanned aerial vehicles; Aircraft accidents; Analog circuits; Antennas; Jamming; Radio; Radio navigation; Radio receivers; Software radio; Unmanned aerial vehicles (UAV); Airports and airfields; Global positioning system spoofing; Low-costs; Mobile systems; Portable system; Protecting areas; Radio platforms; Software-defined radios; Systems support; Unmanned aerial vehicle systems; article; global positioning system; software; unmanned aerial vehicle; Global positioning system</t>
  </si>
  <si>
    <t>10.3390/s22041487</t>
  </si>
  <si>
    <t>https://www.scopus.com/inward/record.uri?eid=2-s2.0-85124475848&amp;doi=10.3390%2fs22041487&amp;partnerID=40&amp;md5=e537813919673ea5ee8c13dd9ec4e9af</t>
  </si>
  <si>
    <t>P391</t>
  </si>
  <si>
    <t>Seo, S.; Han, S.; Kim, D.</t>
  </si>
  <si>
    <t>D-CEWS: DEVS-Based Cyber-Electronic Warfare M&amp;S Framework for Enhanced Communication Effectiveness Analysis in Battlefield</t>
  </si>
  <si>
    <t>Currently, in the field of military modernization, tactical networks using advanced unmanned aerial vehicle systems, such as drones, place an emphasis on proactively preventing operational limiting factors produced by cyber-electronic warfare threats and responding to them. This characteristic has recently been highlighted as a key concern in the functioning of modern network-based combat systems in research on combat effect analysis. In this paper, a novel discrete-event-system-specification-based cyber-electronic warfare M&amp;S (D-CEWS) was first proposed as an integrated framework for analyzing communication effects and engagement effects on cyber-electronic warfare threats and related countermeasures that may occur within drones. Accordingly, for the first time, based on communication metrics in tactical ad hoc networks, an analysis was conducted on the engagement effect of blue forces by major wireless threats, such as multi-layered jamming, routing attacks, and network worms. In addition, the correlations and response logics between competitive agents were also analyzed in order to recognize the efficiency of mutual engagements between them based on the communication system incapacitation scenarios for diverse wireless threats. As a result, the damage effect by the cyber-electronic warfare threat, which could not be considered in the existing military M&amp;S, could be calculated according to the PDR (packet delivery ratio) and related malicious pool rate change in the combat area, and the relevance with various threats by a quantifiable mission attribute given to swarming drones could also be additionally secured. © 2022 by the authors. Licensee MDPI, Basel, Switzerland.</t>
  </si>
  <si>
    <t>ad hoc; cyber-electronic warfare; modeling and simulation; security; wireless threat; Communication; Computer Security; Electronics; Unmanned Aerial Devices; Ad hoc networks; Antennas; Cybersecurity; Drones; Electronic warfare; Military applications; Military vehicles; Network layers; Ad hoc; Communication effectiveness; Cybe-electronic warfare; Effectiveness analysis; Military modernization; Model and simulation; Security; Tactical network; Unmanned aerial vehicle systems; Wireless threat; computer security; electronics; interpersonal communication; Specifications</t>
  </si>
  <si>
    <t>10.3390/s22093147</t>
  </si>
  <si>
    <t>https://www.scopus.com/inward/record.uri?eid=2-s2.0-85128345522&amp;doi=10.3390%2fs22093147&amp;partnerID=40&amp;md5=2cf95898d2c6e2141e7c62e70a7c75f6</t>
  </si>
  <si>
    <t>P392</t>
  </si>
  <si>
    <t>Hollenbeck, D.; Zulevic, D.; Chen, Y.</t>
  </si>
  <si>
    <t>Advanced leak detection and quantification of methane emissions using sUAS</t>
  </si>
  <si>
    <t>Detecting and quantifying methane emissions is gaining an increasingly vital role in mitigating emissions for the oil and gas industry through early detection and repair and will aide our understanding of how emissions in natural ecosystems are playing a role in the global carbon cycle and its impact on the climate. Traditional methods of measuring and quantifying emissions utilize chamber methods, bagging individual equipment, or require the release of a tracer gas. Advanced leak detection techniques have been developed over the past few years, utilizing technologies, such as optical gas imaging, mobile surveyors equipped with sensitive cavity ring down spectroscopy (CRDS), and manned aircraft and satellite approaches. More recently, sUAS-based approaches have been developed to provide, in some ways, cheaper alternatives that also offer sensing advantages to traditional methods, including not being constrained to roadways and being able to access class G airspace (0-400 ft) where manned aviation cannot travel. This work looks at reviewing methods of quantifying methane emissions that can be, or are, carried out using small unmanned aircraft systems (sUAS) as well as traditional methods to provide a clear comparison for future practitioners. This includes the current limitations, capabilities, assumptions, and survey details. The suggested technique for LDAQ depends on the desired accuracy and is a function of the survey time and survey distance. Based on the complexity and precision, the most promising sUAS methods are the near-field Gaussian plume inversion (NGI) and the vertical flux plane (VFP), which have comparable accuracy to those found in conventional state-of-the-art methods. © 2021 by the authors. Licensee MDPI, Basel, Switzerland.</t>
  </si>
  <si>
    <t>Advanced leak detection; Advanced leak quantification; Environmental monitoring; Landfill; Natural gas; Remote sensing; Source estimation; Aircraft detection; Control towers; Direct air capture; Laser beams; Leak detection; Low emission; Ultraviolet spectroscopy; Unmanned aerial vehicles (UAV); Advanced leak detection; Advanced leak quantification; Detection and quantifications; Environmental Monitoring; Leaks detections; Methane emissions; Remote-sensing; Small unmanned aircrafts; Source estimation; Unmanned aircraft system; Gas industry</t>
  </si>
  <si>
    <t>10.3390/drones5040117</t>
  </si>
  <si>
    <t>https://www.scopus.com/inward/record.uri?eid=2-s2.0-85118550606&amp;doi=10.3390%2fdrones5040117&amp;partnerID=40&amp;md5=0802a72461da41b62b03d08ba1a3a224</t>
  </si>
  <si>
    <t>P393</t>
  </si>
  <si>
    <t>Silva, L.D.C.; Dias, F.F.; de Assis, V.C.; Pinto, C.B.; Rangel, F.E.</t>
  </si>
  <si>
    <t>Validation of the positional accuracy of products resulting from the digital processing of UAV images1</t>
  </si>
  <si>
    <t>Unmanned aerial vehicles (UAVs), also known as drones, are being increasingly applied in different demands and applications, mainly in mapping. Despite the agility and practicality provided by this technology, the image processing software programs currently available on the market are costly and cannot meet teaching/research demands, especially in Brazilian public universities. In this context, this study aimed to evaluate the positional accuracy of products resulting from the digital processing of UAV images using commercial software (Agisoft Metashape) and open-source software (Opendronemap). The planimetric accuracy of the orthophoto mosaic resulting from the two software was not acceptable according to the tolerances defined in the standardization document for planimetric and altimetric accuracy for digital geospatial data, established by the ASPRS (American Society for Photogrammetry and Remote Sensing). Only the altimetric accuracy corresponding to the DEM produced by Opendronemap was satisfactory. © 2022, Departamento de Engenharia Agricola - UFCG/Cnpq. All rights reserved.</t>
  </si>
  <si>
    <t>digital elevation model; orthophoto mosaic; remotely piloted aircraft</t>
  </si>
  <si>
    <t>10.1590/1807-1929/agriambi.v26n8p624-630</t>
  </si>
  <si>
    <t>https://www.scopus.com/inward/record.uri?eid=2-s2.0-85134766649&amp;doi=10.1590%2f1807-1929%2fagriambi.v26n8p624-630&amp;partnerID=40&amp;md5=36bffd4da6d665d3daf36fe5bb422474</t>
  </si>
  <si>
    <t>P394</t>
  </si>
  <si>
    <t>Del Peral-Rosado, J.A.; Nolle, P.; Razavi, S.M.; Lindmark, G.; Shrestha, D.; Gunnarsson, F.; Kaltenberger, F.; Sirola, N.; Sarkka, O.; Rostrom, J.; Vaarala, K.; Miettinen, P.; Pojani, G.; Canzian, L.; Babaroglu, H.; Rastorgueva-Foi, E.; Talvitie, J.; Flachs, D.</t>
  </si>
  <si>
    <t>Design Considerations of Dedicated and Aerial 5G Networks for Enhanced Positioning Services</t>
  </si>
  <si>
    <t>Dedicated and aerial fifth generation (5G) networks, here called 5G overlay networks, are envisaged to enhance existing positioning services, when combined with global navigation satellite systems (GNSS) and other sensors. There is a need for accurate and timely positioning in safety-critical automotive and aerial applications, such as advanced warning systems or in urban air mobility (UAM). Today, these high-accuracy demands can partially be satisfied by GNSS, though not in dense urban conditions or under GNSS threats (e.g. interference, jamming or spoofing). Temporary and on-demand 5G network deployments using ground and flying base stations (BSs) are indeed a novel solution to exploit hybrid GNSS, 5G and sensor algorithms for the provision of accurate three-dimensional (3D) position and motion information, especially for challenging urban and suburban scenarios. Thus, this paper first analyzes the positioning technologies available, including signals, positioning methods, algorithms and architectures. Then, design considerations of 5G overlay networks are discussed, by including simulation results on the 5G signal bandwidth, antenna array and network deployment.  © 2022 IEEE.</t>
  </si>
  <si>
    <t>5G; GNSS; Hybrid Positioning; UAV; Air mobility; Air navigation; Antenna arrays; Design; Global positioning system; Queueing networks; Safety engineering; Unmanned aerial vehicles (UAV); 5g; Advanced warnings; Aerial application; Automotive applications; Design considerations; Global Navigation Satellite Systems; High-accuracy; Hybrid positioning; Network deployment; Urban air; 5G mobile communication systems</t>
  </si>
  <si>
    <t>10.1109/NAVITEC53682.2022.9847557</t>
  </si>
  <si>
    <t>https://www.scopus.com/inward/record.uri?eid=2-s2.0-85137360422&amp;doi=10.1109%2fNAVITEC53682.2022.9847557&amp;partnerID=40&amp;md5=d92f560c35e0374833b0df84c656a24f</t>
  </si>
  <si>
    <t>P395</t>
  </si>
  <si>
    <t>Žnidarič, A.; Kreslin, M.; Anžlin, A.; Krivic, A.; Mongus, D.</t>
  </si>
  <si>
    <t>Towards Automated Detection of Cracked Concrete</t>
  </si>
  <si>
    <t>When inspecting bridges, unmanned aerial vehicles or drones can provide eyes that can be used even without traffic closures, which is a significant issue for bridge owners. Their impact on direct and indirect costs can be even more valuable when inspecting high bridges with large spans. If a drone carries high definition lenses with a long focal length that can capture images of cracked concrete from a distance, and if the process of automated detection of cracked concrete can be applied, its scope for monitoring the progress of damaged bridges can be significantly extended. This article presents the concept and some results of a study on using drones for such a purpose. The investigations were initially performed under controlled laboratory conditions to simulate cracks in the reinforced concrete block. The analysis showed that in a photogrammetry 3D model, cracks of 0.2 mm and wider could be measured with reasonable accuracy. Crack detection efficiency was demonstrated on a concrete sample using deep convolutional neural networks, and an 80% accuracy rate was achieved. The validation procedure applied only a small number of real-world images; therefore, its performance, as also stated by other studies, can be additionally improved when a larger dataset is considered. © 2022, The Author(s), under exclusive license to Springer Nature Switzerland AG.</t>
  </si>
  <si>
    <t>Concrete crack; Deep convolutional neural networks; Unmanned aerial vehicle; Visual inspection; 3D modeling; Aircraft detection; Antennas; Convolution; Convolutional neural networks; Deep neural networks; Drones; Image enhancement; Reinforced concrete; Automated detection; Capture images; Concrete cracks; Controlled laboratories; Cracked concretes; Direct and indirect costs; High definition; Large span; Long focal lengths; Visual inspection; Crack detection</t>
  </si>
  <si>
    <t>10.1007/978-3-030-91877-4_147</t>
  </si>
  <si>
    <t>https://www.scopus.com/inward/record.uri?eid=2-s2.0-85121936039&amp;doi=10.1007%2f978-3-030-91877-4_147&amp;partnerID=40&amp;md5=ebfc5a392f32f8e08d1432b88940b5a1</t>
  </si>
  <si>
    <t>P396</t>
  </si>
  <si>
    <t>11th International Congress of Telematics and Computing, WITCOM 2022</t>
  </si>
  <si>
    <r>
      <rPr>
        <sz val="11"/>
        <color rgb="FF000000"/>
        <rFont val="Calibri"/>
        <family val="2"/>
        <scheme val="minor"/>
      </rPr>
      <t>The proceedings contain 30 papers. The special focus in this conference is on Telematics and Computing. The topics include: Storytelling to Visualize Changes in Regions Based on Social Inclusion Indicators; Open edX as a Learning Remote Platform for Mexico City-IPN; implementation of Time-Frequency Moments for the Classification of Atrial Fibrillation Sequences Through a Bidirectional Long-Short Term Memory Network; Construction of a Technological Component to Support ISMS for the Detection of Obfuscation in Computer Worm Samples; design and Implementation of an Interactive Photoplethysmography and Galvanic Skin Response Based Gamepad; Simulation and Implementation of an Environmental Monitoring System Based on LPWAN/IoT; blockchain Technology Applied to Health Care Supply Chain; analysis of Music Provenanced of Intelligence Artificial and its Possible Advantages in Therapeutic Non-pharmacologic; Methodology for the Acquisition and Forensic Analysis of a Remote Piloted Aircraft System (RPAS); adaptive Based Frequency Domain Filter for Periodic Noise Reduction in Images Acquired by Projection Fringes; multiobjective Model for Resource Allocation Optimization: A Case Study; reinforcement Learning Applied to Position Control of a Robotic Leg: An Overview; Digital Transformation of Higher Education: Mexico City-IPN as a Practical Case;</t>
    </r>
    <r>
      <rPr>
        <sz val="11"/>
        <color rgb="FFFF0000"/>
        <rFont val="Calibri"/>
        <family val="2"/>
        <scheme val="minor"/>
      </rPr>
      <t xml:space="preserve"> an Approach to Simulate Malware Propagation in the Internet of Drones</t>
    </r>
    <r>
      <rPr>
        <sz val="11"/>
        <color rgb="FF000000"/>
        <rFont val="Calibri"/>
        <family val="2"/>
        <scheme val="minor"/>
      </rPr>
      <t>; gamification and Usability in Educational Contexts: A Systematic Review; groups in the Educational Institutions, a Glance from the Administration Perspective; senior Citizens’ Training Experience in Secure Electronic Payment Methods; Study of Energy Consumption of UAVs to Temporarily Assist Wireless Communication Systems; validation of Security Variables for Audits in Wireless Wi-Fi Networks; integration of a Virtual Object on Formative Object Oriented Programming for the Emavi Military Aviation School Cadets; spatio-Temporal Analysis in Open Dataset from Respiratory Diseases; monitoring and Prediction of Drinking Water Consumption.</t>
    </r>
  </si>
  <si>
    <t>https://www.scopus.com/inward/record.uri?eid=2-s2.0-85142734375&amp;partnerID=40&amp;md5=255ba70e631ccdfafc69e6cde7340dba</t>
  </si>
  <si>
    <t>P397</t>
  </si>
  <si>
    <t>Olaguer, E.P.; Jeltema, S.; Gauthier, T.; Jermalowicz, D.; Ostaszewski, A.; Batterman, S.; Xia, T.; Raneses, J.; Kovalchick, M.; Miller, S.; Acevedo, J.; Lamb, J.; Benya, J.; Wendling, A.; Zhu, J.</t>
  </si>
  <si>
    <t>Landfill Emissions of Methane Inferred from Unmanned Aerial Vehicle and Mobile Ground Measurements</t>
  </si>
  <si>
    <t>Municipal solid waste landfills are significant sources of atmospheric methane, the second most important greenhouse gas after carbon dioxide. Large emissions of methane from landfills contribute not only to global climate change, but also to local ozone formation due to the enhancement of radical chain lengths in atmospheric reactions of volatile organic compounds and nitrogen oxides. Several advanced techniques were deployed to measure methane emissions from two landfills in the Southeast Michigan ozone nonattainment area during the Michigan–Ontario Ozone Source Experiment (MOOSE). These techniques included mobile infrared cavity ringdown spectrometry, drone-mounted meteorological sensors and tunable diode laser spectrometry, estimation of total landfill emissions of methane based on flux plane measurements, and Gaussian plume inverse modeling of distributed methane emissions in the presence of complex landfill terrain. The total methane emissions measured at the two landfills were of the order of 500 kg/h, with an uncertainty of around 50%. The results indicate that both landfill active faces and leaking gas collection systems are important sources of methane emissions. © 2022 by the authors. Licensee MDPI, Basel, Switzerland.</t>
  </si>
  <si>
    <t>greenhouse gases; landfills; methane; ozone precursors; Michigan; United States; Antennas; Atmospheric chemistry; Carbon dioxide; Gas emissions; Greenhouse gases; Inverse problems; Land fill; Municipal solid waste; Nitrogen oxides; Ozone; Spectrometry; Volatile organic compounds; Aerial vehicle; Atmospheric methanes; Global climate changes; Greenhouses gas; Ground measurements; Landfills emissions; Methane emissions; Michigan; Municipal solid wastes landfill; Ozone precursors; aerial survey; emission inventory; experimental study; greenhouse gas; ground-based measurement; landfill; methane; unmanned vehicle; Methane</t>
  </si>
  <si>
    <t>10.3390/atmos13060983</t>
  </si>
  <si>
    <t>https://www.scopus.com/inward/record.uri?eid=2-s2.0-85132792664&amp;doi=10.3390%2fatmos13060983&amp;partnerID=40&amp;md5=947d6dc75b750bfa65e94c9399b33eb2</t>
  </si>
  <si>
    <t>P398</t>
  </si>
  <si>
    <t>Mehmood, R.T.; Ahmed, G.; Siddiqui, S.</t>
  </si>
  <si>
    <t>Simulating ML-Based Intrusion Detection System for Unmanned Aerial Vehicles (UAVs) using COOJA Simulator</t>
  </si>
  <si>
    <t>We are living in an era of IoT devices and the rapid increase in the use of drone applications is evidence of that. UAVs or drones are being used in a variety of industries, ranging from military purposes to delivery purposes, they can be seen everywhere. UAVs come under the umbrella of Unmanned Aerial Systems (UAS). With the increased usage of drones, there is an increased number of cyber-attacks on drones as well. Previously, an IDS solution was developed using Random Forest Classifier algorithm and with help of the CIC-IDS2018 dataset for the identification of these emerging threats. This time, the target is to simulate a UAV environment using COOJA Simulator and evaluate the proposed IDS' performance. IDS controller architecture is also proposed, which contains a parser, a selector, a router, machine learning algorithms, and a performance analyzer. The functionality of this controller is implemented inside the UAV motes. An SDN controller is used to manage the traffic between the UAV motes and generate malicious and benign traffic for IDS detection. The performance analysis module determines the performance of each algorithm. The best accuracy range was provided by Random Forest Classifier between 95%-96%.  © 2022 IEEE.</t>
  </si>
  <si>
    <t>COOJA Simulator; Intrusion Detection Systems (IDS); Machine Learning (ML); Random Forest Classifier (RFC); Unmanned Aerial System (UAS); Unmanned Aerial Vehicle (UAV); Aircraft detection; Antennas; Classification (of information); Computer crime; Drones; Intrusion detection; Learning algorithms; Machine learning; Network security; Aerial vehicle; COOJA simulator; Intrusion detection system; Intrusion Detection Systems; Machine learning; Machine-learning; Random forest classifier; Unmanned aerial system; Unmanned aerial systems; Unmanned aerial vehicle; Controllers</t>
  </si>
  <si>
    <t>10.1109/ICOSST57195.2022.10016875</t>
  </si>
  <si>
    <t>https://www.scopus.com/inward/record.uri?eid=2-s2.0-85147686257&amp;doi=10.1109%2fICOSST57195.2022.10016875&amp;partnerID=40&amp;md5=2f3f06505988595f783bd4962a9d0e0f</t>
  </si>
  <si>
    <t>P399</t>
  </si>
  <si>
    <t>Priyadharshini, S.P.; Balamurugan, P.</t>
  </si>
  <si>
    <t>Unmanned Aerial Vehicle in the Smart Farming Systems: Types, Applications and Cyber-Security Threats</t>
  </si>
  <si>
    <t>Agriculture is the most important provider of a nation's survival and plays a vital role in economic growth. Smart farming (Agriculture 4.0) enhances traditional farming practices by introducing on-field smart and intelligent devices. Agriculture 4.0 can be referred to as the Digital agricultural revolution since it combines divergent technologies, devices, computing paradigms and protocols. IoT - Drones based Smart Farming environment helps in monitoring crop and field, better crop management, improving crop quality, increasing crop quantity, lowering fertilizer usage, efficient irrigation, etc. In IoT devices like sensor systems, drones or Unmanned Aerial Vehicles (UAV) and machines that are controlled remotely the security features are deployed as built-in procedures or as software tools. In the context of data which were collected from the perception layer devices and transmitted to the back-end server agents, protocol-based security is applied. However, security issues are seen as critical challenges in a smart farming environment since the deployed devices and processing data were victimized to cyber-attacks. This paper aims an insight analysis in state-of-the-art drones based smart farming, several types of drones with its application areas, outlining cyber-security threats for smart farming environment and providing important security challenges and future perspectives.  © 2022 IEEE.</t>
  </si>
  <si>
    <t>Cyber-Security Threats; Drones; IoT; Smart Farming; Unmanned Aerial Vehicle (UAV); Agricultural technology; Antennas; Crops; Cybersecurity; Digital devices; Economics; Internet of things; Network security; Quality control; Security systems; Aerial vehicle; Application security; Cybe-security threat; Cyber security; Economic growths; Farming system; IoT; Security threats; Smart farming; Unmanned aerial vehicle; Drones</t>
  </si>
  <si>
    <t>10.1109/ICSES55317.2022.9914070</t>
  </si>
  <si>
    <t>https://www.scopus.com/inward/record.uri?eid=2-s2.0-85141468806&amp;doi=10.1109%2fICSES55317.2022.9914070&amp;partnerID=40&amp;md5=a4cf5f46bf1af81cf5af0a97f8b394d9</t>
  </si>
  <si>
    <t>P4</t>
  </si>
  <si>
    <t>Guo, D.; Tang, L.; Zhang, X.; Liang, Y.-C.</t>
  </si>
  <si>
    <t>Joint Optimization of Trajectory and Jamming Power for Multiple UAV-Aided Proactive Eavesdropping</t>
  </si>
  <si>
    <t>This paper studies a novel wireless information surveillance scenario, where the legitimate party aims to eavesdrop on multiple suspicious communication links with the help of multiple unmanned aerial vehicles (UAVs). Each suspicious link is comprised of a UAV (transmitter) and its fixed destination. To improve the eavesdropping ability, cooperative legitimate UAVs emit jamming signals to reduce the capacities of suspicious channels and plan the flight trajectory to enhance the capacity of the eavesdropping channels. Considering the system dynamics, it is natural to model this sequential decision-making problem as a Markov Decision Process (MDP), which might be solved by reinforcement learning (RL). However, it is difficult to design a policy in RL that determines jamming powers satisfying the considered eavesdropping constraints. Therefore, we decompose the optimization process into two phases, 1) obtaining the non-learning-based optimal solver for jamming power allocation under each state, and 2) optimizing the policy of moving action by RL. We will show this decoupled optimization process also holds the optimality. Considering the flying safety, we will determine the individual moving policy for each legitimate UAV rather than a centralized policy that controls all UAVs. Finally, extensive simulations are conducted to demonstrate the effectiveness of the proposed solution. © 2023 IEEE.</t>
  </si>
  <si>
    <t>power allocation; Proactive eavesdropping; reinforcement learning (RL); trajectory planning; unmanned aerial vehicles (UAVs); Antennas; Behavioral research; Decision making; Drones; Jamming; Markov processes; Security systems; Trajectories; Aerial vehicle; Eavesdropping; Jamming; Optimisations; Power allocations; Proactive eavesdropping; Reinforcement learning; Reinforcement learnings; Surveillance; Trajectory Planning; Unmanned aerial vehicle; Wireless communications; Reinforcement learning</t>
  </si>
  <si>
    <t>10.1109/TMC.2023.3311484</t>
  </si>
  <si>
    <t>https://www.scopus.com/inward/record.uri?eid=2-s2.0-85171565918&amp;doi=10.1109%2fTMC.2023.3311484&amp;partnerID=40&amp;md5=9dc452d4a3e8dc2ea012068292ac3409</t>
  </si>
  <si>
    <t>P40</t>
  </si>
  <si>
    <t>Nyangaresi, V.O.; Al-Joboury, I.M.; Al-sharhanee, K.A.; Najim, A.H.; Abbas, A.H.; Hariz, H.M.</t>
  </si>
  <si>
    <t>A biometric and physically unclonable function–Based authentication protocol for payload exchanges in internet of drones</t>
  </si>
  <si>
    <t>Internet of Drones (IoD) has been deployed in numerous military and civilian domains to offer services such as target surveillance, traffic monitoring, disaster handling and environmental monitoring. However, message exchanges among the drones and ground station servers are via insecure wireless channels. In addition, drones may be deployed in hostile and unattended locations. This renders the IoD susceptible to numerous privacy and security threats such as drone capture and cloning. Therefore, many security solutions have been developed based on techniques such as blockchain and public key infrastructure. However, majority of these schemes are still susceptible to many attacks while some of them are inefficient for the resource-limited IoD devices. In this paper, a Physically Unclonable Function (PUF) challenge-response and biometric based robust authentication protocol is presented. Its formal security is carried out using the Real or Random (RoR) model, which demonstrates the robustness of the negotiated session key. In addition, its semantic analysis shows that it can withstand typical IoD attacks such as impersonation, replay, de-synchronization and spoofing. In terms of performance, it is shown to incur lower computation, energy and communication costs. © 2024 The Author(s)</t>
  </si>
  <si>
    <t>Attacks; Authentication; Drones; Privacy; Security; UAVs</t>
  </si>
  <si>
    <t>10.1016/j.prime.2024.100471</t>
  </si>
  <si>
    <t>https://www.scopus.com/inward/record.uri?eid=2-s2.0-85186492164&amp;doi=10.1016%2fj.prime.2024.100471&amp;partnerID=40&amp;md5=12738f48a9413d4489cd426571f3ae72</t>
  </si>
  <si>
    <t>P400</t>
  </si>
  <si>
    <t>Jang, I.; Lim, S.; Jeon, H.</t>
  </si>
  <si>
    <t>Change Detection in Unmanned Aerial Vehicle Images for Industrial Infrastructure Rooftop Monitoring</t>
  </si>
  <si>
    <t>This work proposes a change detection algorithm based on aerial images from an UAV (Unmanned Aerial Vehicle) for infrastructure rooftop monitoring. Taking pixel-wise differences simply between different temporal aerial images for the same scene may cause many false positives because of (a) the residual misalignments even after an image alignment preprocess; and (b) shadow and lightness differences in the images. To address such inherent characteristics of UAV images that are unfavourable in image comparing, we propose to use (a) a colour distance metric based on a weighted LAB space, which can not only mitigate the shadow effects but also enable users to be flexibly involved in detecting specific-coloured objects; (b) a Gaussian-blur filtering to emphasize major changes, while neutralising subtle changes; and (c) long-edge removal and local refinement process to reduce major false positives caused by the residual misalignments. We also conduct a mock-up experiment at a real infrastructure plant to evaluate the proposed method in terms of detecting smoke, liquid leakage, and cracking ducts, which are major phonomena of industrial malfunctions and accidents. The results show that the algorithm is able to spot the smoke and liquid leakage. On the contrary, detecting cracks is found to be not straightforward as they are viewed relatively small to be detected at the drone-filming height. We also discuss how to overcome this limitation and suggest potential approaches to improve the proposed algorithm further.  © 2022 IEEE.</t>
  </si>
  <si>
    <t>Aircraft accidents; Aircraft detection; Alignment; Antennas; C (programming language); Change detection; Object detection; Unmanned aerial vehicles (UAV); Aerial images; Aerial vehicle; Change detection; Change detection algorithms; False positive; Image alignment; Industrial infrastructure; Inherent characteristics; Preprocess; Vehicle images; Smoke</t>
  </si>
  <si>
    <t>10.1109/UR55393.2022.9826274</t>
  </si>
  <si>
    <t>https://www.scopus.com/inward/record.uri?eid=2-s2.0-85136107587&amp;doi=10.1109%2fUR55393.2022.9826274&amp;partnerID=40&amp;md5=094e518912ed3aaba54b0a53efff4683</t>
  </si>
  <si>
    <t>P401</t>
  </si>
  <si>
    <t>Roy, S.; Xue, M.</t>
  </si>
  <si>
    <t>Cyber-Threat Mitigation in an Unmanned Aircraft System (UAS) Enabled Airspace System: A Multi-Scale Dynamical Network Approach</t>
  </si>
  <si>
    <t>Impacts of potential cyber-threats in a future UAS-enabled airspace system are examined. In particular, a multi-resolution model is introduced, which dually captures: 1) cyber-attack impacts on aircraft trajectories within a region of interest and 2) consequent impacts on traffic flows across a wide area. In the paper, the model is motivated and described in detail. A small-scale simulation of the model is also presented, to illustrate its use in threat analysis and mitigation. © 2021, American Institute of Aeronautics and Astronautics Inc.. All rights reserved.</t>
  </si>
  <si>
    <t>Aviation; Image segmentation; Aircraft trajectory; Airspace systems; Cyber threats; Cyber-attacks; Dynamical networks; Multi-scales; Multiresolution modeling; Regions of interest; Threats mitigations; Unmanned aircraft system; Unmanned aerial vehicles (UAV)</t>
  </si>
  <si>
    <t>10.2514/6.2021-2335</t>
  </si>
  <si>
    <t>https://www.scopus.com/inward/record.uri?eid=2-s2.0-85126801608&amp;doi=10.2514%2f6.2021-2335&amp;partnerID=40&amp;md5=a35021f006f045a53429cc01a42a5d8a</t>
  </si>
  <si>
    <t>P402</t>
  </si>
  <si>
    <t>Straub, J.</t>
  </si>
  <si>
    <t>Anti-Drone Capabilities: Using a Quality Assurance Technology to Identify Exploitable UAV Weaknesses</t>
  </si>
  <si>
    <t>This paper considers the challenge of cybersecurity attacks against unmanned aerial vehicles (UAVs) using a quality assurance (QA) paradigm. Anti-quality assurance (AQA), in essence turns quality assurance, which is designed to identify defects to prevent incorrectly manufactured or damaged products from being sold or deployed, on its head. Using the same QA technologies, AQA uses remote-sensed imagery and fault tree analysis to identify exploitable weaknesses in UAVs that represent a prospective pathway to achieving drone impairment or destruction goals. This paper presents the AQA concept and its application to drones. © 2021 IEEE.</t>
  </si>
  <si>
    <t>Antennas; Automobile manufacture; Fault tree analysis; Remote sensing; Security of data; Assurance technology; Cyber security; ITS applications; Remote sensed imagery; Drones</t>
  </si>
  <si>
    <t>10.1109/AERO50100.2021.9438140</t>
  </si>
  <si>
    <t>https://www.scopus.com/inward/record.uri?eid=2-s2.0-85111395277&amp;doi=10.1109%2fAERO50100.2021.9438140&amp;partnerID=40&amp;md5=8adf715759f0f28626f3e9c233c111de</t>
  </si>
  <si>
    <t>P403</t>
  </si>
  <si>
    <t>Riabukha, V.P.</t>
  </si>
  <si>
    <t>Radar Surveillance of Unmanned Aerial Vehicles (Review)</t>
  </si>
  <si>
    <t>Abstract: Radar surveillance of unmanned aerial vehicles (UAVs) is actively developing area of scientific research. This article provides a review and analysis of publications in recent years devoted to the methods and radar systems of detection and recognition of classes and types of UAVs. It is noted that the most difficult targets for radar detection are low-sized, low-speed small UAVs (drones) flying at low and extremely low altitudes. If large and medium-sized UAVs can be detected by modern radar systems, then for the detection of small UAVs it is advisable to create specialized highly efficient, highly mobile, portable and inexpensive active UAV detection radars. The technical requirements for such radars are defined and recommendations for their implementation are provided. High-performance protection systems based on adaptive lattice filters are offered to protect UAV detection radars from noise jamming and passive interference. It is shown that the research on the methods of recognizing UAV classes and types is a development of the existing theory and technology of radar recognition of air targets. © 2020, Pleiades Publishing, Ltd.</t>
  </si>
  <si>
    <t>Mobile antennas; Tracking radar; Unmanned aerial vehicles (UAV); Adaptive lattice filter; Passive interference; Protection systems; Radar detection; Radar recognition; Radar surveillance; Scientific researches; Technical requirement; Aircraft detection</t>
  </si>
  <si>
    <t>10.3103/S0735272720110011</t>
  </si>
  <si>
    <t>https://www.scopus.com/inward/record.uri?eid=2-s2.0-85099087105&amp;doi=10.3103%2fS0735272720110011&amp;partnerID=40&amp;md5=f266a5d692bb8a79c8fde5057437a81c</t>
  </si>
  <si>
    <t>P404</t>
  </si>
  <si>
    <t>Jurcevic, M.; Vitas, I.</t>
  </si>
  <si>
    <t>5G-Connected Drone for Public Road Safety-Research Challenges and Future Research Roadmap</t>
  </si>
  <si>
    <t>5G mobile communication infrastructure attracts increasing attention of stakeholders, going beyond only interconnection of people and increasingly serve to connect and manage 5G-enabled IoT devices. Among others, unmanned aerial vehicles (UAVs) or systems (UAS) already rely on 5G communication infrastructure and in the near future are envisioned to use it even more. 5G systems already support a wide-variety of different applications, such as remote healthcare, self-driving ground vehicles, virtual or augmented reality, drones, surveillance and many more. Among these is the high-resolution video surveillance using drones for different purposes. In road traffic analysis, one of the most important public safety applications, the low compressed or uncompressed video stream can greatly improve the analysis and traffic incident detection performance. On the other hand it is challenging to transmit high-resolution video stream in real time due to its data size. This paper provides an overview of the current research in the area of UAV command and control using 5G systems describing basic concepts and challenges. We review some of the latest research in regard to real-time high-resolution video transfer. A brief discussion of experiments on the 5G private campus network communication between a drone and a ground analytical system is presented.  © 2021 Croatian Society MIPRO.</t>
  </si>
  <si>
    <t>5G; edge computing; HD video stream; performance evaluation; proof-of-concept; remote control; UAV; Antennas; Augmented reality; Cybersecurity; Drones; Edge computing; Motor transportation; Remote control; Roads and streets; Security systems; Video streaming; Communication infrastructure; Edge computing; HD video stream; HD videos; High resolution; Performances evaluation; Proof of concept; Public roads; Real- time; Resolution video; 5G mobile communication systems</t>
  </si>
  <si>
    <t>10.23919/MIPRO52101.2021.9597065</t>
  </si>
  <si>
    <t>https://www.scopus.com/inward/record.uri?eid=2-s2.0-85123052703&amp;doi=10.23919%2fMIPRO52101.2021.9597065&amp;partnerID=40&amp;md5=93278aaa60c03c7a60646162fd14890c</t>
  </si>
  <si>
    <t>P405</t>
  </si>
  <si>
    <t>Xue, N.; Niu, L.; Hong, X.; Li, Z.; Hoffaeller, L.; Pöpper, C.</t>
  </si>
  <si>
    <t>DeepSIM: GPS Spoofing Detection on UAVs using Satellite Imagery Matching</t>
  </si>
  <si>
    <t>Unmanned Aerial Vehicles (UAVs), better known as drones, have significantly advanced fields such as aerial surveillance, military reconnaissance, cadastral surveying, disaster monitoring, and delivery services. However, UAVs rely on civilian (unauthenticated) GPS for navigation which can be trivially spoofed. In this paper, we present DeepSIM, a satellite imagery matching approach to detect GPS spoofing attacks against UAVs based on deep learning. We make use of the camera(s) a typical UAV is equipped with, and present a system that compares historical satellite images of its GPS-based position (spaceborne photography) with real-time aerial images from its cameras (airborne imagery). Historical images are taken from, e. g., Google Earth or NASA WorldWind. To detect GPS spoofing attacks, we investigate different deep neural network models that compare the real-time camera images with the historical satellite images. To train and test the models, we have constructed the SatUAV dataset (consisting of 967 image pairs), partially by using real UAVs such as the DJI Phantom 4 Advanced. Real-world experimental results show that our best model has a success rate of about 95% in detecting GPS spoofing attacks within less than 100 milliseconds. Our approach does not require any modification of the existing GPS infrastructures and relies only on public satellite imagery, making it a practical solution for many everyday scenarios. © 2020 ACM.</t>
  </si>
  <si>
    <t>deep learning; GPS spoofing detection; neural networks; UAV; Aircraft detection; Antennas; Cameras; Deep learning; Deep neural networks; Military vehicles; NASA; Satellite imagery; Security of data; Security systems; Statistical tests; Unmanned aerial vehicles (UAV); Aerial surveillance; Airborne imagery; Cadastral surveying; Delivery service; Disaster monitoring; Military reconnaissance; Neural network model; Practical solutions; Global positioning system</t>
  </si>
  <si>
    <t>10.1145/3427228.3427254</t>
  </si>
  <si>
    <t>https://www.scopus.com/inward/record.uri?eid=2-s2.0-85098068579&amp;doi=10.1145%2f3427228.3427254&amp;partnerID=40&amp;md5=0c86b91610374929d49ae4e52c1996f7</t>
  </si>
  <si>
    <t>P406</t>
  </si>
  <si>
    <t>Koutalakis, P.D.; Tzoraki, O.A.; Prazioutis, G.I.; Gkiatas, G.T.; Zaimes, G.N.</t>
  </si>
  <si>
    <t>Can drones map earth cracks? Landslide measurements in north greece using uav photogrammetry for nature‐based solutions</t>
  </si>
  <si>
    <t>The accuracy of photogrammetry for geohazards monitoring has improved within the last years because of the “drone revolution”. This study is an attempt to perform morphometric measurements in a landslide event that took place near the village Nea Zichni in Northern Greece. The DJI Mavic 2 Pro was selected to capture orthoimages of the entire area including the landslide event but also other adjusted disaster phenomena. The images were loaded in the commercial software Pix4D in order to produce orthomosaics and digital surface models of the area. The georeferenced results were further analyzed in ArcGIS in order to digitize and estimate the morphometric parameters of the landslide, such as its area and volume, but also to detect cracks and plot the tensile cracking directions. We conclude that the methodology and produced outputs are crucial for the responsible authorities to detect, monitor and mitigate natural disasters such as landslide events and other mass movements. The best practices to control mass movements are nature‐based solutions such as soil bioengineering and proper vegetation cover assisted by engineering measures. Finally, our goal is to frequently monitor the landslide phenomenon in order to determine its evolution. © 2021 by the authors. Licensee MDPI, Basel, Switzerland.</t>
  </si>
  <si>
    <t>Drone; DSM; Fissures; Geohazard; GIS; Mapping; Natural disaster; Nature‐based solutions; Orthomosaic; UAS; Greece; Varanidae; ArcGIS; bioengineering; landslide; mass movement; natural disaster; photogrammetry; tensile strength; unmanned vehicle; vegetation cover</t>
  </si>
  <si>
    <t>10.3390/su13094697</t>
  </si>
  <si>
    <t>https://www.scopus.com/inward/record.uri?eid=2-s2.0-85105373967&amp;doi=10.3390%2fsu13094697&amp;partnerID=40&amp;md5=c4a0937de41977980edbac541ef43e5d</t>
  </si>
  <si>
    <t>P407</t>
  </si>
  <si>
    <t>Ferrao, I.G.; Da Silva, S.A.; Pigatto, D.F.; Branco, K.R.L.J.C.</t>
  </si>
  <si>
    <t>GPS Spoofing: Detecting GPS Fraud in Unmanned Aerial Vehicles</t>
  </si>
  <si>
    <t>The exponential growth in the Unmanned Aerial Vehicles (UAVs) market is pointed out in recent reports. It is believed that in 2022 UAVs will represent the largest share in the global market. Therefore, the rapid and growing evolution of the market must be accompanied by the improvement of solid principles of decision-making, security, and technologies. They must continually adapt to face missions where they deal with unforeseen problems. The increase in advanced functionality and the demand for computational capacity exposes UAVs to different security vulnerabilities. These vulnerabilities are growing not only in number but also in sophistication. Failures in UAVs can endanger the safety of people and the environment. The vulnerability of GPS systems has been a significant concern for civil aviation. It is the most recurrent failure, has a low level of complexity of exploration, and leads to a compromise of missions through the possibility of theft and even the destruction of the vehicle after a fall. Based on that, this work proposes to carry out three studies involving GPS attacks in UAVs. The first will be a case study to validate two proposed metrics for detecting GPS fraud. The second will be using a free app for counterfeiting GPS on a real UAV and, finally, the implementation of two metrics, one for security and one for module's health that can be coupled to UAV architectures, enabling these vehicles to be able to detect the GPS attack.  © 2020 IEEE.</t>
  </si>
  <si>
    <t>GPS Spoofing in UAVs; Security and Safety for UAVs; Agricultural robots; Aircraft detection; Antennas; Behavioral research; Crime; Decision making; International trade; Robotics; Unmanned aerial vehicles (UAV); Computational capacity; Exponential growth; Global market; Gps systems; Security vulnerabilities; Educational robots</t>
  </si>
  <si>
    <t>10.1109/LARS/SBR/WRE51543.2020.9307036</t>
  </si>
  <si>
    <t>https://www.scopus.com/inward/record.uri?eid=2-s2.0-85100317843&amp;doi=10.1109%2fLARS%2fSBR%2fWRE51543.2020.9307036&amp;partnerID=40&amp;md5=4f2784ebba79f2f8835ab093c2b5f9f4</t>
  </si>
  <si>
    <t>P408</t>
  </si>
  <si>
    <t>Jacobsen, R.H.; Marandi, A.</t>
  </si>
  <si>
    <t>Security Threats Analysis of the Unmanned Aerial Vehicle System</t>
  </si>
  <si>
    <t>Autonomous Unmanned Aerial Vehicles (UAVs) find increasing use in the civil airspace where multi-UAV systems are deployed to perform operations supervised by remote control facilities. Since these multi-UAV systems operate in public locations and connect using open communication standards, it raises significant security concerns. While most UAV designers befittingly deal with the complexity of autonomy, communication, and control, they often ignore to consider system security aspects in the early design phase. To support the security design process of multi-UAV systems, this paper provides an analysis of cybersecurity threats of multi-UAV systems based on the STRIDE model. The identified threats are subsequently linked with a risk assessment to be prioritized according to severity. We conclude by establishing a set of security design recommendations for connected inspection UAVs to contribute with guidance for the design of future multi-UAV systems. © 2021 IEEE.</t>
  </si>
  <si>
    <t>Drone; Risk assessment; Security management; Threat model; Unmanned aerial vehicle; Antennas; Cybersecurity; Drones; Remote control; Autonomous unmanned aerial vehicles; Civil airspace; Drone; Risks assessments; Security design; Security management; Security threats; Threat modeling; Threats analysis; Unmanned aerial vehicle systems; Risk assessment</t>
  </si>
  <si>
    <t>10.1109/MILCOM52596.2021.9652900</t>
  </si>
  <si>
    <t>https://www.scopus.com/inward/record.uri?eid=2-s2.0-85124144983&amp;doi=10.1109%2fMILCOM52596.2021.9652900&amp;partnerID=40&amp;md5=50534ed4e62491197f5f3d512c193489</t>
  </si>
  <si>
    <t>P409</t>
  </si>
  <si>
    <t>Wang, J.; Liu, Y.; Song, H.</t>
  </si>
  <si>
    <t>Counter-Unmanned Aircraft System(s) (C-UAS): State of the Art, Challenges, and Future Trends</t>
  </si>
  <si>
    <t>Unmanned aircraft systems (UAS), or unmanned aerial vehicles, often referred to as drones, have been experiencing healthy growth in the United States and around the world. The positive uses of UAS have the potential to save lives, increase safety and efficiency, and enable more effective science and engineering research. However, UAS are subject to threats stemming from increasing reliance on computer and communication technologies, which place public safety, national security, and individual privacy at risk. To promote safe, secure, and privacy-respecting UAS operations, there is an urgent need for innovative technologies for detecting, tracking, identifying, and mitigating UAS. A Counter-UAS (C-UAS) system is defined as a system or device capable of lawfully and safely disabling, disrupting, or seizing control of an unmanned aircraft or UAS. Over the past five years, significant research efforts have been made to detect, and mitigate UAS: detection technologies are based on acoustic, vision, passive radio frequency, radar, and data fusion; and mitigation technologies include physical capture or jamming. In this tutorial, we provide a comprehensive survey of existing literature in the area of C-UAS, identify the challenges in countering unauthorized or unsafe UAS, and evaluate the trends of detection and mitigation for protecting against UAS-based threats. The objective of this tutorial is to present a systematic introduction of C-UAS technologies, thus fostering a research community committed to the safe integration of UAS into the airspace system.  © 1986-2012 IEEE.</t>
  </si>
  <si>
    <t>Antennas; Computer privacy; Data fusion; National security; Privacy by design; Safety engineering; Communication technologies; Detection technology; Individual privacy; Innovative technology; Research communities; Safety and efficiencies; Science and engineering; Unmanned aircraft system; Unmanned aerial vehicles (UAV)</t>
  </si>
  <si>
    <t>10.1109/MAES.2020.3015537</t>
  </si>
  <si>
    <t>https://www.scopus.com/inward/record.uri?eid=2-s2.0-85102829804&amp;doi=10.1109%2fMAES.2020.3015537&amp;partnerID=40&amp;md5=0a3d2e5b67bafb254de2ae31ed5640a2</t>
  </si>
  <si>
    <t>P41</t>
  </si>
  <si>
    <t>Sheh, R.; Harriss, D.; Geappen, K.</t>
  </si>
  <si>
    <t>AUTONOMOUS AERIAL DRONES CONNECTING PUBLIC SAFETY: OPPORTUNITIES AND CHALLENGES FOR THE FUTURE</t>
  </si>
  <si>
    <t>Reliable voice and data communications are critical in supporting public safety responders during incidents and disasters and will become more important as ground robots and Internet-of-Things (IoT) sensors for public safety applications proliferate. Uncrewed Aircraft Systems (UAS), consisting of an Uncrewed Aerial Vehicle (UAV) and associated systems, are valuable tools for public safety personnel to reduce risk to the public and themselves. They improve the service provided to the community by delivering rapidly deployable “Eyes in the Sky.” It is a natural progression for UAVs to be more closely integrated into the communications of public safety operations. For example, they can provide critical communication links in public safety operations and connect and provide information directly to nearby personnel, devices, and perhaps even the public. UAVs have the potential to fill a vital technology gap where existing infrastructure is damaged or non-existent and where structures or topography make traditional radios and satellite communications ineffective. In this paper, we discuss the unique capabilities that the closer integration of UAS into public safety communications brings to current and future public safety missions, the challenges users may face in a UAS deployment, and the regulatory and ethical considerations that come with the use of UAS. This discussion dovetails with work that the U.S. National Institute of Standards and Technology (NIST) Public Safety Communications Research (PSCR) Division's Uncrewed Aircraft Systems (UAS) portfolio is undertaking to drive the development of UAS for public safety, with an emphasis on reliable communications, responsible cybersecurity, and artificial intelligence (AI) risk management. This paper will reference related data points from the recently released NIST Cybersecurity Framework (CSF) 2.0 and Artificial Intelligence (AI) Risk Management Framework (AI RMF). © 2024 AUVSI XPONENTIAL 2024. All rights reserved.</t>
  </si>
  <si>
    <t>Aircraft accidents; Antennas; Digital storage; Disasters; Drones; Personnel; Risk management; Satellite communication systems; Topography; Aircraft systems; Cyber security; Ground robot; National Institute of Standards and Technology; Public safety; Public Safety Applications; Public safety communications; Safety operations; Technology gap; Uncrewed aerial vehicles; Internet of things</t>
  </si>
  <si>
    <t>https://www.scopus.com/inward/record.uri?eid=2-s2.0-85199491558&amp;partnerID=40&amp;md5=a79647c803a77f58a9d46d92c3d90ac4</t>
  </si>
  <si>
    <t>P410</t>
  </si>
  <si>
    <t>Conrad, A.; Isaac, S.; Cochran, R.; Sanchez-Rosales, D.; Wilens, B.; Gutha, A.; Rezaei, T.; Gauthier, D.J.; Kwiat, P.</t>
  </si>
  <si>
    <t>Drone-based quantum key distribution (QKD)</t>
  </si>
  <si>
    <t>Unmanned Aerial Vehicles (UAVs) are used in numerous applications ranging from defense, law enforcement, environmental monitoring, disaster recovery, aerial photography, and delivering consumer packages. Securing wireless communication between drones in-flight is critical to ensure safe operation during flight and avoid multiple types of attacks, e.g., eavesdropping, spoofing, jamming, etc. Quantum communication protocols offer enhancements over classical approaches. In this effort, we present progress towards demonstrating Quantum Key Distribution (QKD) between two drones in flight. A significant challenge includes achieving system performance using compact Size, Weight, and Power (SWaP) constraints of the drone vehicle. We introduce and evaluate critical subsystems including the QKD source, which is based on resonant-cavity Light Emitting Diodes (LED) controlled by an FPGA, and we discuss a secondary QKD source based on a fiber-coupled polarization modulator. The Pointing, Acquisition and Tracking (PAT) system is comprised of several cascading subsystems, which provide course alignment using based on Infrared (IR) beacons/cameras with gimbals, and fine alignment using Fast Steering Mirrors (FSM) with absolute encoders and feedback position sensors. We discuss both transmit and receive optics including custom designed 3D-printed optical benches. Finally, we introduce single-photon detectors, FPGA-based time-tagger, and a novel statistical post-processing synchronization algorithm. Establishing a quantum communications link between drones in-flight is an important prerequisite for future drone-based quantum applications such as entanglement distribution, distributed quantum sensing, and Quantum Positional Verification (QPV). © 2021 SPIE. All rights reserved.</t>
  </si>
  <si>
    <t>Multi-rotor Drone; Quantum Communications; Quantum Cryptography; Quantum Key Distribution (QKD); 3D printers; Aerial photography; Alignment; Antennas; Drones; Environmental regulations; Field programmable gate arrays (FPGA); Law enforcement; Particle beams; Photons; Quantum communication; Quantum entanglement; Entanglement distribution; Environmental Monitoring; Pointing , acquisition and tracking; Polarization modulators; Resonant cavity light emitting diode; Single-photon detectors; Statistical post processing; Synchronization algorithm; Quantum cryptography</t>
  </si>
  <si>
    <t>10.1117/12.2582376</t>
  </si>
  <si>
    <t>https://www.scopus.com/inward/record.uri?eid=2-s2.0-85107236676&amp;doi=10.1117%2f12.2582376&amp;partnerID=40&amp;md5=2d69ba8ac042846e770793af05c1a40a</t>
  </si>
  <si>
    <t>P411</t>
  </si>
  <si>
    <t>Morel, A.E.; Kavzak Ufuktepe, D.; Ignatowicz, R.; Riddle, A.; Qu, C.; Calyam, P.; Palaniappan, K.</t>
  </si>
  <si>
    <t>Enhancing network-edge connectivity and computation security in drone video analytics</t>
  </si>
  <si>
    <t>Unmanned Aerial Vehicle (UAV) systems with high-resolution video cameras are used for many operations such as aerial imaging, search and rescue, and precision agriculture. Multi-drone systems operating in Flying Ad Hoc Networks (FANETS) are inherently insecure and require efficient security schemes to defend against cyber-attacks such as e.g., Man-in-the-middle, Replay and Denial of Service attacks. In this paper, we propose a cloud-based, end-to-end security framework viz., "DroneNet-Sec"that provides secure network-edge connectivity, and computation security for drone video analytics to defend against common attack vectors in UAV systems. The DroneNet-Sec features a dynamic security scheme that uses machine learning to detect anomaly events and adopts countermeasures for computation security of containerized video analytics tasks. The security scheme comprises of a custom secure packet designed with MAVLink protocol for ensuring data privacy and integrity, without high degradation of the performance in a real-time FANET deployment. We evaluate DroneNet-Sec in a hybrid testbed that synergies simulation and emulation via an open-source network simulator (NS-3) and a research platform for mobile wireless networks (POWDER). Our performance evaluation experiments in our holistic hybrid-testbed show that DroneNet-Sec successfully detects learned anomaly events and effectively protects containerized tasks execution as well as communication in drones video analytics in a light-weight manner. © 2020 IEEE.</t>
  </si>
  <si>
    <t>Ns-3; Powder; Secure hybrid testbed; Security layer; UAV systems; Agricultural robots; Antennas; Containers; Denial-of-service attack; Drones; Pattern recognition; Petroleum reservoir evaluation; Privacy by design; Testbeds; Vehicular ad hoc networks; Video cameras; End-to-end security; Evaluation experiments; Man in the middle; Mobile wireless network; Open-source network; Research platforms; Search and rescue; Unmanned aerial vehicle systems; Network security</t>
  </si>
  <si>
    <t>10.1109/AIPR50011.2020.9425341</t>
  </si>
  <si>
    <t>https://www.scopus.com/inward/record.uri?eid=2-s2.0-85106178133&amp;doi=10.1109%2fAIPR50011.2020.9425341&amp;partnerID=40&amp;md5=4181230aec14c8a85ef9a9031179ca30</t>
  </si>
  <si>
    <t>P412</t>
  </si>
  <si>
    <t>AHFE Conference on Human Factors in Robots, Drones and Unmanned Systems, and AHFE Conference on Human Factors in Cybersecurity, 2021</t>
  </si>
  <si>
    <t>The proceedings contain 33 papers. The special focus in this conference is on Human Factors in Robots, Drones and Unmanned Systems. The topics include: Identifying Soft Biometric Features from a Combination of Keystroke and Mouse Dynamics; cyberSecurity Privacy Risks; sharing Photos on Social Media: Visual Attention Affects Real-World Decision Making; prosthetic Face Makeups and Detection; analysis of Risks to Data Privacy for Family Units in Many Countries; exploring Understanding and Usage of Two-Factor Authentication Account Recovery; strategies of Naive Software Reverse Engineering: A Qualitative Analysis; Visual Communication with UAS: Estimating Parameters for Gestural Transmission of Task Descriptions; how Safely Do We Behave Online? An Explanatory Study into the Cybersecurity Behaviors of Dutch Citizens; Evaluating the BOLT Application: Supporting Human Observation, Metrics, and Cognitive Work Analysis; vulnerability Analysis Through Ethical Hacking Techniques; user Perceptions of Phishing Consequence Severity and Likelihood, and Implications for Warning Message Design; A Distributed Mission-Planning Framework for Shared UAV Use in Multi-operator MUM-T Applications; conditional Behavior: Human Delegation Mode for Unmanned Vehicles Under Selective Datalink Availability; lethal Autonomous Weapon Systems: An Advocacy Paper; measuring the Impact of a Navigation Aid in Unmanned Ship Handling via a Shore Control Center; a Computational Assessment of Ergonomics in an Industrial Human-Robot Collaboration Workplace Using System Dynamics; A New Modular Intensive Design Solution for ROVs; preface; Concept for Cross-platform Delegation of Heterogeneous UAVs in a MUM-T Environment; Designing for the Unknown: Using Structured Analysis and Design Technique (SADT) to Create a Pilot Domain for a Shore Control Centre for Autonomous Ships.</t>
  </si>
  <si>
    <t>https://www.scopus.com/inward/record.uri?eid=2-s2.0-85111978346&amp;partnerID=40&amp;md5=9612e375fafea907e8438a2e3b5d7f7f</t>
  </si>
  <si>
    <t>P413</t>
  </si>
  <si>
    <t>Ionut, G.S.; Stefan, N.C.; Mangher, R.; Mangher, V.</t>
  </si>
  <si>
    <t>THE NEW INCDMTM RESEARCH CENTER FOR INTELLIGENT MECHATRONIC SYSTEMS USED FOR SECURING OBJECTIVES AND INTERVENTION</t>
  </si>
  <si>
    <t>CERMISO is a research and development center focused on optimizing technical and economic solutions for the configuration and utilisation of equipment such as the intelligent autonomous mini-system with air displacement (MIADA) in our country. Result of a finished project of INCDMTM Bucharest it will help to increase the capacity and performance of INCDMTM in international cooperation R&amp;D projects. R&amp;D focused efforts are be made on the following directions: A) Autonomous intelligent mechatronic systems integration in the security space and the environment. b) Optimizing airborne autonomous intelligent mechatronic systems c) Secure data transmission technologies d) Developing micro multi-sensor systems controlled by artificial intelligence. e) The development of artificial intelligence, automatic data processing in order to prevent disasters and accidents. f) Developing solutions and anti-hacking security algorithms for autonomous airborne systems. g) Hardware and software solutions to optimize energy consumption and increase endurance and flight autonomy of airborne mechatronic systems. The complexity and universality of the CERMISO Center is accomplished by integrating researchers in mechatronics, electronics, computer sciences, precision engineering and aerospace. The R&amp;D results obtained are further addressed for related industries enabling effective performance of similar equipment in our country. As a vision of R&amp;D stage we later see enormous possibilities for developing these systems for all existing domains. © 2021, Cefin Publishing House. All rights reserved.</t>
  </si>
  <si>
    <t>Artificial Intelligence; Drone Research and Development; ROA; RPA; RPV; UAV; Artificial intelligence; Data handling; Disasters; Energy utilization; International cooperation; Personal computing; Bucharest; Drone research and development; Economic solutions; Mechatronic systems; Research and development; Research center; ROA; RPA; RPV; Technical solutions; Disaster prevention</t>
  </si>
  <si>
    <t>10.17683/IJOMAM/ISSUE10/V1.18</t>
  </si>
  <si>
    <t>https://www.scopus.com/inward/record.uri?eid=2-s2.0-85123895242&amp;doi=10.17683%2fIJOMAM%2fISSUE10%2fV1.18&amp;partnerID=40&amp;md5=2c0dba9fd2210f68c0255ab73453f51a</t>
  </si>
  <si>
    <t>P414</t>
  </si>
  <si>
    <t>Melnyk, R.</t>
  </si>
  <si>
    <t>A Program for Managing Unmanned Aircraft Systems in Engineering Education</t>
  </si>
  <si>
    <t>Unmanned Aircraft Systems (UAS) are an increasingly important aspect of technology. As a result, they have become a very important tool in engineering education for a variety of disciplines. While many physical laboratories or training aids have regulatory and administrative requirements, the considerations related to UAS are multifaceted and include Federal Aviation Regulations, airspace requirements, and privacy considerations. Furthermore, UAS pose a physical hazard that must be taken into account to protect students, staff, faculty, and bystanders. Finally, some systems could potentially present a cybersecurity risk as evidenced by recent additions to the National Defense Authorization Act (NDAA). The purpose of this paper is to explain and document an academic flight program at the United States Military Academy that outlines the personnel structure associated with running the program, the procedures put in place to manage physical and regulatory risk, and the training and approval process associated with UAS operations. © American Society for Engineering Education, 2021</t>
  </si>
  <si>
    <t>Engineering education; Laboratories; Personnel training; Training aircraft; Aviation regulations; Cyber security; Flight program; National defence; Physical laboratory; Physical training; Student staff; Training aids; United states military academies; Unmanned aircraft system; Unmanned aerial vehicles (UAV)</t>
  </si>
  <si>
    <t>https://www.scopus.com/inward/record.uri?eid=2-s2.0-85124546420&amp;partnerID=40&amp;md5=acf1ddeb2b758b0bc5b89be6a71c70c1</t>
  </si>
  <si>
    <t>P415</t>
  </si>
  <si>
    <t>Kim, K.; Kang, Y.</t>
  </si>
  <si>
    <t>Drone security module for UAV data encryption</t>
  </si>
  <si>
    <t>As aviation technology gradually advances, the use of UAVs is gradually expanding in environments where are difficult for humans to perform directly and in dangerous environments. However, due to the security vulnerabilities of UAVs, illegal and malicious attacks against UAVs such as eavesdropping on communication data and obtaining UAV control are also increasing. One of solutions to prevent such attacks is to encrypt UAV's communication data and stored sensitive information. Therefore, we propose a drone security module to protect the communication data and storage information of the UAV, and briefly present the hardware design and software driver design of the drone security module. The drone security module is connected to the flight control computer or mission computer through a USB interface, and encrypts the control signal and telemetry data from the UAV to the ground control station. © 2020 IEEE.</t>
  </si>
  <si>
    <t>drone security module; encryption; secure element; software driver; UAV; Cryptography; Digital storage; Drones; Network security; Rock mechanics; Aviation technology; Communication data; Flight control computer; Ground control stations; Mission computers; Security vulnerabilities; Sensitive informations; Software drivers; Aircraft control</t>
  </si>
  <si>
    <t>10.1109/ICTC49870.2020.9289387</t>
  </si>
  <si>
    <t>https://www.scopus.com/inward/record.uri?eid=2-s2.0-85099003222&amp;doi=10.1109%2fICTC49870.2020.9289387&amp;partnerID=40&amp;md5=e6e1930de752c57d3e2e3b98401bb802</t>
  </si>
  <si>
    <t>P416</t>
  </si>
  <si>
    <t>Gaspar, J.; Ferreira, R.; Sebastião, P.; Souto, N.</t>
  </si>
  <si>
    <t>Capture of UAVs Through GPS Spoofing Using Low-Cost SDR Platforms</t>
  </si>
  <si>
    <t>The increased use of unmanned aerial vehicles (UAVs), better known as drones, by civilians has grown exponentially and their autonomous flight control systems have improved significantly, which has resulted in a greater number of accidents and dangerous situations. To help resolve this problem, in this paper, we address the use of low-cost Software Defined Radio (SDR) platforms for simulating a global navigation satellite system (GNSS), more specifically the global positioning system (GPS), in order to transmit false signals and induce a location error on the targeted GPS receiver. Using this approach, a defensive system can be implemented which can divert, or even take control of unauthorized UAVs whose flight path depends on the information obtained by the GPS system. © 2020, Springer Science+Business Media, LLC, part of Springer Nature.</t>
  </si>
  <si>
    <t>Global navigation satellite system; GPS spoofing; Software defined radio; Unmanned aerial vehicles; Accidents; Air navigation; Analog circuits; Antennas; Communication satellites; Costs; Flight control systems; Radio; Radio navigation; Radio receivers; Software radio; Unmanned aerial vehicles (UAV); Autonomous flight control; Dangerous situations; Defensive systems; Global Navigation Satellite Systems; GPS receivers; Location errors; Sdr platforms; Software-defined radios; Global positioning system</t>
  </si>
  <si>
    <t>10.1007/s11277-020-07211-7</t>
  </si>
  <si>
    <t>https://www.scopus.com/inward/record.uri?eid=2-s2.0-85081748622&amp;doi=10.1007%2fs11277-020-07211-7&amp;partnerID=40&amp;md5=9e6606b40b595f1c8713d42daf142fc0</t>
  </si>
  <si>
    <t>P417</t>
  </si>
  <si>
    <t>Jamming Detection for IR-UWB Ranging Technology in Autonomous UAV Swarms</t>
  </si>
  <si>
    <t>Jamming is a form of the Denial of Service (J-DoS) attack. It is a significant threat that causes malfunction in Unmanned Aerial Vehicle systems, especially when used in hostile environments. The attackers mainly operate in the wireless communication environment by following a few preexisting scenarios. In this paper, we propose an idea for a Jamming detection mechanism. The mechanism utilizes the network parameters available to the system and some additional measures to distinguish between bad transmission quality and Jamming to avoid false positive alarms. After detecting a Jamming attack, appropriate countermeasures or mitigation techniques can be applied to keep the system safe. © 2021 IEEE.</t>
  </si>
  <si>
    <t>drone swarm; Impulse Radio (IR); Jamming attack detection; Ultra-Wideband (UWB) Unmanned Aerial Vehicle (UAV); Wireless sensor network (WSN); Antennas; Denial-of-service attack; Jamming; Ultra-wideband (UWB); Unmanned aerial vehicles (UAV); Denial of Service; Detection mechanism; Hostile environments; Mitigation techniques; Network parameters; Transmission quality; Unmanned aerial vehicle systems; Wireless communications; Aircraft detection</t>
  </si>
  <si>
    <t>10.1109/MECO52532.2021.9460250</t>
  </si>
  <si>
    <t>https://www.scopus.com/inward/record.uri?eid=2-s2.0-85114207834&amp;doi=10.1109%2fMECO52532.2021.9460250&amp;partnerID=40&amp;md5=d47e61a401ed815cf16b70b612cd7332</t>
  </si>
  <si>
    <t>P418</t>
  </si>
  <si>
    <t>Zhao, Y.; Shi, P.-Y.; Guo, W.-H.</t>
  </si>
  <si>
    <t>Design of Urban Air Quality Monitoring System Based on Big Data and UAV</t>
  </si>
  <si>
    <t>In order to effectively evaluate China’s air quality and provide technical support for maintaining a good atmospheric environment, the design scheme of urban air quality monitoring system based on big data and drone is studied. In the research process, a system hardware environment including a drone platform, an air quality sensor and anti-jamming equipment was constructed, which provided the basis and support for the development of system software. In the software design, the monitoring terminal program and the air quality information acquisition module are designed according to the system requirements, and the data received by the drone is restored, analyzed and stored and managed by the data multi-thread receiving module. The experimental results prove the effectiveness of the urban air quality monitoring system based on big data and drone. Applying the system to actual monitoring is beneficial to better analysis of the atmospheric environment and better maintenance of the atmospheric environment. © 2021, ICST Institute for Computer Sciences, Social Informatics and Telecommunications Engineering.</t>
  </si>
  <si>
    <t>Air quality; Big data; Drone; Monitoring; Air quality; Big data; Drones; Quality control; Software design; Atmospheric environment; Quality information; Receiving modules; Research process; System requirements; System softwares; Technical support; Urban air quality; Monitoring</t>
  </si>
  <si>
    <t>10.1007/978-3-030-67871-5_15</t>
  </si>
  <si>
    <t>https://www.scopus.com/inward/record.uri?eid=2-s2.0-85101764669&amp;doi=10.1007%2f978-3-030-67871-5_15&amp;partnerID=40&amp;md5=d34ade7f32b328be4aa7e2060e5b1e54</t>
  </si>
  <si>
    <t>P419</t>
  </si>
  <si>
    <t>A New Frequency Hopping Signal Detection of Civil UAV Based on Improved K-Means Clustering Algorithm</t>
  </si>
  <si>
    <t>The rapid development of civil UAV promotes the social and economic development, and the frequent 'flying illegally' events has brought great challenges to aviation safety and government supervision. The frequency hopping communication system used in UAV data transmission and control link has the advantages of anti-jamming and anti-interception, and its complex electromagnetic environment, which also brings great difficulties to UAV detection. In this paper, the detection of civil UAV is realized by frequency hopping signal monitoring. Firstly, by analyzing the signal characteristics of UAVs, an adaptive noise threshold calculation method is proposed for find the signals from spectrum data. Then, the improved clustering analysis algorithm is proposed based on constructed the waveform shape characteristics and peak characteristics of UAV frequency hopping signal. Finally, according to the designed experimental process, the experimental environment is set up, and the UAV monitoring, discovery and parameter estimation are realized by using the improved clustering analysis algorithm, and compared with K-means, K-means++, DBSCAN, Multi-hop and Auto-correlation methods. The results show that the method has certain robustness and has a good application prospect.  © 2013 IEEE.</t>
  </si>
  <si>
    <t>Civil UAV; clustering; hopping signal detection; Correlation methods; Frequency hopping; K-means clustering; Signal detection; Unmanned aerial vehicles (UAV); Autocorrelation methods; Electromagnetic environments; Experimental environment; Frequency hopping communication; Frequency hopping signals; Improved k-means clustering; Signal characteristic; Social and economic development; Aircraft detection</t>
  </si>
  <si>
    <t>10.1109/ACCESS.2021.3070491</t>
  </si>
  <si>
    <t>https://www.scopus.com/inward/record.uri?eid=2-s2.0-85103778874&amp;doi=10.1109%2fACCESS.2021.3070491&amp;partnerID=40&amp;md5=be4fd52c96f49845b6098d508a6263ab</t>
  </si>
  <si>
    <t>P42</t>
  </si>
  <si>
    <t>Miao, S.; Pan, Q.; Zheng, D.; Mohi-ud-din, G.</t>
  </si>
  <si>
    <t>Unmanned aerial vehicle intrusion detection: Deep-meta-heuristic system</t>
  </si>
  <si>
    <t>The UAV (Unmanned Aerial Vehicles) is an automatic aircraft, widely used several applications like emergency management, wildlife conservation, forestry, aerial photography, etc. The communication among the UAV is susceptible to security threats with several diverse attacks. The data sharing among the UAV and other vehicles is vulnerable to jamming and suspicious activities that disturbs the communication. To tackle the issue, IDS (Intrusion Detection System) is the significant system that monitors and identifies the suspicious activities in the communication network. To attain this, several conventional researchers attempted to accomplish better intrusion detection. However, classical models are limited by accuracy, noise and computation. To overcome the limitation, proposed method employs particular set of procedures for the intrusion detection in UAV with Intrusion UAV dataset. The dataset comprise of features like drone speed, height, width, velocity etc. Initially, in the respective approach, GG (Greedy based Genetic) algorithm for feature selection, which maintains the exact balance between the greediness and diversified population. Greedy approach enhances Genetic algorithm in combinatorial optimisation problems. Further, the study proposes Modified Deep CNN-BiLSTM (Deep Convolutional Neural Network and Bi-Long Short Term Memory) with attention mechanism for classification of intrusion in UAV. The deep CNN is utilized for the ability of handling larger datasets and accuracy. Conversely, it is limited by computation and speed. To tackle the problem, Bi-LSTM is used for the capability of enhancing the computation and speed. Moreover, attention mechanism is used for handle the complexity and to permit the presented system to focus on the significant and relevant data. Correspondingly, proposed approach performance is calculated using performance metrics such as accuracy, specificity, sensitivity, R2 (R-Squared), execution time, RMSE and precision. Furthermore, comparative analysis of the proposed method and classical model exposes the efficacy of the respective system. © 2024 Elsevier Inc.</t>
  </si>
  <si>
    <t>Bi-directional long short term memory; Deep convolutional neural network; Greedy based genetic algorithm; Intrusion detection system; Unmanned aerial vehicle</t>
  </si>
  <si>
    <t>10.1016/j.vehcom.2024.100726</t>
  </si>
  <si>
    <t>https://www.scopus.com/inward/record.uri?eid=2-s2.0-85184024780&amp;doi=10.1016%2fj.vehcom.2024.100726&amp;partnerID=40&amp;md5=2a7d7bfbd1ed4352b5d9938aa6af57e5</t>
  </si>
  <si>
    <t>P420</t>
  </si>
  <si>
    <t>Willuhn, T.</t>
  </si>
  <si>
    <t>Adapting Counter-UAV Systems to the Environment</t>
  </si>
  <si>
    <t>All CUAV systems are subject to the laws of physics. Detection range is determined by the relative location of the RC and CUAV system, the Tx power of the RC and the physical and RF environments. The jamming range is determined by the relative location of the drone and CUAV system, the Tx power of the jammer and, again, the environment.</t>
  </si>
  <si>
    <t>Unmanned aerial vehicles (UAV); Detection range; Jammers; Laws of physics; Power; Relative location; UAV systems; Jamming</t>
  </si>
  <si>
    <t>https://www.scopus.com/inward/record.uri?eid=2-s2.0-85175870373&amp;partnerID=40&amp;md5=6ba140e34d7d034ef0a0126337555b2d</t>
  </si>
  <si>
    <t>P421</t>
  </si>
  <si>
    <t>Kong, P.-Y.</t>
  </si>
  <si>
    <t>A Survey of Cyberattack Countermeasures for Unmanned Aerial Vehicles</t>
  </si>
  <si>
    <t>Unmanned aerial vehicle (UAV) has been increasingly used in a wide range of commercial and civilian applications. As an advanced cyber-physical system, UAVs are exposed to a wide range of cyberattacks. This paper first surveys existing literature for different cyberattacks. Then, we classify these attacks based on their attack entry points, which can be radio channels, messages or on-board systems. There are six classes of UAV cyberattacks, namely channel jamming, message interception, message deletion, message injection, message spoofing and on-board system attack. In the existing literature, there is no survey focusing on UAV cyberattack countermeasures. To close this gap, we survey existing countermeasures for the six attack classes. A comprehensive review of countermeasures is important because countermeasure may not be exclusive to an attack. Knowing a wide range of existing countermeasures can prepare us against existing and new cyberattacks. We classify countermeasure into three classes, namely prevention, detection and mitigation. Prevention countermeasures stop a cyberattack from starting. When prevention countermeasures fail, detection countermeasures alert UAV operator of an attack. After detecting an attack, mitigation countermeasures limits the damage. Following the survey, we further discuss the open challenges in developing countermeasures and propose some potential future research works.  © 2013 IEEE.</t>
  </si>
  <si>
    <t>countermeasure; cyberattack; Cybersecurity; drone; UAV; unmanned aerial vehicle; Aircraft detection; Antennas; Commercial vehicles; Damage detection; Drones; Embedded systems; Jamming; Security of data; Surveys; Countermeasure; Cyber security; Cyber-attacks; Drone; Entry point; Exposed to; Messages interceptions; On-board systems; Radio channels; Wireless communications; Cyber attacks; Cybersecurity</t>
  </si>
  <si>
    <t>10.1109/ACCESS.2021.3124996</t>
  </si>
  <si>
    <t>https://www.scopus.com/inward/record.uri?eid=2-s2.0-85118611946&amp;doi=10.1109%2fACCESS.2021.3124996&amp;partnerID=40&amp;md5=848f83c7181dba2ea99d6ec38a1d70c3</t>
  </si>
  <si>
    <t>P422</t>
  </si>
  <si>
    <t>Nguyen, H.P.D.; Nguyen, D.D.</t>
  </si>
  <si>
    <t>Drone Application in Smart Cities: The General Overview of Security Vulnerabilities and Countermeasures for Data Communication</t>
  </si>
  <si>
    <t>With the boost of technologies in computing, the Internet of things (IoT), and Information and Communication Technologies (ICT), the demand for using drones has been increased in real-world applications. Recently, unmanned aerial vehicles (UAVs) or drones can be used to complete a wide range of different tasks from the military to the industry with numerous studies available in the literature. However, the broad use of drones for smart cities also faces several technical, societal issues such as cybersecurity, privacy, and public safety that need to be concerned. This chapter briefly provides a general overview of cybersecurity vulnerabilities and cyber-attacks through a meta-analysis of relevant literature review towards drones such as Wi-Fi security, drone networking security, malicious software, and the like. Moreover, several countermeasures are explained in this chapter including detection methods and defense mechanisms to protect drones from their security vulnerabilities. Importantly, this paper raises cybersecurity awareness for users and presents solutions for future research in this area of interest. In fact, most cybersecurity vulnerabilities are based on sensors, communication links, and privacy via photos. Therefore, to ensure the security of drones, there is a need for a combination of the solutions for multiple sensors, the use of safe communication links instead of Wi-Fi, and the application of the CIA triad concepts. © 2021, The Author(s), under exclusive license to Springer Nature Switzerland AG.</t>
  </si>
  <si>
    <t>Countermeasure; Cybersecurity; Drone traffic management; Drones; IoD; Smart city; UAV; Vulnerabilities</t>
  </si>
  <si>
    <t>10.1007/978-3-030-63339-4_7</t>
  </si>
  <si>
    <t>https://www.scopus.com/inward/record.uri?eid=2-s2.0-85102029395&amp;doi=10.1007%2f978-3-030-63339-4_7&amp;partnerID=40&amp;md5=c3077d1c8e495151ef23b91622415000</t>
  </si>
  <si>
    <t>P423</t>
  </si>
  <si>
    <t>Pyzynski, M.; Balcerzak, T.</t>
  </si>
  <si>
    <t>Cybersecurity of the Unmanned Aircraft System (UAS)</t>
  </si>
  <si>
    <t>In recent years, UASs have become more and more popular. There are many reasons for this; one of the most popular is the enhancement of drones’ functionalities and improvement in battery life, stabilization, navigation, sensor technology, and much more. Many benefits drive growth. However, as the number of drones is expanding and their technological functionalities are evolving, drones’ use brings many concerns and challenges that should not be underestimated. This refers to issues in the area of cybersecurity, privacy, and public safety. UASs, under the international, regional, and national regime of aviation law, are considered aircraft. Since there is no existing cybersecurity framework specific to the UASs, the civil aviation cybersecurity framework should apply to their operations. This paper will focus on the potential cyber threats against UASs, providing examples of cyber-attacks from the past. Further, the aviation cybersecurity framework’s overview will follow to determine the current status of maturity at the international, regional (the European Union), and national (the Republic of Poland) levels. The paper’s conclusion will address the proposed recommendations for the UAS and aviation industries to be considered and potential solutions in terms of applying the aviation cybersecurity framework into the operation of UASs. © 2021, The Author(s).</t>
  </si>
  <si>
    <t>Cybersecurity; Cyberspace; Drones; UAS; Civil aviation; Drones; Network security; Battery life; Current status; Cyber security; Cyber threats; Cyberspaces; European union; Navigation sensors; Public safety; Sensor technologies; Unmanned aircraft system; Cybersecurity</t>
  </si>
  <si>
    <t>10.1007/s10846-021-01399-x</t>
  </si>
  <si>
    <t>https://www.scopus.com/inward/record.uri?eid=2-s2.0-85106341531&amp;doi=10.1007%2fs10846-021-01399-x&amp;partnerID=40&amp;md5=a6584a350fdb67745b9b39cb39a686a6</t>
  </si>
  <si>
    <t>P424</t>
  </si>
  <si>
    <t>Ouyang, J.; Rao, B.; Zhou, Y.</t>
  </si>
  <si>
    <t>The Influence Mechanism of UAV Cluster Electronic Countermeasures on Radar Parameter Measurement</t>
  </si>
  <si>
    <t>As a new radar jamming strategy, UAV cluster electronic countermeasures need to study its influence mechanism on radar detection. Based on the principle of radar detection, this paper has discussed the influence of drone cluster body, cluster suppression interference, cluster forwarding interference, cluster coherent interference on radar parameter measurement; and has analyzed influencing factors such as SNR, JSR, drone density, the amplitude ratio between target echo and UAV body echo. The body of UAV cluster has a poor interference effect on the radar. The main reason is that the body of UAV is small in size and the corresponding radar echo power is low. The three interference methods, suppression interference, forwarding interference and coherent interference, have good interference effects when used in cluster interference. Through the above analysis, the influence mechanism of UAV cluster on radar parameter measurement in electronic countermeasures is summarized.  © 2021 IEEE.</t>
  </si>
  <si>
    <t>electronic countermeasures; jamming; radar detection; UAV cluster; Drones; Jamming; Parameter estimation; Radar measurement; Signal to noise ratio; Tracking radar; Coherent interference; Electronic countermeasure; Influence mechanism; Interference effects; Jamming; Jamming strategies; Parameter measurement; Radar detection; Radar jamming; UAV cluster; Aircraft detection</t>
  </si>
  <si>
    <t>10.1109/Radar53847.2021.10028442</t>
  </si>
  <si>
    <t>https://www.scopus.com/inward/record.uri?eid=2-s2.0-85181080182&amp;doi=10.1109%2fRadar53847.2021.10028442&amp;partnerID=40&amp;md5=670d1c4f4962b7717de69bf736a81c91</t>
  </si>
  <si>
    <t>P425</t>
  </si>
  <si>
    <t>Basan, E.; Basan, A.; Nekrasov, A.; Fidge, C.; Gamec, J.; Gamcová, M.</t>
  </si>
  <si>
    <t>A self-diagnosis method for detecting uav cyber attacks based on analysis of parameter changes</t>
  </si>
  <si>
    <t>We consider how to protect Unmanned Aerial Vehicles (UAVs) from Global Positioning System (GPS) spoofing attacks to provide safe navigation. The Global Navigation Satellite System (GNSS) is widely used for locating drones and is by far the most popular navigation solution. This is because of the simplicity and relatively low cost of this technology, as well as the accuracy of the transmitted coordinates. Nevertheless, there are many security threats to GPS navigation. These are primarily related to the nature of the GPS signal, as an intruder can jam and spoof the GPS signal. We discuss methods of protection against this type of attack and have developed an experimental stand and conducted scenarios of attacks on a drone’s GPS system. Data from the UAV’s flight log were collected and analyzed in order to see the attack’s impact on sensor readings. From this we identify a new method for detecting UAV anomalies by analyzing changes in internal parameters of the UAV. This self-diagnosis method allows a UAV to independently assess the presence of changes in its own subsystems indicative of cyber attacks. © 2021 by the authors. Li-censee MDPI, Basel, Switzerland.</t>
  </si>
  <si>
    <t>Anomalies; Cyber attacks; Cyber threats; Entropy; GPS; Spoofing; UAV; Air navigation; Antennas; Computer crime; Crime; Drones; Global positioning system; Navigation; Network security; Global Navigation Satellite Systems; Internal parameters; Navigation solution; Parameter changes; Safe navigations; Security threats; Sensor readings; Spoofing attacks; Aircraft detection</t>
  </si>
  <si>
    <t>10.3390/s21020509</t>
  </si>
  <si>
    <t>https://www.scopus.com/inward/record.uri?eid=2-s2.0-85099349190&amp;doi=10.3390%2fs21020509&amp;partnerID=40&amp;md5=b9f28b25361d1dbcd8fcda97777fa51f</t>
  </si>
  <si>
    <t>P426</t>
  </si>
  <si>
    <t>De Carvalho Bertoli, G.; Pereira, L.A.; Saotome, O.</t>
  </si>
  <si>
    <t>Classification of Denial of Service Attacks on Wi-Fi-based Unmanned Aerial Vehicle</t>
  </si>
  <si>
    <t>This paper presents an analysis of denial of service (DoS) attacks on Wi-Fi-based Unmanned Aerial Vehicle (UAV). The platform is a Parrot AR.Drone 2 and uses the IEEE 802.11 protocol for command and control. The threat scenarios are the TCP and UDP Flood Attacks and the de-Authentication attack. The de-Authentication is a functionality available on IEEE 802.11 Wireless protocol that is misused for DoS attacks. The approach for DoS classification is based on logistic regression and decision tree (DT) using a dataset composed of malicious and normal network traffic captured during UAV flights. The DT model obtained in this paper accomplishes an F1-score to classify DoS attacks (de-Authentication, UDP, and TCP flood) of 0.97. © 2021 IEEE.</t>
  </si>
  <si>
    <t>Antennas; Authentication; Classification (of information); Decision trees; Floods; IEEE Standards; Transmission control protocol; Unmanned aerial vehicles (UAV); Wireless local area networks (WLAN); Command and control; Denial of Service; Denialof- service attacks; Flood attacks; IEEE 802.11 protocols; Logistics decisions; Logistics regressions; Services classification; Threat scenarios; Wireless protocol; Denial-of-service attack</t>
  </si>
  <si>
    <t>10.1109/LADC53747.2021.9672561</t>
  </si>
  <si>
    <t>https://www.scopus.com/inward/record.uri?eid=2-s2.0-85125293431&amp;doi=10.1109%2fLADC53747.2021.9672561&amp;partnerID=40&amp;md5=4521ba1b11d9db0819ea26c82504c2f4</t>
  </si>
  <si>
    <t>P427</t>
  </si>
  <si>
    <t>Titouna, C.; Naït-Abdesselam, F.</t>
  </si>
  <si>
    <t>A Lightweight Security Technique For Unmanned Aerial Vehicles Against GPS Spoofing Attack</t>
  </si>
  <si>
    <t>The use of Unmanned Aerial Vehicles (UAVs) in military and civil applications is increased in recent years. These UAVs are generally equipped with a set of sensors and follow a predefined trajectory. The regions of deployment are usually hostile environments and inaccessible such as disaster zone or military fields. Therefore, to accomplish their mission, the UAVs need to communicate with each other, with the Ground Control Station (GCS) and with the navigation satellite system. Through these infrastructures, the UAVs are prone and vulnerable to various cyber-attacks such as GPS spoofing. This attack can be launched easily by an attacker using a simple transmitter by broadcasting fake and wrong GPS signals. These signals can mislead UAVs that receive them from their initial trajectory. In order to ensure the predefined UAV's mission, detecting GPS spoofing attacks is a real challenge and permits to get a high level of flight security, high reliability, and schedule maintenance in time. In this research, we model this issue using a Bayesian network in order to detect this type of attack, and then, the model analyzes and detects the fake GPS signal data. The preliminary results that our proposal provides are promising in terms of a set of metrics. © 2021 IEEE</t>
  </si>
  <si>
    <t>Bayesian network; GPS spoofing attack detection; Unmanned aerial vehicles; Aircraft accidents; Aircraft detection; Antennas; Computer crime; Disasters; Drones; Global positioning system; Military applications; Military vehicles; Network security; Rock mechanics; Aerial vehicle; Attack detection; Bayesia n networks; Civil applications; GPS signals; GPS spoofing attack detection; Hostile environments; Lightweight securities; Spoofing attacks; Unmanned aerial vehicle; Bayesian networks</t>
  </si>
  <si>
    <t>10.1109/IWCMC51323.2021.9498734</t>
  </si>
  <si>
    <t>https://www.scopus.com/inward/record.uri?eid=2-s2.0-85125652553&amp;doi=10.1109%2fIWCMC51323.2021.9498734&amp;partnerID=40&amp;md5=37774f0e37ff723d00a41ea2c8bb4c95</t>
  </si>
  <si>
    <t>P428</t>
  </si>
  <si>
    <t>Lu, W.; Chen, L.W.; Xiao, Q.C.; Zhu, C.</t>
  </si>
  <si>
    <t>Software radio based drone eviction</t>
  </si>
  <si>
    <t>In response to the negative impact of low-Altitude drones on people in recent years. The anti-UAV equipment on the domestic market has a single function and a small number, and it is easy to cause secondary damage after countering low-Altitude UAVs. There are many ways to counter drones, but the method of using pseudolite signals for electronic spoofing is relatively effective and minimizes damage. This paper proposes a countermeasure against low-Altitude UAVs based on software radio emitting pseudolite signals, which can guide low-Altitude UAVs to a set direction, which can effectively counteract low-Altitude UAVs. The full text first gives the system flow chart, then uses software radio to transmit pseudolite signals, uses GNU Radio to construct the GRC flow chart and conducts signal testing, and finally builds the hardware platform and conducts outdoor testing.  © 2021 IEEE.</t>
  </si>
  <si>
    <t>pseudolites; signal processing; software radio; UAV countermeasures; Decision making; Decision theory; Drones; Open source software; Signal processing; Software radio; Domestic markets; Flow charts; GNU radio; Low altitudes; Pseudolites; Secondary damage; Signal testing; Signal-processing; System flow; UAV countermeasure; Software testing</t>
  </si>
  <si>
    <t>10.1109/ISCTIS51085.2021.00079</t>
  </si>
  <si>
    <t>https://www.scopus.com/inward/record.uri?eid=2-s2.0-85123219919&amp;doi=10.1109%2fISCTIS51085.2021.00079&amp;partnerID=40&amp;md5=72b3bf64c4434e151864d19a0ea36d92</t>
  </si>
  <si>
    <t>P429</t>
  </si>
  <si>
    <t>Baum, M.S.</t>
  </si>
  <si>
    <t>Unmanned Aircraft Systems Traffic Management: UTM</t>
  </si>
  <si>
    <t>This book introduces unmanned aircraft systems traffic management (UTM) and how this new paradigm in traffic management integrates unmanned aircraft operations into national airspace systems. Exploring how UTM is expected to operate, including possible architectures for UTM implementations, and UTM services, including flight planning, strategic coordination, and conformance monitoring, Unmanned Aircraft Systems Traffic Management: UTM considers the boundaries of UTM and how it is expected to interlace with tactical coordination systems to maintain airspace safety. The book also presents the work of the global ecosystem of players advancing UTM, including relevant standards development organizations (SDOs), and considers UTM governance paradigms and challenges. FEATURES • Describes UTM concept of operations (ConOps) and global variations in architectures • Explores envisioned UTM services, including flight planning, strategic coordination, conformance monitoring, contingency management, constraints and geo-awareness, and remote identification • Highlights cybersecurity standards development and awareness • Covers approaches to the approval, management, and oversight of UTM components and ecosystem • Considers the future of UTM and potential barriers to its success, international coordination, and regulatory reform This book is an essential, in-depth, annotated resource for developers, unmanned aircraft system operators, pilots, policy makers, researchers, and academics engaged in unmanned systems, transportation management, and the future of aviation. © 2022 Michael Scott Baum.</t>
  </si>
  <si>
    <t>10.1201/9781003124689</t>
  </si>
  <si>
    <t>https://www.scopus.com/inward/record.uri?eid=2-s2.0-85138322631&amp;doi=10.1201%2f9781003124689&amp;partnerID=40&amp;md5=ea6569a22e1df8f1623ffe91ac7cc027</t>
  </si>
  <si>
    <t>P43</t>
  </si>
  <si>
    <t>Procksch, N.; Guimarães, M.; Trindade, M.R.; Ott, P.H.; Perez, M.S.; Veronez, M.R.; de Oliveira, L.R.</t>
  </si>
  <si>
    <t>How close can we get to seeing the private lives of fur seals and sea lions? Experimental UAV flights on the Southern Brazilian coast</t>
  </si>
  <si>
    <t>Recent advances in unmanned aerial vehicle (UAV) technology have made them a popular and accessible tool for wildlife research. Despite their popularity, there are some concerns about their potential negative impacts due to the possibility of causing disturbance to the species being monitored. We assessed the potential behavioral disturbance of low altitude UAVs on South American fur seals (Arctocephalus australis) and sea lions (Otaria flavescens) on a haulout site in southern Brazil (Wildlife Refuge of Ilha dos Lobos (WRIL)) between October 2022 and August 2023. Behavioral responses of each individual toward the UAV were classified (no response, vigilant or movement) and individuals were also classified according to their species. The probability of individuals expressing each one of the three behaviors at each altitude was assessed by Binomial and Multinomial Mixed Models. We flew a small UAV (DJI Air 2S) vertically above 731 South American sea lions, including 131 adult males, 590 subadult males and 10 juveniles; and 121 South American fur seals, including one subadult, one juvenile and 119 yearlings. For sea lions, vigilant and movement responses represented only 7.70% and 0.36% of behaviors observed during vertical approaches. South American fur seals appeared less perturbed by UAV presence, as only 1.56% of observed behaviors were classified as vigilant, and no movement responses were observed during vertical approaches. Similar results were found during horizontal flights over these species. The most frequent behavior observed in both species was no response, with a probability higher than 0.89 during vertical and horizontal approaches with drones, even at lower altitudes. Based on these results, we recommend that due to their benefits and minimal impact on the studied species, UAV monitoring studies of South American pinnipeds be conducted at a minimum altitude of 30 m at non-breeding sites, especially at haulout sites. © 2023</t>
  </si>
  <si>
    <t>Arctocephalus australis; Behavior; Drone disturbance; Otaria flavescens; Brazil; Ilha dos Lobos; Rio Grande do Sul; altitude; behavioral response; disturbance; movement; pinniped; unmanned vehicle</t>
  </si>
  <si>
    <t>10.1016/j.jembe.2024.152042</t>
  </si>
  <si>
    <t>https://www.scopus.com/inward/record.uri?eid=2-s2.0-85198567597&amp;doi=10.1016%2fj.jembe.2024.152042&amp;partnerID=40&amp;md5=c89112e9fbe62080f4ad123d3633b30b</t>
  </si>
  <si>
    <t>P430</t>
  </si>
  <si>
    <t>Hazarika, H.; Rohit, D.; Pasha, S.M.K.; Maeda, T.; Masyhur, I.; Arsyad, A.; Nurdin, S.</t>
  </si>
  <si>
    <t>Large distance flow-slide at Jono-Oge due to the 2018 Sulawesi Earthquake, Indonesia</t>
  </si>
  <si>
    <t>There was a shallow earthquake in the Central Sulawesi province of Sulawesi island of Indonesia with a moment magnitude (Mw) 7.5 on 28th September 2018 at 18:02:44 local time. The event was preceded by major foreshocks and followed by aftershocks of significant magnitude. The epicenter of the main shock was in the Donggala regency of Minahasa peninsula of Central Sulawesi, approximately 70 km from the provincial capital of Palu. The earthquake was caused by the tectonic movement of the left lateral Palu- Koro fault within the Molucca Sea microplate, triggering major geotechnical failure and structural damage in Palu city and Sigi regency. Thousands of people died or are still unaccounted for, and countless others were injured. Balaroa, Petobo, Jono-Oge and Sibalaya were the worst hit mainly due to large-scale flow-slides and mud flows. It was the first time that such large-scale flow failures were triggered by an earthquake, and that the failure of very gentle sloping ground swept away whole localities. The objective of this research was to provide insight into the scale of ground failure and other infrastructural damage caused by the event, especially in Jono-Oge area, where the flow distance was longest. The authors performed preliminary and detailed surveys in the area twice by conducting Portable Dynamics Cone Penetration Test (PDCPT), collecting disturbed and undisturbed samples and using aerial drone (UAV) photography. The findings of the reconnaissance survey are described here along with subsequent data interpretation. Finally, the mechanism of the flow-slides is discussed. © 2020</t>
  </si>
  <si>
    <t>Drone survey; Dynamic cone penetration test; Flow-slide; Large distance flow; Liquefaction; Water film; Antennas; Surveys; Unmanned aerial vehicles (UAV); Cone penetration tests; Data interpretation; Moment magnitudes; Reconnaissance surveys; Shallow earthquakes; Structural damages; Tectonic movements; Undisturbed sample; Earthquakes</t>
  </si>
  <si>
    <t>10.1016/j.sandf.2020.10.007</t>
  </si>
  <si>
    <t>https://www.scopus.com/inward/record.uri?eid=2-s2.0-85096882935&amp;doi=10.1016%2fj.sandf.2020.10.007&amp;partnerID=40&amp;md5=b0b16c45a74c152f1674e0a0b0a1d2fa</t>
  </si>
  <si>
    <t>P431</t>
  </si>
  <si>
    <t>Bohacik, J.</t>
  </si>
  <si>
    <t>Phishing Detection for Secure Operations of UAVs</t>
  </si>
  <si>
    <t>Unmanned Aerial Vehicles (UAV) or drones are used in various domains more and more, including military operations, monitoring, rescue of victims, and transport. Often, UAV resources are developed as web services so that they can be accessed anywhere on the Internet through the World Wide Web. However, this makes them vulnerable to phishing activities of criminals who may try to access these resources and other sensitive information. Therefore, the development of a phishing detection tool based on data mining is presented in this paper. It consists of a browser extension monitoring visited webpages and a backend communicating with the browser extension for the purposes of executing some specific tasks. The browser extension is implemented in JavaScript and the ReactJS framework, and it contains an implementation of classifications with a Bayesian network, decision tree, nearest neighbor classifier and neural network. The backend uses PHP, Python scripts and the Apache HTTP Server. In addition, a browser extension is implemented so that data about webpages can be collected and this data is used for the creation of data mining models. Experimental validation with 10-fold cross-validation and through the browsing of real-world websites show promising results in phishing detection.  © 2021 IEEE.</t>
  </si>
  <si>
    <t>data mining; phishing; security; UAV; Aircraft detection; Antennas; Bayesian networks; Computer crime; Decision trees; High level languages; HTTP; Military operations; Military vehicles; Unmanned aerial vehicles (UAV); Web services; Websites; 10-fold cross-validation; Apache http servers; Data mining models; Experimental validations; Nearest Neighbor classifier; Phishing detections; Sensitive informations; Specific tasks; Data mining</t>
  </si>
  <si>
    <t>10.1109/IDT52577.2021.9497540</t>
  </si>
  <si>
    <t>https://www.scopus.com/inward/record.uri?eid=2-s2.0-85112415558&amp;doi=10.1109%2fIDT52577.2021.9497540&amp;partnerID=40&amp;md5=a734b9a6b475adfa2b53e892231c9109</t>
  </si>
  <si>
    <t>P432</t>
  </si>
  <si>
    <t>Chen, Z.; Xu, B.</t>
  </si>
  <si>
    <t>Control simulation and anti-jamming verification of quadrotor UAV Based on Matlab</t>
  </si>
  <si>
    <t>In this paper, the structure and the dynamic characteristics of quadrotor UAV are analyzed and studied in detail where the dynamic model of quadrotor UAV is established. The dynamic model is used to describe the flight attitude of quadrotor UAV, and the modeling of quadrotor UAV is carried out on the basis of the above mentioned information. Dynamic modeling is a simulation model established by the flight principle of the aircraft with the force relationship under various motion states such as referring to Newton Euler model. After the model is built, the simulation is carried out in Matlab/Simulink software to prove the merit of the method used.  © 2020 IEEE.</t>
  </si>
  <si>
    <t>anti-jamming verification; dynamic modeling; Matlab simulation; quadrotor UAV; Dynamic models; Flight simulators; Jamming; MATLAB; Anti-jamming; Control simulation; Dynamic characteristics; Matlab/Simulink software; Motion state; Newton-Euler; Quad-rotor UAV; Simulation model; Drones</t>
  </si>
  <si>
    <t>10.1109/ICIIBMS50712.2020.9336427</t>
  </si>
  <si>
    <t>https://www.scopus.com/inward/record.uri?eid=2-s2.0-85101439919&amp;doi=10.1109%2fICIIBMS50712.2020.9336427&amp;partnerID=40&amp;md5=3dd147622a754b1ce2c58fe982883bd3</t>
  </si>
  <si>
    <t>P433</t>
  </si>
  <si>
    <t>Kung, R.-Y.; Pan, N.-H.; Wang, C.C.N.; Lee, P.-C.</t>
  </si>
  <si>
    <t>Application of Deep Learning and Unmanned Aerial Vehicle on Building Maintenance</t>
  </si>
  <si>
    <t>Several natural and human factors are responsible for the defacement of the external walls and tiles of buildings, and the related deterioration can be a public safety hazard. Therefore, active building maintenance and repair processes are essential for ensuring building sustainability. However, conventional inspection methods are time-, cost, and labor-intensive processes. Therefore, herein, this study proposes a convolutional neural network (CNN) model for image-based automated detection and localization of key building defects (efflorescence, spalling, cracking, and defacement). Based on a pretrained CNN VGG-16 classifier, this model applies class activation mapping for object localization. After identifying its limitations in real-life applications, this study determined the model's robustness and ability to accurately detect and localize defects in the external wall tiles of buildings. For real-time detection and localization, this study applied this model by using mobile devices and drones. The results show that the application of deep learning with UAV can effectively detect various kinds of external wall defects and improve the detection efficiency.  © 2021 Ren-Yi Kung et al.</t>
  </si>
  <si>
    <t>10.1155/2021/5598690</t>
  </si>
  <si>
    <t>https://www.scopus.com/inward/record.uri?eid=2-s2.0-85105410976&amp;doi=10.1155%2f2021%2f5598690&amp;partnerID=40&amp;md5=6d12571e67b10c6773b9fdf74711a0c5</t>
  </si>
  <si>
    <t>P434</t>
  </si>
  <si>
    <t>Arjun Krishna, K.; Thomas, P.</t>
  </si>
  <si>
    <t>Unmanned Aerial Vehicle Surveillance using Multiple Inter-symbol Obfuscation scheme</t>
  </si>
  <si>
    <t>The popularity of Unmanned Aerial Vehicle is increasing day by day which enhances accessibility for civilian and military applications. Due to this the chances for exploitation becomes evident, these UAVs might be potentially used for criminals and terrorism activities like Enemy surveillance, bomb blast etc. The main motive of this paper is to design and develop a complete surveillance system which can be mounted on a domestic UAV in order to act against the dreadful enemy UAV. The legitimate UAV is able to track the movement of enemy ones with this system. In addition, MIO scheme is used for interrupt the enemy UAV communication links and sending messages to friendly drones. The proposed MIO (multiple inter-symbol obfuscation) scheme which utilizes a set of artificial noisy symbols (symbol key) to obfuscate the original data symbol. On the other hand, a legitimate receiver a friendly UAV can easily check the integrity of the symbol key and then reject the fake packets from the received packets. From the security point of view, without considering the initial key, this MIO scheme can achieve information-theoretic secrecy against the passive eavesdropping attack and computational secrecy against the fake packet injection attack. Moreover, the jamming strategy developed for track the suspicious UAV flight by utilizing parameters like angle of arrival and received signal strength of suspicious UAV signal. © 2020 IEEE.</t>
  </si>
  <si>
    <t>Antennas; Information theory; Military applications; Military vehicles; Monitoring; Power electronics; Security systems; Terrorism; Angle of arrival; Data symbols; Eavesdropping attacks; Jamming strategies; Packet injection; Received signal strength; Security point; Surveillance systems; Unmanned aerial vehicles (UAV)</t>
  </si>
  <si>
    <t>10.1109/PEREA51218.2020.9339785</t>
  </si>
  <si>
    <t>https://www.scopus.com/inward/record.uri?eid=2-s2.0-85101444662&amp;doi=10.1109%2fPEREA51218.2020.9339785&amp;partnerID=40&amp;md5=bf59c685e31f102bfe60119563fbaff5</t>
  </si>
  <si>
    <t>P435</t>
  </si>
  <si>
    <t>Kadripathi, K.N.; Ragav, L.Y.; Shubha, K.N.; Chowdary, P.H.</t>
  </si>
  <si>
    <t>De-authentication attacks on rogue UAVs</t>
  </si>
  <si>
    <t>In this new commercial era, Unmanned Aerial Vehicles (UAVs) popularly known as drones have become easily accessible, and their possible unlawful use poses new security threats. Therefore, limiting the illegal use of UAVs in some regions, such as airports, military camps, nuclear power plants, and international borders has become highly recommended. In remote control systems, most commercially available UAVs rely on spread spectrum techniques such as direct sequencing and frequency hopping. This minimizes the impact of interference from adjacent communications systems and increases resistance to jamming.In this research, an efficient mechanism is designed to attack and disconnect Wi-Fi controlled UAVs using Raspberry Pi 3 motherboard (System On Chip-SOC). The proposed technique in this prototype uses the de-authentication process to attack UAVs Wi-Fi module that connects the flight controller in the UAV to the ground control station. The experimental results show this method can effectively be used to cease and disconnect the UAVs operating within a 50 m radius around the proposed prototype without disturbing any other non-target electronic signals around. © 2020 IEEE.</t>
  </si>
  <si>
    <t>De-authentication; Ground control station; Raspberry Pi 3; Security threats; Unmanned aerial vehicles (UAV); Wi-Fi controlled UAVs; Antennas; Authentication; Commercial vehicles; Flight control systems; Military power plants; Nuclear fuels; Programmable logic controllers; Remote control; Rock mechanics; System-on-chip; Unmanned aerial vehicles (UAV); Wireless local area networks (WLAN); Communications systems; Direct sequencing; Electronic signals; Flight controllers; Ground control stations; International border; Security threats; Spread spectrum techniques; Nuclear power plants</t>
  </si>
  <si>
    <t>10.1109/ICISS49785.2020.9316032</t>
  </si>
  <si>
    <t>https://www.scopus.com/inward/record.uri?eid=2-s2.0-85100771612&amp;doi=10.1109%2fICISS49785.2020.9316032&amp;partnerID=40&amp;md5=56b269d2cc5b234202dfd1eae7afdf48</t>
  </si>
  <si>
    <t>P436</t>
  </si>
  <si>
    <t>Abdulrazzak, I.A.; Bierk, H.M.; Ahmed, A.F.</t>
  </si>
  <si>
    <t>Detection of H2S Gas Concentration in Oil Refinery Stations by Using Drone</t>
  </si>
  <si>
    <t>Detection and controlling of leaks of poisonous gases such as H2S gas in industrial workplaces have drawn the attention of many researchers. In this study, we have used quad-copter Drone (UAV) of 1200 g to detect the leak of H2S gas in one of the refineries in Iraq. The drone is equipped with many components including, but not limited to, global positioner system (GPS), and a hydrogen sulphide H2S sensor to detect the concentration of this dangerous gas in oil refinery facilities. It has four DC motors, and a battery. It flies fifty minutes before replacing the battery with a charged one. The drone has been customized utilizing mission planer or/and Arduino programming. The administrator controls the system by using radio frequency of a remote control. The estimating of the concentration of H2S gas is performed by utilizing MQ sensors connected with the drone. Ten positions were selected in order to test the concentrations of H2S gas, and all values were found in the range of 1.058–5.034 which are considered to be within the allowable limits. The methodology of this study is composed of hardware and software programming through the Arduino Uno. The result indicates that this technology is capable to protect the life of personnel in oil and gas facilities and consequently, this proposed method is promising and could be the basis of further research in this area. © 2020, The Author(s), under exclusive license to Springer Nature Switzerland AG.</t>
  </si>
  <si>
    <t>Gas detection; Global Positioning System (GPS); H&lt;sub&gt;2&lt;/sub&gt;S; Radio frequency; UAV</t>
  </si>
  <si>
    <t>10.1007/978-3-030-63846-7_61</t>
  </si>
  <si>
    <t>https://www.scopus.com/inward/record.uri?eid=2-s2.0-85098282118&amp;doi=10.1007%2f978-3-030-63846-7_61&amp;partnerID=40&amp;md5=58f3d5028342b9a1f23b81cc5f4cb60d</t>
  </si>
  <si>
    <t>P437</t>
  </si>
  <si>
    <t>Nooralishahi, P.; López, F.; Maldague, X.</t>
  </si>
  <si>
    <t>A drone-enabled approach for gas leak detection using optical flow analysis</t>
  </si>
  <si>
    <t>The recent development of gas imaging technologies has raised a growing interest for various applications. Gas imaging can significantly enhance functional safety by early detection of hazardous gas leaks. Moreover, optical gas imaging technologies can be used to identify possible gas leakages and to investigate the amount of gas emission in industrial sites, which is essential, primarily based on current efforts to decrease greenhouse gas emissions all around the world. Therefore, exploring the solutions for automating the inspection process can persuade industries for more regular tests and monitoring. One of the main challenges in gas imaging is the proximity condition required for data to be more reliable for analysis. Therefore, the use of unmanned aerial vehicles can be very advantageous as they can provide significant access due to their maneuver capabilities. Despite the advantages of using drones, their movements and sudden motions during hovering can diminish data usability. In this paper, we propose a method for gas leak detection and visually-enhancement of gas emanation involving stabilization and gas leak detection steps. In addition, a comparative analysis of candidate stabilization techniques is conducted to find the most suitable technique for the drone-based application. Moreover, the system is evaluated using three experiments respectively on an isolated environment, a real scenario, and a drone-based inspection. © 2021 by the authors. Licensee MDPI, Basel, Switzerland.</t>
  </si>
  <si>
    <t>Aerial inspection; Gas leakage detection; Nondestructive testing; Optical flow analysis; Thermography; Unmanned aerial vehicle; Video stabilization</t>
  </si>
  <si>
    <t>10.3390/app11041412</t>
  </si>
  <si>
    <t>https://www.scopus.com/inward/record.uri?eid=2-s2.0-85100756814&amp;doi=10.3390%2fapp11041412&amp;partnerID=40&amp;md5=2d0733753f7b53301228f46f3d6db466</t>
  </si>
  <si>
    <t>P438</t>
  </si>
  <si>
    <t>Karimibiuki, M.; Pattabiraman, K.; Ivanov, A.</t>
  </si>
  <si>
    <t>Are you for Real? Authentication in Dynamic IoT Systems</t>
  </si>
  <si>
    <t>Dynamic Internet-of-Things (IoT) systems are nonlinear cyber-physical systems that move around and operate in the physical environment under the control of stability laws in the cyber world. An example of such systems are Unmanned Aerial Vehicles (UAV s), or drones. In this environment, fake nodes can masquerade themselves as real nodes, to fool the command and control functions that can target resource management and lead to Denial-of-Service (DoS) attacks. In this paper, we present a novel authentication framework to identify fake nodes from the real ones by deriving and monitoring the stability function. More specifically, we exploit the Lyapunov stability function to validate the authenticity of a drone's physical behavior. We use training traces from real nodes to derive the stability function, then use it to authenticate traces at runtime. Our technique is implemented in a tool called Phoenix. We evaluate Phoenix with a system simulator as well as a real-world drone. We find that Phoenix takes about 50 ms to distinguish fake from real nodes, achieves a recall rate of over 96% and a precision rate of 95%, and can foil even determined attackers with limited computational resources.  © 2021 IEEE.</t>
  </si>
  <si>
    <t>Authentication; Cyber physical systems; denial of service; DoS; Drone; Drones; Dynamic IoT systems; Internet of Things; IoT; Lyapunov function; PID controller; Robotic vehicles; Security; Stability function; Stability law; UAV; UAVs; Unmanned Aerial Vehicles; Aircraft control; Antennas; Authentication; Cyber Physical System; Denial-of-service attack; Dynamics; Embedded systems; Environmental regulations; Internet of things; Lyapunov functions; Three term control systems; Cybe-physical systems; Cyber-physical systems; Denial of Service; Drone; Dynamic internet-of-thing system; Lyapunov's functions; PID controllers; Robotic vehicles; Security; Stability function; Stability law; Drones</t>
  </si>
  <si>
    <t>10.1109/PRDC53464.2021.00026</t>
  </si>
  <si>
    <t>https://www.scopus.com/inward/record.uri?eid=2-s2.0-85125014889&amp;doi=10.1109%2fPRDC53464.2021.00026&amp;partnerID=40&amp;md5=02a989887fecd7fd48b3ede48df699c7</t>
  </si>
  <si>
    <t>P439</t>
  </si>
  <si>
    <t>Dirir, A.; Ahmed, S.; Kabeer, S.; Ramzan, R.</t>
  </si>
  <si>
    <t>Solar Powered Drone Interceptor Jammer for Smart Cities</t>
  </si>
  <si>
    <t>The extensive use of UAVs or Drones is increasing exponentially all around the world. The individuals and organizations around the world are using these drones for variety of applications. At the same time, this technology, poses a serious privacy and safety threat when used in "No Fly"areas like the airports or military zones, and the private properties for eavesdropping. This paper shows a novel approach to design, manufacture, and test a low cost, handheld, solar powered battery operated, power efficient drone jammer and interceptor. This interceptor will be able to take down the drone or force it to go to its base station thus protecting the marked "No Fly"zone area. © 2020 IEEE.</t>
  </si>
  <si>
    <t>Drone; Interceptor; Jammer; No Fly zone; White noise; Jamming; Power electronics; Privacy by design; Smart city; Handhelds; Low costs; Power efficient; Private property; Safety threat; Solar-powered; Drones</t>
  </si>
  <si>
    <t>10.1109/PEREA51218.2020.9339792</t>
  </si>
  <si>
    <t>https://www.scopus.com/inward/record.uri?eid=2-s2.0-85101461774&amp;doi=10.1109%2fPEREA51218.2020.9339792&amp;partnerID=40&amp;md5=112adeb1688def1301b3e0cf30fea1b6</t>
  </si>
  <si>
    <t>P44</t>
  </si>
  <si>
    <t>Xu, Q.; Yi, J.; Wang, X.; Niu, M.-B.; Miah, M.S.; Wang, L.</t>
  </si>
  <si>
    <t>Secure Unmanned Aerial Vehicle Communication in Dual-Function Radar Communication System by Exploiting Constructive Interference</t>
  </si>
  <si>
    <t>In contrast from traditional unmanned aerial vehicle communication via unlicensed spectrum, connecting unmanned aerial vehicles with cellular networks can extend their communication coverage and improve the quality of their service. In addition, the emerging dual-functional radar communication paradigm in cellular systems can better meet the requirements of location-sensitive tasks such as reconnaissance and cargo delivery. Based on the above considerations, in this paper, we study the simultaneous communication and target sensing issue in cellular-connected unmanned aerial vehicle systems. Specifically, we consider a two-cell coordinated system with two base stations, cellular unmanned aerial vehicles, and potential aerial targets. In such systems, the communication security issue of cellular unmanned aerial vehicles regarding eavesdropping on their target is inevitable since the main beam of the transmit waveform needs to point to the direction of the target for achieving a sufficient detection performance. Aiming at protecting the privacy of cellular transmission as well as performing target sensing, we exploit the physical layer security technique with the aid of constructive interference-based precoding. A transmit power minimization problem is formulated with constraints on secure and reliable cellular transmission and a sufficient radar signal-to-interference-plus-noise ratio. By specially designing the transmit beamforming vectors at the base stations, the received signals at the cellular users are located in the decision regions of the transmitted symbols while the targets can only receive wrong symbols. We also compare the performance of the proposed scheme with that of the traditional one without constructive interference. The simulation results show that the proposed constructive interference-based strategy can meet the requirements of simultaneous target sensing and secure communication, and also save transmit power compared with the traditional scheme. © 2024 by the authors.</t>
  </si>
  <si>
    <t>beamforming; constructive interference; drone communications; dual-function radar communication; physical layer security; Aircraft communication; Aircraft detection; Beam forming networks; Biocommunications; Drones; Femtocell; Medium access control; Secure communication; Technical presentations; Aerial vehicle; Cellulars; Constructive interference; Drone communication; Dual function; Dual-function radar communication; Physical layer security; Radar communication; Transmit power; Vehicle communications; Radar interference</t>
  </si>
  <si>
    <t>10.3390/drones8100581</t>
  </si>
  <si>
    <t>https://www.scopus.com/inward/record.uri?eid=2-s2.0-85207660625&amp;doi=10.3390%2fdrones8100581&amp;partnerID=40&amp;md5=75b2f3fdd1ed49fb046f1aa9e2146d9c</t>
  </si>
  <si>
    <t>P440</t>
  </si>
  <si>
    <t>Alladi, T.; Venkatesh, V.; Chamola, V.; Chaturvedi, N.</t>
  </si>
  <si>
    <t>Drone-MAP: A novel authentication scheme for drone-assisted 5G networks</t>
  </si>
  <si>
    <t>Drones, also called Unmanned Aerial Vehicles (UAVs) are attracting significant attention in the research community for their many military and civil uses. They are especially being deployed for assistance in 5G communication networks. As a particular technology starts to gain widespread applicability, it is crucial that it becomes resistant to malicious entities. In particular, the communication between UAVs and the 5G-base station needs to be secured without leaking sensitive information to any unauthorized entities. The constraints on UAV in terms of computation time, impose the condition that any authentication protocol required for authenticating the UAV with the 5G base station must be lightweight in order to be feasible for deployment. To address this issue, a Physical Unclonable Function (PUF)-based mutual authentication scheme is proposed in this paper. Security analysis of the proposed protocol and a computation time comparison with state-of-the-art authentication protocol in the same field are also presented. © 2021 IEEE.</t>
  </si>
  <si>
    <t>5G base stations; Mutual authentication; PUFs; UAVs; Wireless networks; Antennas; Authentication; Base stations; Drones; Military vehicles; Queueing networks; Authentication protocols; Authentication scheme; Mutual authentication; Physical unclonable functions (PUF); Research communities; Security analysis; Sensitive informations; State of the art; 5G mobile communication systems</t>
  </si>
  <si>
    <t>10.1109/INFOCOMWKSHPS51825.2021.9484594</t>
  </si>
  <si>
    <t>https://www.scopus.com/inward/record.uri?eid=2-s2.0-85113322028&amp;doi=10.1109%2fINFOCOMWKSHPS51825.2021.9484594&amp;partnerID=40&amp;md5=f42c0dad8207a865b8b14307e15aae39</t>
  </si>
  <si>
    <t>P441</t>
  </si>
  <si>
    <t>Tang, A.C.B.</t>
  </si>
  <si>
    <t>A review on cybersecurity vulnerabilities for urban air mobility</t>
  </si>
  <si>
    <t>Recent developments of high-powered unmanned aerial vehicles (UAVs) have allowed for urban air mobility (UAM) to become a reality. While these flying cars' propulsive technology has almost become economically viable, the infrastructure to allow these vehicles to operate in an urban environment is still lacking. With numerous known vulnerabilities in UAVs and commercial aircraft, manufacturers have not addressed cybersecurity in the scope of urban air mobility. This paper presents a review of several known cybersecurity vulnerabilities and previous attacks associated with UAVs and aircraft's core communication systems. Analyzing current solutions to each threat and incorporating early concepts for UAM, this paper then presents a basic cybersecurity framework featuring a blockchain-based PKI with secondary navigation systems to allow for the development of secure airspace. © 2021, American Institute of Aeronautics and Astronautics Inc, AIAA. All rights reserved.</t>
  </si>
  <si>
    <t>Air navigation; Aircraft; Aircraft communication; Antennas; Cybersecurity; Navigation systems; Vehicle to vehicle communications; 'current; Aerial vehicle; Aircraft manufacturers; Commercial aircraft; Communications systems; Cyber security; Economically viable; Flying car; Urban air; Urban environments; Air mobility</t>
  </si>
  <si>
    <t>https://www.scopus.com/inward/record.uri?eid=2-s2.0-85100310869&amp;partnerID=40&amp;md5=e8c0a99dc66d42c4fff87a913fe889e8</t>
  </si>
  <si>
    <t>P442</t>
  </si>
  <si>
    <t>Zhang, X.; Chen, C.; Su, K.; Lin, L.; Tian, Y.</t>
  </si>
  <si>
    <t>Design of the outdoor cruising control system of the quadrotor drone</t>
  </si>
  <si>
    <t>During the outdoor cruising flight of the UAV, it will often cause problems such as inaccurate positioning information and course to drift due to interference of sensor signal errors, ground effects, airflow, and communication delay. In this paper, an outdoor cruising control system of the quadrotor drone is designed, where the Kalman filter and the Mahony filter are adopted to fuse the sensor data to obtain the attitude to be controlled, and the PID control method is introduced to reduce the external noise to the control system. As a result, the GPS/INS combined navigation method was used to design the quadrotor drone controller. The system improves the anti-jamming capability of the aircraft, has the advantages of real-time, fast response, and high precision, and can realize the positioning cruise function of the quadrotor aircraft in a complex outdoor environment. © Content from this work may be used under the terms of the Creative Commons Attribution 3.0 licence.</t>
  </si>
  <si>
    <t>Filter fusion; Flight controller; Integrated navigation; PID control; Quadrotor drone; Aircraft; Aircraft control; Environmental technology; Flight control systems; Geology; Kalman filters; Three term control systems; Anti-jamming capability; Combined navigation; Communication delays; Control methods; External noise; High-precision; Outdoor environment; Positioning information; Drones</t>
  </si>
  <si>
    <t>10.1088/1755-1315/632/2/022062</t>
  </si>
  <si>
    <t>https://www.scopus.com/inward/record.uri?eid=2-s2.0-85100838254&amp;doi=10.1088%2f1755-1315%2f632%2f2%2f022062&amp;partnerID=40&amp;md5=acfe00ebd2a886d5812886ed50a67e88</t>
  </si>
  <si>
    <t>P443</t>
  </si>
  <si>
    <t>Bedi, J.; Padhy, R.K.; Padhi, S.S.</t>
  </si>
  <si>
    <t>Understanding the Industry 4.0 Revolution Using Twitter Analytics</t>
  </si>
  <si>
    <t>Social media (SM) data provide a vast record of everyday thoughts, feelings, and actions of humans at a resolution previously unimaginable. Because user behavior on SM reflects events in the real world, researchers have realized that they can use SM to forecast and make predictions. To grasp the context, this study focuses on Twitter as one of the social networking sites to improve our understanding of the fourth industrial revolution and its associated initiatives in the context of SM. These tweets were collected using the hashtags #Industry4.0, #factoroffuture, and #AdvanceManufacturing followed by Twitter analytics that comprises three types of analytics, namely, descriptive statistics, content analytics that includes sentiment analytics and emotional score analysis, and network analysis and topic modeling. This methodology is applied to around 31,000 tweets to answer four research questions: (1) Which tweets characterize Industry 4.0? The finding suggests that a great part (35%) of #Industry4.0 tweets contains more than one hashtag. Primarily, tweets about the convenient issues and difficulties with Industry 4.0 applications are high in numbers. (2) What are the topics shared on Twitter? Findings suggest that most mainstream hashtags are like themed territories canvassed in scholarly diaries. They incorporate #IOT, #IIOT, #Bigdata, #Analytics, #Cybersecurity, #Innovation, #Automation, #digital, #sensors, #cyberattacks, #smart city, #Block chain, #5G, #drone, #robotics, #RPA, #ML, #deep learning, #cloud, and #AI. Few noticeable ones were #PlanetEarthFirst, #SustainableDevelopment, and #Futureofwork. (3) What are the features of the users who use Industry 4.0-related tweets? Findings suggest that some of the clients are unemployed, while others are professionals. Almost all the tweets under this group of clients are unique and are expert in innovation-related jobs. Lastly, (4) What are the sentiments of these tweets? Findings suggest that the tweet data test for #Industry4.0 consists of moderately positive feeling emphasizing occasions, fabricating capacity news, business use case, changes, reports, innovations, abilities, and administration notices. Finally, the future scope and limitations of the study are also reported. © 2022 selection and editorial matter, Shivani Bali, Sugandha Aggarwal, Sunil Sharma; individual chapters, the contributors.</t>
  </si>
  <si>
    <t>10.1201/9781003140474-1</t>
  </si>
  <si>
    <t>https://www.scopus.com/inward/record.uri?eid=2-s2.0-85138368726&amp;doi=10.1201%2f9781003140474-1&amp;partnerID=40&amp;md5=d630448d6ccef62b59c19bb21b8037c4</t>
  </si>
  <si>
    <t>P444</t>
  </si>
  <si>
    <t>Chibi, N.T.; Ghazi, H.E.; Fihri, W.F.</t>
  </si>
  <si>
    <t>Drone Cyber-Attack: An Intrusion Detection Technique Based on RSSI and Trilateration</t>
  </si>
  <si>
    <t>The drones or the Unmanned Aerial Vehicles (UAVs) are used in several fields: military, security, health, agriculture, transport, media. Several vulnerability studies on drones have shown that attacks are easily carried out over Wi-Fi or radio links [1]-[2]. In this paper, we will focus on an attack scenario through radio frequencies aiming to hijack the drone. Our approach, based on the Received Signal Strength Indication (RSSI) technique and the trilateration method, will allow the drone to ensure that the signal received is legitimate.  © 2021 IEEE.</t>
  </si>
  <si>
    <t>Cyber-Security; Drone; Intrusion Detection; Received Signal Strength Indication (RSSI); Trilateration; Vulnerability; Agricultural robots; Antennas; Drones; Intrusion detection; Military vehicles; Radio links; Surveying; Attack scenarios; Cyber-attacks; Radio frequencies; Received signal strength indication; Trilateration; Aircraft detection</t>
  </si>
  <si>
    <t>10.1109/TST52996.2021.00014</t>
  </si>
  <si>
    <t>https://www.scopus.com/inward/record.uri?eid=2-s2.0-85115180881&amp;doi=10.1109%2fTST52996.2021.00014&amp;partnerID=40&amp;md5=a599bc0e949c10c8fd8d2573d29a016d</t>
  </si>
  <si>
    <t>P445</t>
  </si>
  <si>
    <t>Mondal, H.; Chatterjee, U.</t>
  </si>
  <si>
    <t>Revisiting UAV Authentication Schemes: Practical Attacks on Aviation Infrastructure</t>
  </si>
  <si>
    <t>In recent years, drones, in particular, unmanned air vehicles (UAVs) are getting popular in both the civil and military arena. Rapid growth in the development of micro-electro-mechanical systems (MEMS) has helped to integrate miniature and low-cost sensors for control and commands for UAV stabilization. Hence secure authentication of these UAVs is of paramount importance. Several proposals have been proposed so far in literature to make to serve this purpose. In this work, we review and propose novel attack methodologies for four such protocols that utilize ARM TrustZone and Physically Unclonable Functions (AsianHost2020), Digital Signature and a hash function (Electronics2020), PUFs for UAV-Ground Station and UAV-UAV (IEEE TVT2018), and Anonymous Attestation Scheme for Network-Connected UAVs (China Communications 2018). First, we briefly describe the four schemes with a unified notion. Second, we highlight the detected vulnerabilities to such an extent that it cannot be supported for real-life applications. We further propose a direction towards the countermeasures that can be adapted by all four protocols. Finally, we provide key insights for designing authentication protocols in the future.  © 2021 IEEE.</t>
  </si>
  <si>
    <t>Authentication; Denial of Service; Masquerade Attack; Physically Unclonable Functions; Replay Attack; Unmanned Air Vehicles; Authentication; Denial-of-service attack; Hash functions; MEMS; Military vehicles; Network security; Authentication scheme; Aviation infrastructure; Denial of Service; Low-cost sensors; Masquerade attacks; MEMS (microelectromechanical system); Physically unclonable functions; Rapid growth; Replay attack; Unmanned air vehicles; Unmanned aerial vehicles (UAV)</t>
  </si>
  <si>
    <t>10.1109/AsianHOST53231.2021.9699695</t>
  </si>
  <si>
    <t>https://www.scopus.com/inward/record.uri?eid=2-s2.0-85126751849&amp;doi=10.1109%2fAsianHOST53231.2021.9699695&amp;partnerID=40&amp;md5=ddbba6160824e5a4a818dad9057b8e13</t>
  </si>
  <si>
    <t>P446</t>
  </si>
  <si>
    <t>Sommer, D.; Chandra Reddy Irigireddy, A.S.; Parkhurst, J.; Nastrucci, E.-R.</t>
  </si>
  <si>
    <t>SDR- And UAV-based wireless avionics intra-communication testbed</t>
  </si>
  <si>
    <t>In the never ending search for better fuel efficiency and increased safety, the aviation technical community is exploring wireless avionics as a solution. In this work, a Wireless Avionics Intra Communication (WAIC) testbed is designed by using an Unmanned Aerial Vehicle (UAV) equipped with a Software-Defined Radio (SDR). One of the key WAIC performance metrics, the aggregate power flux density (PSD) is measured at a defined radius from the aircraft in a hemispherical pattern of positions where the frequency spectrum is registered at six rings spaced by 15° around the grounded airplane, as required by Radio Technical Commission for Aeronautics (RTCA) minimum aviation system performance standards (MASPS) for WAIC. The described measurement task is performed autonomously by using a hexacopter with a wingspan of 55 cm to fly a predefined programmed hemispherical path by using real-time kinematic GPS. A gimbal-controlled radar altimeter antenna is mounted to the UAV and connected to an on-board SDR and computer. GNU radio is used on an Nvidia Jetson TX2 along with a HackRF One SDR to record the power spectrum in the 4.2-4.4 GHz range. Average power readings are transmitted wirelessly to the operator to confirm system operation during flight, while the raw spectrum data is stored on-board for analysis after the UAV lands. Each measurement set is stored along with the GPS location of the UAV at the moment of testing, as it performs the hemispherical planned path. Another SDR is used on the ground to mimic the operation of a radio altimeter or other WAIC devices during the testing process. © 2020 IEEE.</t>
  </si>
  <si>
    <t>Drone; GNU Radio; Radar Altimeter; RTK GPS; Software defined radio; Antennas; Digital avionics; Equipment testing; Meteorological instruments; Open source software; Radio altimeters; Testbeds; Unmanned aerial vehicles (UAV); Hemispherical patterns; Performance metrics; Performance standards; Power flux density; Real-time kinematic GPS; Software-defined radios; Technical commission; Technical community; Software radio</t>
  </si>
  <si>
    <t>10.1109/DASC50938.2020.9256639</t>
  </si>
  <si>
    <t>https://www.scopus.com/inward/record.uri?eid=2-s2.0-85097979337&amp;doi=10.1109%2fDASC50938.2020.9256639&amp;partnerID=40&amp;md5=cec0d335bbede0c44da292928993b91f</t>
  </si>
  <si>
    <t>P447</t>
  </si>
  <si>
    <t>Sbitnev, A.V.; Antonov, A.A.; Matyuk, S.P.; Anikaev, K.P.; Barmotin, A.D.</t>
  </si>
  <si>
    <t>Ensuring the Cybersecurity of Unmanned Aerial Vehicles as Integrated into a Single Airspace</t>
  </si>
  <si>
    <t>The subject of this study is the processes of formation of the unmanned aerial vehicles as a segment of civil aviation. The article defines the main directions of integration of unmanned aerial vehicles into a single airspace and air traffic management systems in a manner similar to that of manned aircraft. It develops proposals (ICAO, ICAO Member States, Russian Federation) for ensuring the cybersecurity of the unmanned aerial vehicles usage. © 2021 IEEE.</t>
  </si>
  <si>
    <t>airspace; cybersecurity; information security; unmanned aerial vehicle; Antennas; Cybersecurity; Air Traffic Management Systems; Air-traffic management system; Airspace; Cyber security; Manned aircraft; Russian federation; Unmanned aerial vehicles (UAV)</t>
  </si>
  <si>
    <t>10.1109/TSCZh53346.2021.9628364</t>
  </si>
  <si>
    <t>https://www.scopus.com/inward/record.uri?eid=2-s2.0-85123627467&amp;doi=10.1109%2fTSCZh53346.2021.9628364&amp;partnerID=40&amp;md5=3e3cb24e6405f9a69cf6cbcd331c6474</t>
  </si>
  <si>
    <t>P448</t>
  </si>
  <si>
    <t>Srinivas, S.; Herschfelt, A.; Yu, H.; Wu, S.; Li, Y.; Lee, H.; Chakrabarti, C.; Bliss, D.W.</t>
  </si>
  <si>
    <t>Communications and High-Precision Positioning (CHP2): Enabling Secure CNS and APNT for Safety-Critical Air Transport Systems</t>
  </si>
  <si>
    <t>Unmanned aerial systems (UASs) have recently enabled novel applications such as passenger transport and package delivery, but are increasingly vulnerable to cyberattack and therefore difficult to certify. These applications require robust positioning, communciations, and time synchronization services. Legacy systems such as GPS provide these capabilities extremely well, but are sensitive to spoofing and hijacking cyberattacks. In a previous study, we developed a local GPS alternative that provides highly secure communications, positioning, and timing synchronization services to networks of cooperative RF users. In this study, we consider this Communications and High-Precision Positioning (CHP2) system in the context of safety-critical transport applications and urban air mobility. We demonstrate rapid (&lt; 100 ms) and precise (&lt; 1cm) positioning capabilities in over-the-air experiments using flexible ground stations and UAS platforms using limited bandwidth (10 MhZ). We compare several position estimation algorithms in simulation and experimental test environments to identify suitable approaches for different applications. We discuss how the integrated communications link secures the system from spoofing and hijacking cyberattacks. We assert that the these capabilities make CHP2 a suitable candidate to provide both communications, navigation, and surveillance (CNS) and alternative positioning, navigation, and timing (APNT) services for safety-critical transport applications on a variety of vehicular platforms. © 2020 IEEE.</t>
  </si>
  <si>
    <t>Alternative positioning; Communications; Navigation; RF convergence; Safety-critical air transport systems (ATS); Spectrum sharing; Surveillance (CNS); Timing (APNT); Urban air mobility (UAM); Antennas; Cooperative communication; Digital avionics; Information services; Legacy systems; Position measurement; Safety engineering; Security of data; Urban transportation; Air transport systems; High precision positioning; Novel applications; Passenger transport; Position estimation; Time synchronization; Timing synchronization; Unmanned aerial systems; Global positioning system</t>
  </si>
  <si>
    <t>10.1109/DASC50938.2020.9256739</t>
  </si>
  <si>
    <t>https://www.scopus.com/inward/record.uri?eid=2-s2.0-85098002875&amp;doi=10.1109%2fDASC50938.2020.9256739&amp;partnerID=40&amp;md5=d790bd1a9030a0b875ac302764387875</t>
  </si>
  <si>
    <t>P449</t>
  </si>
  <si>
    <t>Baig, M.S.; Ahmed, F.; Memon, A.M.</t>
  </si>
  <si>
    <t>Spear-Phishing campaigns: Link Vulnerability leads to phishing attacks, Spear-Phishing electronic/UAV communication-scam targeted</t>
  </si>
  <si>
    <t>One of the most important strategies for gaining unauthentic early access to some person/company's computing resources/data is spear phishing. Phishing is, at its core, a sort of social engineering intended to persuade a user to give sensitive information or run a payload that will infect their system. Spear phishing is a type of phishing in which bogus emails are sent to specific businesses with the goal of obtaining confidential information. A successful phishing campaign necessitates the use of a few different resources as well as some setup. Impersonation, inducement, and access- control bypass techniques are among its approaches. In this paper we have studied and found up to date approaches to spear phishing attacks and their preventative measures. The paper also demonstrates the steps to set up and run successful phishing campaign and the results astonishingly shows that even only personality-targeted messaging can alter the response to phishing attacks. As a result of learning the facts, the paper suggests that users should seek to improve their security awareness by becoming familiar with the warning signs of phishing attacks. Moreover, more often in Unmanned Aerial Vehicles (UAV) or drones (which are now being used in various domains including military operations, monitoring, etc.), the resources are deployed as web services which makes them vulnerable to phishing activities. A data mining technique is also suggested as a tool for the detection of phishing attacks in UAVs.  © 2021 IEEE.</t>
  </si>
  <si>
    <t>campaign's; experiment; phishing; scam; security awareness; Spear-Phishing; target; UAV; Access control; Antennas; Computer crime; Data mining; Intrusion detection; Military operations; Military vehicles; Web services; Campaign; Computing resource; Phishing; Phishing attacks; Scam; Security awareness; Sensitive informations; Social engineering; Spear phishing; Vehicle communications; Unmanned aerial vehicles (UAV)</t>
  </si>
  <si>
    <t>10.1109/ICCIS54243.2021.9676394</t>
  </si>
  <si>
    <t>https://www.scopus.com/inward/record.uri?eid=2-s2.0-85125335050&amp;doi=10.1109%2fICCIS54243.2021.9676394&amp;partnerID=40&amp;md5=a9194aace12fb34937777720bb20b8f8</t>
  </si>
  <si>
    <t>P45</t>
  </si>
  <si>
    <t>Ding, Y.; Zhang, Q.; Lu, W.; Zhao, N.; Nallanathan, A.; Wang, X.; Yang, X.</t>
  </si>
  <si>
    <t>Collaborative Communication and Computation for Secure UAV-Enabled MEC Against Active Aerial Eavesdropping</t>
  </si>
  <si>
    <t>Unmanned aerial vehicle (UAV)-enabled mobile edge computing (MEC) can provide flexible computing service for terminal-devices (TDs). However, malicious active aerial eavesdroppers can perform air-to-ground eavesdropping and air-to-air attacking, which makes TDs' tasks offloading computation more vulnerable, posing significantly secure threats to UAV-enabled MEC. To overcome this challenge, we aim to design collaborative communication and computation schemes for the secure UAV-enabled MEC system, where an active aerial eavesdropper is capable of wiretapping the tasks information offloaded from TDs and transmitting attack signals to the legitimate network. The total weighted energy consumption of the system is minimized via optimizing time allocation, transmit power, local and offloading computation bits, as well as UAV trajectory. First, considering the given number of computational tasks of TDs, a block coordinate descent (BCD)-based scheme is proposed to decompose the original multi-variables-coupling and close-form-lacking problem into several tractable subproblems that can be addressed by iterations. Next, considering that there are dynamic and random tasks arriving to TDs' original tasks, a deep reinforcement learning (DRL)-based scheme is proposed to maintain the stability of tasks, where the solution of computation, communication and trajectory optimization is intelligently obtained by adopting double-deep Q-learning (DDQN). Simulation results demonstrate that the proposed schemes outperform the respective benchmarks for secure UAV-enabled MEC against active aerial eavesdropping.  © 2002-2012 IEEE.</t>
  </si>
  <si>
    <t>active aerial eavesdropping; collaborative communication and computation; deep reinforcement learning; mobile edge computing; Unmanned aerial vehicle; Antennas; Computation offloading; Computing power; Deep learning; Drones; Job analysis; Mobile edge computing; Reinforcement learning; Security systems; Active aerial eavesdropping; Aerial vehicle; Collaborative communications; Collaborative computation; Deep reinforcement learning; Eavesdropping; Energy-consumption; Reinforcement learnings; Resist; Resource management; Task analysis; Unmanned aerial vehicle; Energy utilization</t>
  </si>
  <si>
    <t>10.1109/TWC.2024.3435017</t>
  </si>
  <si>
    <t>https://www.scopus.com/inward/record.uri?eid=2-s2.0-85200799285&amp;doi=10.1109%2fTWC.2024.3435017&amp;partnerID=40&amp;md5=0566c1b96da22ecc905c0bd0081617e4</t>
  </si>
  <si>
    <t>P450</t>
  </si>
  <si>
    <t>Galvan, J.; Raja, A.; Li, Y.; Yuan, J.</t>
  </si>
  <si>
    <t>Sensor Data-Driven UAV Anomaly Detection using Deep Learning Approach</t>
  </si>
  <si>
    <t>Thanks to the high mobility and rich sensing capabilities of unmanned aerial vehicles (UAVs), or drones, they are increasingly leveraged to perform a series of military and civilian tasks today. Meanwhile, UAVs are also facing various security and safety concerns raised by both external attacks and internal hardware/software failures. Therefore, detecting the abnormal status of a UAV is a critical task to protect it against malicious adversaries and prevent potential crashes. In this paper, we propose an anomaly detection system for UAVs by monitoring and analyzing their sensor data in real-time using deep learning approaches. The proposed system leverages the convolutional neural network (CNN) to extract and learn features automatically from raw sensor data and then process them to support anomaly detection. We construct a data set of UAV IMU sensor data using our UAV cybersecurity simulation platform to support the training of our CNN model. Different deep learning models are also evaluated and compared in this paper. We validate the performance of the proposed detection system using extensive experimental evaluation, which demonstrates that our system achieves high detection accuracy under different conditions. © 2021 IEEE.</t>
  </si>
  <si>
    <t>Aircraft detection; Anomaly detection; Antennas; Convolutional neural networks; Cybersecurity; Deep learning; Military vehicles; Simulation platform; Anomaly detection; Convolutional neural network; Critical tasks; Data driven; Hardware/software; High mobility; Learning approach; Safety concerns; Sensors data; Software failure; Unmanned aerial vehicles (UAV)</t>
  </si>
  <si>
    <t>10.1109/MILCOM52596.2021.9653036</t>
  </si>
  <si>
    <t>https://www.scopus.com/inward/record.uri?eid=2-s2.0-85124170806&amp;doi=10.1109%2fMILCOM52596.2021.9653036&amp;partnerID=40&amp;md5=577931f4e9b13b42eba20dafd34b1c32</t>
  </si>
  <si>
    <t>P451</t>
  </si>
  <si>
    <t>Ortner, P.; Steinhofler, R.; Hodl, P.; Leitgeb, E.; Fluhr, H.</t>
  </si>
  <si>
    <t>Geospatial Guidance of Unmanned Aerial Vehicles around no-fly-zones by Global Positioning System Spoofing</t>
  </si>
  <si>
    <t>The universal applicability of UAVs (Unmanned Aerial Vehicle) in the civil and commercial sectors offers enormous potential to transform urban and rural infrastructure, improving efficiency and effectiveness while reducing associated costs. For the successful operation of a remotely or autonomously controlled UAV, satellite navigation plays a crucial role in ensuring stable and reliable air navigation. One of the oldest and probably best known navigation satellite systems is the U.S. Global Positioning System (GPS). Unfortunately, many cyber attacks against UAVs are strongly associated with civil GPS vulnerabilities. The market growth of UAVs and the vulnerability of GPS are leading to more critical flight movements near or in no-fly-zones, which in turn has significant safety risks in a dynamic and complex environment such as aviation. In this paper, an experimental GPS spoofing system was developed and implemented for geospatial guidance of UAVs around predefined no-fly-zones using an algorithm to determine the shortest feasible path. For this reason, a cyber attack analysis of GPS was performed first. Followed by the theory and application of fake signal generation and emission in laboratory environments. Based on the obtained and valuable knowledge, three corresponding algorithms for real time spoofing, shortest way spoofing and UAV no-fly-zone were elaborated and implemented. Finally, the developed geospatial guidance algorithm is illustrated in a real life scenario to show the problem by entering critical areas. © 2021 IEEE.</t>
  </si>
  <si>
    <t>Geospatial guidance; GPS; No-fly-zone; Spoofing; UAV; Air navigation; Antennas; Commercial vehicles; Computer crime; Crime; Network security; Unmanned aerial vehicles (UAV); Civil sector; Commercial sector; Geo-spatial; Geospatial guidance; Improving efficiency; No-fly-zone; Rural infrastructure; Spoofing; Urban and rural; Urban infrastructure; Global positioning system</t>
  </si>
  <si>
    <t>10.1109/ISNCC52172.2021.9615885</t>
  </si>
  <si>
    <t>https://www.scopus.com/inward/record.uri?eid=2-s2.0-85123418569&amp;doi=10.1109%2fISNCC52172.2021.9615885&amp;partnerID=40&amp;md5=69604c70a03d01b0f1af1560f41e73b4</t>
  </si>
  <si>
    <t>P452</t>
  </si>
  <si>
    <t>Yang, K.; Price, J.; Klenke, R.; Leccadito, M.</t>
  </si>
  <si>
    <t>Implementation of a hierarchical embedded cyber attack detection system for suas flight control systems</t>
  </si>
  <si>
    <t>The development of low-cost, small Unmanned Aerial Systems (sUAS) with ever increasingly sophisticated autonomy has led to their employment in a number of civilian as well as military roles. The operational capabilities of sUAS are dependent on the operation of computer Flight Control Systems (FCS) (i.e., autopilots). These FCS consist of sensors, such as GPS receivers, Inertial Measurement Units (IMUs), Barometric pressure sensors, and others, providing aircraft state information to a central processor which executes the flight control firmware. Most of these sensors themselves contain processors that are also executing their own firmware, and the flight control firmware and sometimes even the sensor firmware can be updated by the end user. Developers of the FCS for these aircraft are dependent on a diverse supply chain for the sensors and processors used in these systems and in addition, they cannot always ensure the trusted delivery of their verified firmware updates to the end user. These factors leave the sUAS systems to various types of cyber-attacks. This paper presents the architecture and initial implementation of a cyber-security monitor for sUAS FCS. This Hierarchical Embedded Cyber Security Detection system (HECAD) is designed to monitor the system for the effects of cyber security attacks, and system faults at all levels of the implementation, from the physical component interconnect level, to the information level, the execution level, and finally, to the overall system functional level. The detailed implementation of the HECAD system at the physical and information levels for several different component interconnect types is described. © 2021, American Institute of Aeronautics and Astronautics Inc, AIAA. All rights reserved.</t>
  </si>
  <si>
    <t>Atmospheric pressure; Computer control systems; Computer crime; Crime; Cyber attacks; Drones; Embedded systems; Firmware; Flight control systems; Global positioning system; Hierarchical systems; Network security; Supply chains; Attack detection; Component interconnect; Cyber security; Cyber-attacks; Detection system; End-users; Flight control; Flight-control systems; Information levels; Unmanned aerial systems; Antennas</t>
  </si>
  <si>
    <t>https://www.scopus.com/inward/record.uri?eid=2-s2.0-85100432859&amp;partnerID=40&amp;md5=9399bf2d96868d411513735f1bad7ad9</t>
  </si>
  <si>
    <t>P453</t>
  </si>
  <si>
    <t>Ly, B.; Ly, R.</t>
  </si>
  <si>
    <t>Cybersecurity in unmanned aerial vehicles (UAVs)</t>
  </si>
  <si>
    <t>For the investigation, the security factor is crucial as Unmanned Aerial Vehicles (UAVs) become prevalent, and their operational range grows exponentially. This research is a comprehensive literature review investigating which cyber-attacks are most frequent and what consequences they cause in civilian UAV attacks. The cyber threats described in this study are categorized using the STRIDE attack paradigm, the challenge they pose, and the appropriate equipment for the attack. The most common forms of UAV cyberattack and the most effective result are spoofing and denial of service attacks. No difficult-to-reach device is needed for any attack style, meaning that the security state currently requires enhancements to civilian use of UAVs in most cases. © 2020 Informa UK Limited, trading as Taylor &amp; Francis Group.</t>
  </si>
  <si>
    <t>COVID-19; Cyber-attacks; drone; security; UAS; UAV; Antennas; Crime; Cyber attacks; Denial-of-service attack; Drones; Network security; Aerial vehicle; Cyber security; Cyber threats; Cyber-attacks; Literature reviews; Operational range; Security; Security factors; UAS; Unmanned aerial vehicle; COVID-19</t>
  </si>
  <si>
    <t>10.1080/23742917.2020.1846307</t>
  </si>
  <si>
    <t>https://www.scopus.com/inward/record.uri?eid=2-s2.0-85206596386&amp;doi=10.1080%2f23742917.2020.1846307&amp;partnerID=40&amp;md5=472ffae4661284e1a5346943e286a803</t>
  </si>
  <si>
    <t>P454</t>
  </si>
  <si>
    <t>Alluhybi, W.I.; Alhazmi, O.H.</t>
  </si>
  <si>
    <t>Towards a Threat Model for Unmanned Aerial Vehicles</t>
  </si>
  <si>
    <t>Unmanned Aerial Vehicles (UAVs), usually known as drones, have become very popular, readily available, and quite sophisticated. They are now being used to support new capabilities such as autonomous behavior and extensively for data collection. The advancement and proliferation of UAVs in public use have created a significant challenge from the security aspect. However, there is a lack of UAV security solution designs using a complete threat model. Threat modeling is used for identifying, analyzing, prioritizing, and fixing all possible risks and vulnerabilities. This paper provides the (UAVs) threat model and the identified threats and vulnerabilities by using STRIDE threat modeling processes to categorize cyber-attacks. The results show that the most common cyberattack types against UAVs are spoofing and denial of service attacks. © 2021, The Author(s), under exclusive license to Springer Nature Singapore Pte Ltd.</t>
  </si>
  <si>
    <t>Intrusion detection; Threat modeling; Unmanned aerial vehicles</t>
  </si>
  <si>
    <t>10.1007/978-981-16-3153-5_35</t>
  </si>
  <si>
    <t>https://www.scopus.com/inward/record.uri?eid=2-s2.0-85116756278&amp;doi=10.1007%2f978-981-16-3153-5_35&amp;partnerID=40&amp;md5=c8eb37ca35225351185d49c1f04254c0</t>
  </si>
  <si>
    <t>P455</t>
  </si>
  <si>
    <t>Blasch, E.; Raz, A.K.; Sabatini, R.; Insaurralde, C.C.</t>
  </si>
  <si>
    <t>Information fusion as an autonomy enabler for uas traffic management (Utm)</t>
  </si>
  <si>
    <t>Autonomy proliferates air and space traffic management with the National Aeronautics and Space Administration (NASA) initiative on Unmanned Aircraft System Traffic Management (UTM). New endeavors such as electric vertical take-off and landing (eVTOL) and COVID19 are challenging every aspect of the NextGEN rollout. Hence, to develop a safe and secure UTM, there is need for knowledge management. Knowledge management comes from awareness about the environment and awareness is based on assessment. The information fusion community has long developed methods for data fusion (e.g., statistical analysis), sensor fusion (e.g., navigation and tracking), information fusion (e.g., Notice to Airman and air tracks), as well intelligence fusion (e.g., response to malicious attacks) for knowledge assessment. Each of these techniques has opportunities to enable UTM autonomy, joint all-domain command and control, and surveillance. This paper explores the various uses of fusion available to support the autonomy. For example, three types of autonomy have been proposed: autonomy at rest (e.g., flight plans, radar positions), autonomy in motion (e.g., dynamic tracking with automatic dependent surveillance-broadcast (ADS-B) and weather), as well as autonomy in use (e.g., getting the right data at the correct time). A use case is presented for UTM that utilizes data fusion from ADS-B, radar, LiDAR, and visual data to provide effective positioning in response to various cyber attacks on the ADS-B data. © 2021, American Institute of Aeronautics and Astronautics Inc, AIAA. All rights reserved.</t>
  </si>
  <si>
    <t>Information fusion; NASA; Network security; Optical radar; Sensor data fusion; Air Traffic Management; Automatic dependent surveillance broadcasts; Broadcast data; Intelligence fusion; National aeronautic and space administrations; Sensor fusion; Space traffic management; Traffic management; Unmanned aircraft system; Vertical take-off and landings; Unmanned aerial vehicles (UAV)</t>
  </si>
  <si>
    <t>https://www.scopus.com/inward/record.uri?eid=2-s2.0-85100315082&amp;partnerID=40&amp;md5=2ff8200ae345e8071a628128934f2468</t>
  </si>
  <si>
    <t>P456</t>
  </si>
  <si>
    <t>Hassija, V.; Chamola, V.; Agrawal, A.; Goyal, A.; Luong, N.C.; Niyato, D.; Yu, F.R.; Guizani, M.</t>
  </si>
  <si>
    <t>Fast, Reliable, and Secure Drone Communication: A Comprehensive Survey</t>
  </si>
  <si>
    <t>Drone security is currently a major topic of discussion among researchers and industrialists. Although there are multiple applications of drones, if the security challenges are not anticipated and required architectural changes are not made, the upcoming drone applications will not be able to serve their actual purpose. Therefore, in this paper, we present a detailed review of the security-critical drone applications, and security-related challenges in drone communication such as DoS attacks, Man-in-the-middle attacks, De-Authentication attacks, and so on. Furthermore, as part of solution architectures, the use of Blockchain, Software Defined Networks (SDN), Machine Learning, and Fog/Edge computing are discussed as these are the most emerging technologies. Drones are highly resource-constrained devices and therefore it is not possible to deploy heavy security algorithms on board. Blockchain can be used to cryptographically store all the data that is sent to/from the drones, thereby saving it from tampering and eavesdropping. Various ML algorithms can be used to detect malicious drones in the network and to detect safe routes. Additionally, the SDN technology can be used to make the drone network reliable by allowing the controller to keep a close check on data traffic, and fog computing can be used to keep the computation capabilities closer to the drones without overloading them.  © 1998-2012 IEEE.</t>
  </si>
  <si>
    <t>Blockchain; drone applications; drone security; fog computing; machine learning; software defined networks; UAV; Application programs; Blockchain; Denial-of-service attack; Drones; Fog; Machine learning; Network security; Software defined networking; Architectural changes; Block-chain; Drone application; Drone security; Man in the middle; Multiple applications; Security challenges; Security-critical; Software-defined networks; Solution architectures; Fog computing</t>
  </si>
  <si>
    <t>10.1109/COMST.2021.3097916</t>
  </si>
  <si>
    <t>https://www.scopus.com/inward/record.uri?eid=2-s2.0-85116684743&amp;doi=10.1109%2fCOMST.2021.3097916&amp;partnerID=40&amp;md5=2d94ff27e584c2135fda457a8737f713</t>
  </si>
  <si>
    <t>P457</t>
  </si>
  <si>
    <t>Salamh, F.E.; Karabiyik, U.; Rogers, M.K.; Matson, E.T.</t>
  </si>
  <si>
    <t>Unmanned Aerial Vehicle Kill Chain: Purple Teaming Tactics</t>
  </si>
  <si>
    <t>The raising accessibility of Unmanned Aerial Vehicles (UAVs), colloquially known as drones, is rapidly increasing. Drones have pros and cons like any other technologies that operate on different communication protocols (i.e., Network, Bluetooth, Satellite, etc.). Recent studies have discussed challenges that may come in tow with the growing use of such technology. These studies note that in-depth examination is required, especially when addressing challenges that carry a high volume of software data between sensors, actuators, and control commands. From a security perspective, the technology has not achieved reliable security measures. This is due to many factors such as different operating systems to operate the drone. Drones run on different hardware and software components, which pose yet another series of challenges in both the drone forensic process and incident response. This paper examines a VTI Phoenix drone by utilizing the 'Purple-Teaming' tactics, presents challenges related to drone forensic discovery and discusses potential drone anti-forensic techniques and their association with the type of use, environment, attack vector, and level of expertise. To this end, we proposed the UAV Kill Chain based on the conducted examination and the presented scientific contribution in this work. To the best of our knowledge, there has not been any contribution that incorporates 'Purple-Teaming' tactics to evaluate UAV-related research in cybersecurity and digital forensics. © 2021 IEEE.</t>
  </si>
  <si>
    <t>cyber threats; drone forensic; kill chain; penetration testing; purple teaming tactics; UAV; Antennas; Drones; Security of data; Anti-Forensics; Control command; Cyber security; Forensic process; Hardware and software components; Incident response; Scientific contributions; Security measure; Digital forensics</t>
  </si>
  <si>
    <t>10.1109/CCWC51732.2021.9376090</t>
  </si>
  <si>
    <t>https://www.scopus.com/inward/record.uri?eid=2-s2.0-85103450750&amp;doi=10.1109%2fCCWC51732.2021.9376090&amp;partnerID=40&amp;md5=f3ce784d60db9eb14deca941eeeb93be</t>
  </si>
  <si>
    <t>P458</t>
  </si>
  <si>
    <t>Nwadiugwu, W.-P.; Kim, S.-H.; Kim, D.-S.</t>
  </si>
  <si>
    <t>Precise-point-positioning estimations for recreational drones using optimized cubature-extended kalman filtering</t>
  </si>
  <si>
    <t>In modern-day multi-dimensional recreational drones (UAVs), the global navigation satellite system (GNSS) units in- use are commonly fraught with precise-point-positioning (PPP) data errors or inaccuracies, hence, necessitating this work. These data inaccuracies, occasioned by the system's drawbacks such as sudden GPS lock or jamming, embedded device misalignment, drone's limited communication coverage, signaling and detection, all contributes to the system's PPP computation complexity. To mitigate PPP complexity, an intelligent and robust accurate continuous-discrete (ACD) based hybrid cubature-extended Kalman filter (C-EKF) computation model for an integrated GNSS unit is corroborated in this article. More precisely, time updates to the state and parameter sub-vectors for the GNSS unit is accomplished using the third-degree spherical-radial cubature rule. The system's testbed simulation is then conducted using tightly-coupled units of (i) ring laser gyroscope (RLG) and (ii) micro-electro-mechanical system (MEMS) variants of the inertial measurement unit (IMU) to ascertain the PPP cooperative tendencies. Optimized performance comparisons of the proposed hybrid C-EKF over the existing cubature Kalman filter (CKF) and extended Kalman filter (EKF) models with-respect-to (w.r.t) its probabilistic outages, Yaw error-differences and ergodic capacities are demonstrated and presented.  © 2013 IEEE.</t>
  </si>
  <si>
    <t>4-D trajectory recreational drones; Global navigation satellite system (GNSS); Hybrid cubature-extended Kalman filter (C-EKF); Inertial measurement unit (IMU); Precise point positioning (PPP); Bandpass filters; Communication satellites; Drones; Extended Kalman filters; MEMS; 4-D trajectory recreational drone; Data inaccuracies; Extended Kalman filtering; Global navigation satellite system; Global Navigation Satellite Systems; Hybrid cubature-extended kalman filter; Inertial measurement unit; Inertial measurements units; Precise point positioning; Global positioning system</t>
  </si>
  <si>
    <t>10.1109/ACCESS.2021.3116058</t>
  </si>
  <si>
    <t>https://www.scopus.com/inward/record.uri?eid=2-s2.0-85116978314&amp;doi=10.1109%2fACCESS.2021.3116058&amp;partnerID=40&amp;md5=e89f3bc6f98402a5c40dcc4a224d566e</t>
  </si>
  <si>
    <t>P459</t>
  </si>
  <si>
    <t>Syed, F.; Gupta, S.K.; Hamood Alsamhi, S.; Rashid, M.; Liu, X.</t>
  </si>
  <si>
    <t>A survey on recent optimal techniques for securing unmanned aerial vehicles applications</t>
  </si>
  <si>
    <t>Unmanned aerial vehicles (UAVs) or Drones technology has a huge potential for supporting different efficient solutions for the smart applications in our world. The applications include smart things, smart transportation, smart cities, smart healthcare, smart personal care, smart house, smart industries, and so on. Due to the sensitive applications of UAVs, the security has become a major concern, and therefore, efficient techniques are required to protect captured data from hackers and the fictitious activities from illegitimate users. Machine learning (ML) techniques play a vital role in improving UAVs' security intelligently, while blockchain is recent technology for decentralized UAVs and security. Furthermore, watermarking guarantees digital media to be authenticated, protected, and copyright. Therefore, we provide a comprehensive survey of optimal techniques, which are used for securing UAVs applications in terms of blockchain, ML, and watermarking. Furthermore, we introduce each technique with the advantages and suitably used for securing UAVs collaboration applications. This survey contributes to a better understanding of the blockchain, ML, and watermarking techniques for securing UAVs and sheds new light on challenges and opportunities on subject applications. © 2020 John Wiley &amp; Sons, Ltd.</t>
  </si>
  <si>
    <t>Antennas; Blockchain; Digital storage; Personal computing; Surveys; Watermarking; Collaboration applications; Personal care; Sensitive application; Smart applications; Watermarking algorithms; Unmanned aerial vehicles (UAV)</t>
  </si>
  <si>
    <t>10.1002/ett.4133</t>
  </si>
  <si>
    <t>https://www.scopus.com/inward/record.uri?eid=2-s2.0-85092191216&amp;doi=10.1002%2fett.4133&amp;partnerID=40&amp;md5=755f1dfd914c4ce35f86c498bebb6e69</t>
  </si>
  <si>
    <t>P46</t>
  </si>
  <si>
    <t>Pu, C.; Warner, C.; Choo, K.-K.R.; Lim, S.; Ahmed, I.</t>
  </si>
  <si>
    <t>liteGAP: Lightweight Group Authentication Protocol for Internet of Drones Systems</t>
  </si>
  <si>
    <t>Over the past few years, the synergic usage of unmanned aerial vehicles (later drones) and Internet of Things (IoT) has successfully transformed into the Internet of Drones (IoD) paradigm, where the data of interest is gathered and delivered to the Zone Service Provider (ZSP) by drones for substantial additional analysis. Considering the sensitivity of collected information and the impact of information disclosure, information privacy and security issues should be resolved properly so that the maximum potential of IoD can be realized in the increasingly complex cyber threat environment. Ideally, an authentication and key agreement protocol can be adopted to establish secure communications between drones and the ZSP in an insecure environment. Nevertheless, a large group of drones authenticating with the ZSP simultaneously will lead to a severe authentication signaling congestion, which inevitably degrades the quality of service (QoS) of IoD systems. To properly address the above-mentioned issues, a lightweight group authentication protocol, called liteGAP, is proposed in this paper. liteGAP can achieve the authenticated key establishment between a group of drones and the ZSP concurrently in the IoD environment using lightweight operations such as hash function, bitwise XOR, and physical unclonable function (PUF). We verify liteGAP using AVISPA (a tool for the automatic verification of security protocols) and conduct formal and informal security analysis, proving that liteGAP meets all pre-defined security requirements and withstand various potential cyber attacks. Moreover, we develop an experimental framework and conduct extensive experiments on liteGAP and two benchmark schemes (e.g., GASE and rampIoD). Experimental findings show that liteGAP outperforms its counterparts in terms of computational cost as well as communication overhead.  © 1967-2012 IEEE.</t>
  </si>
  <si>
    <t>group authentication; Information privacy and security; Internet of Drones; signaling congestion; Antennas; Authentication; Drones; Hash functions; Internet of things; Internet protocols; Network security; Quality control; Traffic congestion; Group authentication; Information privacy; Information privacy and security; Internet of drone; Privacy and security; Quality-of-service; Security; Service provider; Signaling congestion; Vehicle to grids; Quality of service</t>
  </si>
  <si>
    <t>10.1109/TVT.2023.3335839</t>
  </si>
  <si>
    <t>https://www.scopus.com/inward/record.uri?eid=2-s2.0-85178014504&amp;doi=10.1109%2fTVT.2023.3335839&amp;partnerID=40&amp;md5=28e3212d23c88803fe1d82c07794be4c</t>
  </si>
  <si>
    <t>P460</t>
  </si>
  <si>
    <t>Papaioannou, S.; Kolios, P.; Panayiotou, C.G.; Polycarpou, M.M.</t>
  </si>
  <si>
    <t>Cooperative simultaneous tracking and jamming for disabling a rogue drone</t>
  </si>
  <si>
    <t>This work investigates the problem of simultaneous tracking and jamming of a rogue drone in 3D space with a team of cooperative unmanned aerial vehicles (UAVs). We propose a decentralized estimation, decision and control framework in which a team of UAVs cooperate in order to a) optimally choose their mobility control actions that result in accurate target tracking and b) select the desired transmit power levels which cause uninterrupted radio jamming and thus ultimately disrupt the operation of the rogue drone. The proposed decision and control framework allows the UAVs to reconfigure themselves in 3D space such that the cooperative simultaneous tracking and jamming (CSTJ) objective is achieved; while at the same time ensures that the unwanted inter-UAV jamming interference caused during CSTJ is kept below a specified critical threshold. Finally, we formulate this problem under challenging conditions i.e., uncertain dynamics, noisy measurements and false alarms. Extensive simulation experiments illustrate the performance of the proposed approach. © 2020 IEEE.</t>
  </si>
  <si>
    <t>Agricultural robots; Aircraft control; Antennas; Drones; Intelligent robots; Jamming; Control framework; Critical threshold; Decentralized estimation; Extensive simulations; Mobility control; Noisy measurements; Transmit power; Uncertain dynamics; Aircraft detection</t>
  </si>
  <si>
    <t>10.1109/IROS45743.2020.9340835</t>
  </si>
  <si>
    <t>https://www.scopus.com/inward/record.uri?eid=2-s2.0-85102412665&amp;doi=10.1109%2fIROS45743.2020.9340835&amp;partnerID=40&amp;md5=1e6b469d3f74bff2cdfc2a2ee14369ec</t>
  </si>
  <si>
    <t>P461</t>
  </si>
  <si>
    <t>Cheema, M.A.; Shehzad, M.K.; Qureshi, H.K.; Hassan, S.A.; Jung, H.</t>
  </si>
  <si>
    <t>A Drone-Aided Blockchain-Based Smart Vehicular Network</t>
  </si>
  <si>
    <t>The staggering growth of the number of vehicles worldwide has become a critical challenge resulting in tragic incidents, environment pollution, congestion, etc. Therefore, one of the promising approaches is to design a smart vehicular system as it is beneficial to drive safely. Present vehicular system lacks data reliability, security, and easy deployment. Motivated by these issues, this paper addresses a drone-enabled intelligent vehicular system, which is secure, easy to deploy and reliable in quality. Nevertheless, an increase in the number of operating drones in the communication networks makes them more vulnerable towards the cyber-attacks, which can completely sabotage the communication infrastructure. To tackle these problems, we propose a blockchain-based registration and authentication system for the entities such as drones, smart vehicles (SVs) and roadside units (RSUs). This paper is mainly focused on the blockchain-based secure system design and the optimal placement of drones to improve the spectral efficiency of the overall network. In particular, we investigate the association of RSUs with the drones by considering multiple communication-related factors such as available bandwidth, maximum number of links a drone can support, and backhaul limitations. We show that the proposed model can easily be overlaid on the current vehicular network reaping benefits of secure and reliable communications.  © 2000-2011 IEEE.</t>
  </si>
  <si>
    <t>Backhaul network; blockchain; drones; intelligent transportation; roadside units (RSUs); UAVs; unsupervised learning; Bandwidth; Blockchain; Crime; Digital storage; Drones; Traffic congestion; Authentication systems; Available bandwidth; Communication infrastructure; Critical challenges; Environment pollution; Optimal placements; Reliable communication; Spectral efficiencies; Network security</t>
  </si>
  <si>
    <t>10.1109/TITS.2020.3019246</t>
  </si>
  <si>
    <t>https://www.scopus.com/inward/record.uri?eid=2-s2.0-85110911750&amp;doi=10.1109%2fTITS.2020.3019246&amp;partnerID=40&amp;md5=5870d52ff5b9e3c9909857d94e0e3fab</t>
  </si>
  <si>
    <t>P462</t>
  </si>
  <si>
    <t>A comparative uav forensic analysis: Static and live digital evidence traceability challenges</t>
  </si>
  <si>
    <t>The raising accessibility of Unmanned Aerial Vehicles (UAVs), colloquially known as drones, is rapidly increasing. Recent studies have discussed challenges that may come in tow with the growing use of this technology. These studies note that in-depth examination is required, especially when addressing challenges that carry a high volume of software data between sensors, actuators, and control commands. This work underlines static and live digital evidence traceability challenges to further enhance the UAV incident response plan. To study the live UAV forensic traceability issues, we apply the ‘purple-teaming’ exercise on small UAVs while conducting UAV forensic examination to determine technical challenges related to data integrity and repeatability. In addition, this research highlights current static technical challenges that could pose more challenges in justifying the discovered digital evidence. Additionally, this study discusses potential drone anti-forensic techniques and their association with the type of use, environment, attack vector, and level of expertise. To this end, we propose the UAV Kill Chain and categorize the impact and complexity of all highlighted challenges based on the conducted examination and the presented scientific contribution in this work. To the best of our knowledge, there has not been any contribution that incorporates ‘Purple-Teaming’ tactics to evaluate UAV-related research in cybersecurity and digital forensics. This work also proposes a categorization model that classifies the discovered UAV static and live digital evidence challenges based on their complexity and impact levels. © 2020 by the authors. Licensee MDPI, Basel, Switzerland.</t>
  </si>
  <si>
    <t>Comparative model; Data integrity; Digital evidence traceability; Kill chain; Technical issues; UAV Forensic; Aircraft accidents; Cybersecurity; Electronic crime countermeasures; Forensic engineering; Forensic science; Aerial vehicle; Comparative modeling; Data integrity; Digital evidence; Digital evidence traceability; Forensic analysis; Kill chain; Technical challenges; Technical issue; Unmanned aerial vehicle forensic; Drones</t>
  </si>
  <si>
    <t>10.3390/drones5020042</t>
  </si>
  <si>
    <t>https://www.scopus.com/inward/record.uri?eid=2-s2.0-85107210418&amp;doi=10.3390%2fdrones5020042&amp;partnerID=40&amp;md5=3ec2017d3d25f6cd2ec9ae5f40a85c97</t>
  </si>
  <si>
    <t>P463</t>
  </si>
  <si>
    <t>Rahman, A.D.B.A.; Ghani, K.A.; Khamis, N.H.H.; Sidek, A.R.M.</t>
  </si>
  <si>
    <t>Unmanned Aerial Vehicle (UAV) GPS Jamming Test by using Software Defined Radio (SDR) platform</t>
  </si>
  <si>
    <t>This paper discusses the existing jamming method from previous publication and how the method is modified to accomplished the GPS jamming of Unmanned Aerial Vehicle (UAV). This paper also presents the result from the field test of UAV GPS jamming by using Software Defined Radio (SDR) and GNU Radio software. The field test is carried out to study the performance of the jamming signal produced and the effect of elevation angle on the jamming range. The test subject used in this field test is DJI Phantom 4 Pro, a commercial consumer grade drone.  © Published under licence by IOP Publishing Ltd.</t>
  </si>
  <si>
    <t>Drone; GPS; Jammer; Jamming; SDR; Unmanned Aerial Vehicle; Analog circuits; Antennas; Jamming; Open source software; Radio; Radio receivers; Software testing; Testing; Unmanned aerial vehicles (UAV); Elevation angle; Field test; Gnu radio softwares; Jamming signals; Software-defined radios; Software radio</t>
  </si>
  <si>
    <t>10.1088/1742-6596/1793/1/012060</t>
  </si>
  <si>
    <t>https://www.scopus.com/inward/record.uri?eid=2-s2.0-85103082724&amp;doi=10.1088%2f1742-6596%2f1793%2f1%2f012060&amp;partnerID=40&amp;md5=705a7cd2c894f4c4b064e007790d5a8c</t>
  </si>
  <si>
    <t>P464</t>
  </si>
  <si>
    <t>Xiao, L.; Jiang, D.; Liu, S.</t>
  </si>
  <si>
    <t>Reinforcement Learning Based Communication Security for Unmanned Aerial Vehicles</t>
  </si>
  <si>
    <t>With the rapid development of unmanned aerial vehicles (UAVs) in communications, networking, and sensing applications, UAVs have gained considerable research interest in the last decade. Although UAV applications have been widely applied in many different fields, especially the military surveillance and environment monitoring, UAV communication process is not sufficiently safe due to jamming attacks. By imposing jamming signals on the controller during the communication process of the drones, a jammer can interfere with the sensing data reception of the controller, exhaust the drone battery, or keep the drone from following the specified sensing mission waypoint. © The Editor(s) (if applicable) and The Author(s), under exclusive license to Springer Nature Singapore Pte Ltd. 2021.</t>
  </si>
  <si>
    <t>10.1007/978-981-33-6726-5_3</t>
  </si>
  <si>
    <t>https://www.scopus.com/inward/record.uri?eid=2-s2.0-85158946994&amp;doi=10.1007%2f978-981-33-6726-5_3&amp;partnerID=40&amp;md5=0af52f175e90fbd383e2af26cc26facd</t>
  </si>
  <si>
    <t>P465</t>
  </si>
  <si>
    <t>Horota, R.K.; Bachi, L.; Aires, A.S.; Racolte, G.; Procksch, N.; Danilewicz, D.; Berchieri, N.B.; Ott, P.H.; Spigolon, A.; De Oliveira, L.R.; Gonzaga, L.; Veronez, M.R.</t>
  </si>
  <si>
    <t>TIME SERIES PHOTOGRAMMETRIC PROCESSINGWORKFLOW FOR WAVE-WASHED AREAS</t>
  </si>
  <si>
    <t>The present study explores the capabilities of a low-cost and standard drone for the generation of a mixed dataset processed as an orthophotomosaic, and surface exposure mesh over the inaccessible wave-washed Wildlife Refuge of Ilha dos Lobos in the southern Brazilian coast. The area comprises an important Marine Protected Area used as a seasonal resting refuge of South American sea lions and fur seals that is continuously washed by wave actions, restricting human access for conventional field mapping. The results have estimated a total surface exposure of the island of 20,806.8 m2, which is an increase of 14.01% on the total area relative to the most exposed single survey done so far. In futures works, these results will provide data for the geological characterization of the island, which will increase the information on the environment given support to the Wildlife Refuge of Ilha dos Lobos management plan.  © 2021 IEEE.</t>
  </si>
  <si>
    <t>Coastal; DOM; Geomorphology; Island; Photogrammetry; RPA; VOM; Conservation; Brazilian coast; Coastal; DOM; Island; Low-costs; RPA; Surface exposure; Times series; VOM; Wildlife refuge; Photogrammetry</t>
  </si>
  <si>
    <t>10.1109/IGARSS47720.2021.9555058</t>
  </si>
  <si>
    <t>https://www.scopus.com/inward/record.uri?eid=2-s2.0-85129896006&amp;doi=10.1109%2fIGARSS47720.2021.9555058&amp;partnerID=40&amp;md5=17a1a1be253b806fae7c9c90b6eaf844</t>
  </si>
  <si>
    <t>P466</t>
  </si>
  <si>
    <t>Effective GPS Jamming Techniques for UAVs Using Low-Cost SDR Platforms</t>
  </si>
  <si>
    <t>Lately, a rising number of incidents between unmanned aerial vehicles (UAVs) and airplanes have been reported in airports and airfields. In order to help cope with the problem of unauthorized UAV operations, in this paper we evaluate the use of low cost SDR platforms (software defined radio) for the implementation of a jammer able to generate an effective interfering signal aimed at the GPS navigation system. Using a programmable BladeRF x40 platform from Nuand and the GNU radio software development toolkit, several interference techniques were studied and evaluated, considering the spectral efficiency, energy efficiency and complexity. It was shown that the tested approaches are capable of stopping the reliable reception of the radionavigation signal in real-life scenarios, neutralizing the capacity for autonomous operation of the vehicle. © 2020, Springer Science+Business Media, LLC, part of Springer Nature.</t>
  </si>
  <si>
    <t>GPS; Jamming; Radionavigation; SDR; Unmanned aerial vehicles; Aircraft accidents; Antennas; Costs; Energy efficiency; Global positioning system; Jamming; Navigation systems; Open source software; Radio navigation; Software design; Unmanned aerial vehicles (UAV); Airports and airfields; Autonomous operations; Gnu radio softwares; Interfering signals; Jamming technique; Sdr platforms; Software-defined radios; Spectral efficiencies; Software radio</t>
  </si>
  <si>
    <t>10.1007/s11277-020-07212-6</t>
  </si>
  <si>
    <t>https://www.scopus.com/inward/record.uri?eid=2-s2.0-85081594416&amp;doi=10.1007%2fs11277-020-07212-6&amp;partnerID=40&amp;md5=3d0f29694d0ff6622d00811895473fd0</t>
  </si>
  <si>
    <t>P467</t>
  </si>
  <si>
    <t>Chaudhry, S.A.; Yahya, K.; Karuppiah, M.; Kharel, R.; Bashir, A.K.; Zikria, Y.B.</t>
  </si>
  <si>
    <t>GCACS-IoD: A certificate based generic access control scheme for Internet of drones</t>
  </si>
  <si>
    <t>Internet of drones (IoD) has gained significant importance in recent times due to its applications in several critical domains ranging from commercial to defense and rescue operations. With several drones flying in different zones to carry out specified tasks, the IoD can be beneficial to gather the real time data for interpretation by the users. However, the data access is carried out through an open channel and battery operated drones. Therefore, the drones’ security and privacy are crucial for accomplishing mission-critical, safety-critical, or surveillance operations. In 2020, Bera et al. presented a certificate based access control scheme for securing the IoD access and argued the scheme's security through formal and informal methods. However, the analysis presented in this paper shows that the scheme of Bera et al. does not provide anonymity and is insecure against multiple threats, including drone impersonation, the man in the middle, and replay attacks. We then designed a generic certificate based access control scheme to provide inter-drone and drone to ground station access control/authentication in the IoD domain (GCACS-IoD). The GCACS-IoD is provably secure against the known attacks and provides anonymity. GCACS-IoD extends security while preserving computation and communication efficiencies. © 2021 Elsevier B.V.</t>
  </si>
  <si>
    <t>Device access control; IoD; Key establishment; Stolen IoT device; UAV; Aircraft control; Drones; Network security; Safety engineering; Access control schemes; Certificate-based; Critical domain; Defense operations; Device access control; Internet of drone; ITS applications; Key establishments; Rescue operations; Stolen IoT device; Access control</t>
  </si>
  <si>
    <t>10.1016/j.comnet.2021.107999</t>
  </si>
  <si>
    <t>https://www.scopus.com/inward/record.uri?eid=2-s2.0-85102901331&amp;doi=10.1016%2fj.comnet.2021.107999&amp;partnerID=40&amp;md5=f9f3e77b29417e1a748ae30385f54698</t>
  </si>
  <si>
    <t>P468</t>
  </si>
  <si>
    <t>Yao, G.</t>
  </si>
  <si>
    <t>To Improve the Real-Time Performance of Airborne Data Link Communication System</t>
  </si>
  <si>
    <t>Ground-to-air data link communication has the advantages of fast transmission rate, strong anti-interference ability, and large data communication volume and has been widely used in the field of civil aviation. This article mainly studies the measures to improve the real-time performance of the airborne data link communication system. The design of the hardware platform of the jamming environment simulator needs to comprehensively consider the implementation complexity of the jamming environment model and the real-time simulation method adopted by the UAV data link system. This paper uses the multicore and multithread in the Linux operating system to simulate the functions of the original data link communication system and uses the TFT screen to display the data communication process in the multicore and multithread design scheme. When evaluating and scoring the evaluation indicators, it must be carried out in accordance with certain standards. However, most of the indicators cannot be directly assessed quantitatively only through certain specific values. This article mainly uses the AHP method to analyze the weight of indicators. In the simulation, user information is generated by a random code generator and then distributed to each branch through serial-to-parallel conversion (S/P), and the spreading process is completed by long-code spreading on each branch, respectively, by BPSK. It is modulated on different carriers to form a transmission signal; the signal passes through a Gaussian white noise channel, and a certain frequency offset noise is added at the same time to reach the receiving end; the receiving end uses correlated demodulation, and after despreading, the error rate is counted. The data shows that under different distances, the frame loss rate of the data link is different. The frame loss rate in the 500 m range is about 1%, and the frame loss rate in the 2 km range is about 2.3%. The results show that the real-time performance of the data link communication system in this paper has been greatly improved. © 2021 Gang Yao.</t>
  </si>
  <si>
    <t>Bit error rate; Computer operating systems; Convolutional codes; Data communication systems; Data transfer; Simulation platform; Airborne data; Communications systems; Data link; Data-communication; Datalink communications; Frame loss; Loss rates; Multi-cores; Multi-thread; Real time performance; Jamming</t>
  </si>
  <si>
    <t>10.1155/2021/5558089</t>
  </si>
  <si>
    <t>https://www.scopus.com/inward/record.uri?eid=2-s2.0-85102238250&amp;doi=10.1155%2f2021%2f5558089&amp;partnerID=40&amp;md5=23473927118acca116d1ce8cbb54e693</t>
  </si>
  <si>
    <t>P469</t>
  </si>
  <si>
    <t>Al-Room, K.; Iqbal, F.; Baker, T.; Shah, B.; Yankson, B.; MacDermott, A.; Hung, P.C.K.</t>
  </si>
  <si>
    <t>Drone Forensics: A Case Study of Digital Forensic Investigations Conducted on Common Drone Models</t>
  </si>
  <si>
    <t>Drones (a.k.a. unmanned aerial vehicles – UAV) have become a societal norm in our daily lives. The ability of drones capture high-quality photos from an aerial view and store and transmit such data presents a multi-facet problem. These actions possess privacy challenges to innocent users who can be spied on or drone owner’s data which may be intercepted by a hacker. With all technological paradigms, utilities can be misused, and this is an increasing occurrence with drones. As a result, it is imperative to develop a novel methodological approach for the digital forensic analysis of a seized drone. This paper investigates six brands of drones commonly used in criminal activities and extracts forensically relevant data such as location information, captured images and videos, drones’ flight paths, and data related to the ownership of the confiscated drone. The experimental results indicate that drone forensics would facilitate law enforcement in collecting significant information necessary for criminal investigations. Copyright © 2021, IGI Global.</t>
  </si>
  <si>
    <t>Bebop Parrot; DJI Phantom3; DJI Phantom4; Drones; Forensic.Syma x5c; Xiang Yu; Antennas; Computer crime; Crime; Drones; Electronic crime countermeasures; Personal computing; Criminal activities; Criminal investigation; Daily lives; Digital forensic analysis; Forensic investigation; High quality; Location information; Methodological approach; Digital forensics</t>
  </si>
  <si>
    <t>10.4018/IJDCF.2021010101</t>
  </si>
  <si>
    <t>https://www.scopus.com/inward/record.uri?eid=2-s2.0-85096824991&amp;doi=10.4018%2fIJDCF.2021010101&amp;partnerID=40&amp;md5=ae740bdcfb54c064f1cb38a081f9ee86</t>
  </si>
  <si>
    <t>P47</t>
  </si>
  <si>
    <t>Tang, C.; Ding, J.; Qi, H.; Zhang, L.</t>
  </si>
  <si>
    <t>Smart forwarding deceptive jamming distribution optimal algorithm</t>
  </si>
  <si>
    <t>With the frequent occurrence of drone black flying in large stadiums and airports, the requirement of precise electromagnetic interference to achieve unmanned aerial vehicle (UAV) displacement and forced landing in these protected area became urgent. Since traditional suppression jamming will affect normal communication, and forwarding deceptive jamming has coverage hole, a smart forwarding deceptive jamming distribution optimal algorithm (SFDJDO) is proposed. It gives a mapping error scale factor and the optimal distribution of multistation forwarding equivalent mapping to solve the problem of distortion on the mapping scale caused by different distribution methods and reduces the influence of the mapping errors and the differences between the virtual and real point neighborhoods of the jamming source. A comparison of the proposed SFDJDO method to the existing jamming source distribution optimisation method is conducted in the aspect of area mapping and trajectory mapping. The findings reveal that when the GNSS receiver clock bias is within the capture range, SFDJDO demonstrates significant enhancements in mapping precision and jamming success rates. © 2024 The Authors. IET Radar, Sonar &amp; Navigation published by John Wiley &amp; Sons Ltd on behalf of The Institution of Engineering and Technology.</t>
  </si>
  <si>
    <t>feedforward neural nets; GNSS jamming; normal distribution; optimisation; Conservation; Electromagnetic pulse; Global positioning system; Jamming; Mapping; Normal distribution; Unmanned aerial vehicles (UAV); Aerial vehicle; Deceptive jamming; Feed forward; Feedforward neural net; Forced landings; GNSS jamming; Mapping error; Optimal algorithm; Optimisations; Protected areas; Antennas</t>
  </si>
  <si>
    <t>10.1049/rsn2.12540</t>
  </si>
  <si>
    <t>https://www.scopus.com/inward/record.uri?eid=2-s2.0-85185666095&amp;doi=10.1049%2frsn2.12540&amp;partnerID=40&amp;md5=19ae43cf21db165ab7f31783364f7efa</t>
  </si>
  <si>
    <t>P470</t>
  </si>
  <si>
    <t>Salib, A.; Moussa, A.; Moussa, M.; El-Sheimy, N.</t>
  </si>
  <si>
    <t>Visual Heading Estimation for UAVs in Indoor Environments</t>
  </si>
  <si>
    <t>Recently, The UAV (Unmanned Aerial Vehicle) industry is getting a lot of attention, especially for very small drones that could fly indoors. Such a small drone can help perform rescue tasks such as investigating gas leaks or emergency situation that imposes risk on human intervention. Additionally, the UAVs can be utilized for indoor inspection and 3D mapping. The indoor environment is very challenging for the UAVs since the Global Navigation Satellite System (GNSS) cannot be reliably accessed to help UAV to locate itself. Various sensors could be mounted on UAVs to help the surveillance and navigation aspects of the operation. Range sensors such as 2D Lasers and LIDAR are very useful for providing valuable measurements towards reliable localization algorithms. Including such sensors will typically raise the system cost and limit the flight time due to increased power consumption. This research aims to assess the potential of using the typically installed UAV main camera to help estimate the UAV heading. The typical indoor environment includes many challenging situations such as monochrome surfaces and identical repeated patterns, especially in the ground surface. The research investigates the performance of different heading estimation approaches using a minimum cost configuration (without laser scanners). The proposed integration between the drone forward camera and the downward camera enhanced the navigation result compared to the other individual solutions using the downward camera only, forward camera only, or magnetometer. The performance of the investigated approaches in a real indoor flight is presented and discussed. © 2020 IEEE</t>
  </si>
  <si>
    <t>Heading; Magnetometer; Monocular camera; UAV; Visual odometry; Air navigation; Antennas; Computer vision; Drones; Global positioning system; Indoor positioning systems; Magnetometers; Vision; 3-D mapping; Emergency situation; Gas leaks; Heading; Human intervention; Indoor environment; Monocular cameras; Performance; Vehicle industry; Visual odometry; Cameras</t>
  </si>
  <si>
    <t>10.1109/ICCSPA49915.2021.9385709</t>
  </si>
  <si>
    <t>https://www.scopus.com/inward/record.uri?eid=2-s2.0-85122419170&amp;doi=10.1109%2fICCSPA49915.2021.9385709&amp;partnerID=40&amp;md5=d027a9a8fe226a9e2a42202b50733876</t>
  </si>
  <si>
    <t>P471</t>
  </si>
  <si>
    <t>Dovgal, V.A.; Dovgal, D.V.</t>
  </si>
  <si>
    <t>Security analysis of a swarm of drones resisting attacks by intruders</t>
  </si>
  <si>
    <t>Currently, to perform a certain task (for example, a search operation), unmanned aerial vehicles have been combined into an organized group, which can be called a swarm. Naturally, such an information system is of interest to hackers who are trying to use drones for malicious purposes. The number of at-tacks increases with the increase in the active introduction of a flock of drones in their practical application. The probability and frequency of these attacks are high, and their impact can be very dangerous and the consequences devastating. Therefore, protective and preventive countermeasures are urgently needed to en-sure conditions that reduce the impact of intruders on the drone system to a min-imum and detect eavesdropping devices and unauthorized connections. The pur-pose of this study is to analyze and review the threats used in cyber-attacks on a swarm of unmanned aerial vehicles, as well as measures to counter these attacks. The article discusses the architecture of drones and the types of connections for their interaction in a flock analyzes existing threats and vulnerabilities of drones. Special attention is paid to such types of illegal entry into the system of interact-ing drones as hacking and intrusion. The most accessible methods of hacking and intrusion by intruders are considered, as well as methods and mechanisms for protecting data processed in systems, including intrusion detection systems, neu-ral networks, and fuzzy rule-based systems. © 2021 CEUR-WS. All rights reserved.</t>
  </si>
  <si>
    <t>Hacking Methods; Information Attacks; Protection Against Hacking; Security; Threats and Vulnerabilities; Unmanned Aerial Vehicle; Antennas; Computer crime; Crime; Data privacy; Distance education; Fuzzy inference; Fuzzy neural networks; Intrusion detection; Network security; Personal computing; Security systems; Cyber-attacks; Drone system; Intrusion Detection Systems; Search operations; Security analysis; Threats and vulnerabilities; Unauthorized connections; Drones</t>
  </si>
  <si>
    <t>https://www.scopus.com/inward/record.uri?eid=2-s2.0-85111397640&amp;partnerID=40&amp;md5=ce75ecf1f92824a33a17c2920a398665</t>
  </si>
  <si>
    <t>P472</t>
  </si>
  <si>
    <t>Shafique, A.; Mehmood, A.; Elhadef, M.</t>
  </si>
  <si>
    <t>Survey of Security Protocols and Vulnerabilities in Unmanned Aerial Vehicles</t>
  </si>
  <si>
    <t>With the rapid growth in technology, the use of Unmanned Aerial Vehicles (UAVs) have increased in civil and military applications including rescue operations, disaster recovery, and military operations. Despite the utility and advantages of UAVs, they may lead to major security breaches in the context of hardware, software, and communication channel, due their ease of use and availability. UAVs are vulnerable to various types of attacks such as spoofing, false data injection, jamming, fuzzing, availability, confidentiality, and integrity attacks. To overcome these security threats, researchers have been investigating strong security protocols to keep UAVs safe from the attackers. Nevertheless, there are many flaws in the developed protocols which can be exploited by hackers. Therefore, it is becomes crucial to study and analyze the existing security protocols used in UAVs to discover and address their vulnerabilities and weaknesses. The purpose of this study is to explore the vulnerabilities in the security protocols and propose guidelines to improve the security and provide future research directions.  © 2013 IEEE.</t>
  </si>
  <si>
    <t>attacks; drones; security; security threats; Unmanned aerial vehicles (UAVs); vulnerabilities; Antennas; Military applications; Military operations; Military vehicles; Personal computing; Unmanned aerial vehicles (UAV); Disaster recovery; False data injection; Future research directions; Integrity attacks; Rescue operations; Security breaches; Security protocols; Strong securities; Network security</t>
  </si>
  <si>
    <t>10.1109/ACCESS.2021.3066778</t>
  </si>
  <si>
    <t>https://www.scopus.com/inward/record.uri?eid=2-s2.0-85103180314&amp;doi=10.1109%2fACCESS.2021.3066778&amp;partnerID=40&amp;md5=e8525772e1607798a546de7ef7c58cc6</t>
  </si>
  <si>
    <t>P473</t>
  </si>
  <si>
    <t>Pawlak, J.; Li, Y.; Price, J.; Wright, M.; Al Shamaileh, K.; Niyaz, Q.; Devabhaktuni, V.</t>
  </si>
  <si>
    <t>A Machine Learning Approach for Detecting and Classifying Jamming Attacks against OFDM-based UAVs</t>
  </si>
  <si>
    <t>In this paper, a machine learning (ML) approach is proposed to detect and classify jamming attacks on unmanned aerial vehicles (UAVs). Four attack types are implemented using software-defined radio (SDR); namely, barrage, single-tone, successive-pulse, and protocol-aware jamming. Each type is launched against a drone that uses orthogonal frequency division multiplexing (OFDM) communication to qualitatively analyze its impacts considering jamming range, complexity, and severity. Then, an SDR is utilized in proximity to the drone and in systematic testing scenarios to record the radiometric parameters before and after each attack is launched. Signal-to-noise ratio (SNR), energy threshold, and several OFDM parameters are exploited as features and fed to six ML algorithms to explore and enable autonomous jamming detection/classification. The algorithms are quantitatively evaluated with metrics including detection and false alarm rates to evaluate the received signals and facilitate efficient decision-making for improved reception integrity and reliability. The resulting ML approach detects and classifies jamming with an accuracy of 92.2% and a false-alarm rate of 1.35%.  © 2021 Owner/Author.</t>
  </si>
  <si>
    <t>Jamming; machine learning (ML); orthogonal frequency division multiplexing (OFDM); software-defined radio (SDR); unmanned aerial vehicles (UAVs); Antennas; Decision making; Drones; Errors; Image resolution; Jamming; Machine learning; Orthogonal frequency division multiplexing; Radio; Radio receivers; Signal to noise ratio; Software radio; False alarm rate; Jamming attacks; Machine learning; Machine learning approaches; Orthogonal frequency division multiplexing; Orthogonal frequency-division multiplexing; Radiometrics; Software-defined radio; Systematic testing; Unmanned aerial vehicle; Analog circuits</t>
  </si>
  <si>
    <t>10.1145/3468218.3469049</t>
  </si>
  <si>
    <t>https://www.scopus.com/inward/record.uri?eid=2-s2.0-85118806310&amp;doi=10.1145%2f3468218.3469049&amp;partnerID=40&amp;md5=1de1693a3b3837267768cefeaeaefe98</t>
  </si>
  <si>
    <t>P474</t>
  </si>
  <si>
    <t>Bozveliev, B.; Sotirov, S.; Videv, T.; Simeonov, S.</t>
  </si>
  <si>
    <t>A New Approach to Assess the Risk of Cyber Intrusion Attacks Over Drones Using Intuitionistic Fuzzy Estimations</t>
  </si>
  <si>
    <t>Drones or UAVs are unmanned aircraft systems, which include a UAV, a ground-based controller, and a system of communications between the two. The flight of UAVs can be autonomous, controlled by onboard computers, or controlled remotely by a human operator. In both cases the system may include GPS sensors. Drones can also be controlled by computerized satellites, mainly used by the military forces and, in some cases, for some civil missions. For military purposes, the communication control may be heavily encrypted by specially designed protocols. This chapter presents a method utilizing intuitionistic fuzzy estimations to assess the possible risk of cyber-attack over an UAV. © The Author(s), under exclusive license to Springer Nature Switzerland AG 2021.</t>
  </si>
  <si>
    <t>Drone; Generalized nets; Intuitionistic fuzzy sets; Open TX; Receiver; Telemetry; Transmitter; UAV; Computer crime; Drones; Fuzzy sets; Network security; Risk assessment; Crime; Cybersecurity; Risk perception; Cyber intrusion; Drone; Fuzzy estimation; Generalized net; Intuitionistic fuzzy; Intuitionistic fuzzy sets; New approaches; Open TX; Receiver; Unmanned aircraft system; Ground based controllers; Risk perception; Drones</t>
  </si>
  <si>
    <t>10.1007/978-3-030-65722-2_21</t>
  </si>
  <si>
    <t>https://www.scopus.com/inward/record.uri?eid=2-s2.0-85129107940&amp;doi=10.1007%2f978-3-030-65722-2_21&amp;partnerID=40&amp;md5=d9f97f273219e8268a63c7cef927f9fb</t>
  </si>
  <si>
    <t>P475</t>
  </si>
  <si>
    <t>Arat, J.A.; Chua, A.; Rosa, L.A.D.; Ilao, J.; Jamilla, M.J.; Reyes, J.R.; Sapang, O.; Sybingco, E.</t>
  </si>
  <si>
    <t>A Novel Implementation of a Color-Based Detection and Tracking Algorithm for an Autonomous Hexacopter</t>
  </si>
  <si>
    <t>The increasing popularity of Unmanned Aerial Vehicles (UAVs), and the availability of associated supporting technologies such as sensors, development toolkits, and programming libraries have expanded the application areas of UAVs via customization of its functions and features. This technological trend has encouraged hobbyists to hack into off-the-shelf commercially available drones to serve different functions with minimal additional costs. In this paper, we present the practicality of using readily available off-the-shelf components in expanding a drone’s functionality by designing and implementing a real-time object-following autonomous hexacopter equipped with an on-board camera used as a primary sensor; this vision-based approach for autonomous navigation addresses the limitations of GPS-based navigation in an indoor environment. The system uses the CIE L*a*b* color space to perform color-based detection and tracking, and employs ultrasonic sensor information to avoid obstacles. In all the trials, the hexacopter was able to follow the targets 90.24% of the time, with guaranteed latency of at most two minutes. © 2021,International Journal of Automation and Smart Technology.All Rights Reserved.</t>
  </si>
  <si>
    <t>Autonomous Control; Color-based Detection and Tracking; Obstacle Avoidance; UAV</t>
  </si>
  <si>
    <t>10.5875/AUSMT.V11I1.2143</t>
  </si>
  <si>
    <t>https://www.scopus.com/inward/record.uri?eid=2-s2.0-85153618191&amp;doi=10.5875%2fAUSMT.V11I1.2143&amp;partnerID=40&amp;md5=dbd4e1952f6ab6b17892cf4da4c90a21</t>
  </si>
  <si>
    <t>P476</t>
  </si>
  <si>
    <t>Mamchenko, M.V.</t>
  </si>
  <si>
    <t>Analysis of Control Channel Cybersecurity of the Consumer-Grade UAV by the Example of DJI Tello</t>
  </si>
  <si>
    <t>This paper presents the assessment of cybersecurity of the non-industrial unmanned aerial vehicle (UAV; using DJI Tello as an example) wireless control channel, implemented on the basis of Wi-Fi Wireless Local Area Network technology. As a result of the research, a model of an adversary conducting a cyberattack on the UAV communication channel was developed, and scenarios of an intruder's actions (aimed at taking control of the UAV or disabling it) were considered. Relevant block diagrams of the actions of an adversary were also developed. Based on the results of the analysis, a security strategy is proposed. It provides the maximum possible protection (based on the technical characteristics of the drone) and comprises not only passive protection in the form of setting a tough password, but also active actions -deploying a system to monitor the injections of deauthentication/dissociation frames and/or the creation of duplicate wireless networks. © Published under licence by IOP Publishing Ltd.</t>
  </si>
  <si>
    <t>Antennas; Security of data; Unmanned aerial vehicles (UAV); Wi-Fi; Wireless local area networks (WLAN); Block diagrams; Control channels; Cyber security; Passive protection; Possible protections; Security strategies; Wireless control; Wireless local area network technologies; Aircraft control</t>
  </si>
  <si>
    <t>10.1088/1742-6596/1864/1/012127</t>
  </si>
  <si>
    <t>https://www.scopus.com/inward/record.uri?eid=2-s2.0-85107393033&amp;doi=10.1088%2f1742-6596%2f1864%2f1%2f012127&amp;partnerID=40&amp;md5=876450720ab49422d310fd63b3f0a5b8</t>
  </si>
  <si>
    <t>P477</t>
  </si>
  <si>
    <t>Hamza, A.; Akram, U.; Samad, A.; Khosa, S.N.; Fatima, R.; Mushtaq, M.F.</t>
  </si>
  <si>
    <t>Unmaned Aerial Vehicles Threats and Defence Solutions</t>
  </si>
  <si>
    <t>Unmanned aerial vehicles likely know as drones have become the most optimistic solution with a bundle of applications in the field of monitoring environment, transportation, media live streaming, and military operations. The autopilot UAV system is normally used in exigent operations to acquire critical information. The basic UAV system consists of three major components which include aerial vehicles contain some sensors and actuators, ground control stations, and communication channels. UAV systems are vulnerable to different security threats due to their deployment in serval crucial domains. There exist numerous attack techniques includes, GPS spoofing, de-authentication, denial of services, injecting false information, damaging UAV sensors, Key loggers, which can be unfavorable for our security objectives. Over the last decade, their innumerable defense mechanisms are proposed to mitigate security risks from these kinds of attacks. In this review, we will discuss major components of UAV, prime vulnerabilities for cyber-attacks, and their defense solutions. © 2020 IEEE.</t>
  </si>
  <si>
    <t>Defense techniques; GPS Spoofing; Sensors; UAV Cyber Attacks; Unmanned Aerial Vehicle; Antennas; Denial-of-service attack; Media streaming; Military applications; Military operations; Military vehicles; Network security; Rock mechanics; Defense mechanism; Defense solutions; Denial of Service; Ground control stations; Monitoring environment; Security objectives; Sensors and actuators; Unmaned aerial vehicle; Unmanned aerial vehicles (UAV)</t>
  </si>
  <si>
    <t>10.1109/INMIC50486.2020.9318207</t>
  </si>
  <si>
    <t>https://www.scopus.com/inward/record.uri?eid=2-s2.0-85100686436&amp;doi=10.1109%2fINMIC50486.2020.9318207&amp;partnerID=40&amp;md5=709ebe3dee9c80ac50f91dd0be258af4</t>
  </si>
  <si>
    <t>P478</t>
  </si>
  <si>
    <t>Ko, Y.; Kim, J.; Duguma, D.G.; Astillo, P.V.; You, I.; Pau, G.</t>
  </si>
  <si>
    <t>Drone secure communication protocol for future sensitive applications in military zone</t>
  </si>
  <si>
    <t>Unmanned Aerial Vehicle (UAV) plays a paramount role in various fields, such as mili-tary, aerospace, reconnaissance, agriculture, and many more. The development and implementation of these devices have become vital in terms of usability and reachability. Unfortunately, as they become widespread and their demand grows, they are becoming more and more vulnerable to several security attacks, including, but not limited to, jamming, information leakage, and spoofing. In order to cope with such attacks and security threats, a proper design of robust security protocols is indispensable. Although several pieces of research have been carried out with this regard, there are still research gaps, particularly concerning UAV‐to‐UAV secure communication, support for perfect forward secrecy, and provision of non‐repudiation. Especially in a military scenario, it is essential to solve these gaps. In this paper, we studied the security prerequisites of the UAV communication protocol, specifically in the military setting. More importantly, a security protocol (with two sub-protocols), that serves in securing the communication between UAVs, and between a UAV and a Ground Control Station, is proposed. This protocol, apart from the common security requirements, achieves perfect forward secrecy and non‐repudiation, which are essential to a secure military com-munication. The proposed protocol is formally and thoroughly verified by using the BAN‐logic (Burrow‐Abadi‐Needham logic) and Scyther tool, followed by performance evaluation and implementation of the protocol on a real UAV. From the security and performance evaluation, it is indicated that the proposed protocol is superior compared to other related protocols while meeting confidentiality, integrity, mutual authentication, non‐repudiation, perfect forward secrecy, perfect backward secrecy, response to DoS (Denial of Service) attacks, man‐in‐the‐middle protection, and D2D (Drone‐to‐Drone) security. © 2021 by the authors. Licensee MDPI, Basel, Switzerland.</t>
  </si>
  <si>
    <t>Attacks; D2D; D2GCS; Drone; Formal verification; Security; Vulnerability; Agricultural robots; Antennas; Drones; Military applications; Network security; Rock mechanics; Secure communication; Ground control stations; Information leakage; Mutual authentication; Perfect forward secrecy; Security and performance; Security protocols; Security requirements; Sensitive application; adult; army; article; communication protocol; confidentiality; controlled study; denial of service attack; human; logic; male; security; unmanned aerial vehicle; Denial-of-service attack</t>
  </si>
  <si>
    <t>10.3390/s21062057</t>
  </si>
  <si>
    <t>https://www.scopus.com/inward/record.uri?eid=2-s2.0-85102466314&amp;doi=10.3390%2fs21062057&amp;partnerID=40&amp;md5=5345d45688d8e6bea84e2e901ffe4ee2</t>
  </si>
  <si>
    <t>P479</t>
  </si>
  <si>
    <t>Maurer, N.; Graupl, T.; Schmitt, C.; Rodosek, G.D.</t>
  </si>
  <si>
    <t>PMAKE: Physical Unclonable Function-based Mutual Authentication Key Exchange Scheme for Digital Aeronautical Communications</t>
  </si>
  <si>
    <t>Growth of civil air traffic and new entrants into the air transportation sector such as Unmanned Aeronautical Vehicles (UAV) pose a great challenge for air traffic management and its supporting Communication, Navigation and Surveillance (CNS) infrastructure. Analogue systems have to be replaced by digital systems to optimize spectrum efficiency, and automation needs to be introduced to support human decision making at scale. As safety and security are strongly intertwined in aviation, cybersecurity is one key enabler for digitalization in civil aviation. However, few deployed digital aeronautical communications systems incorporate dedicated cybersecurity measures. Link requirements of low latency, low bandwidth, and long range make aeronautical datalinks especially challenging in terms of security design. Further, challenging are the nature of wireless communication itself and the political boundaries in international air transportation concerning unique communication participant identification. Thus, this paper proposes a concept for a challenge-response (CR) based Physical Unclonable Function (PUF) Mutual Authentication Key Exchange scheme, short PMAKE, binding communication identity and radio device together. Initial evaluations show its suitability for the digital aeronautical communications system LDACS. © 2021 IFIP.</t>
  </si>
  <si>
    <t>Cybersecurity; L-band Digital Aeronautical Communications System (LDACS); Mutual Authentication and Key Exchange (MKE); Physical Unclonable Function (PUF); Air navigation; Air traffic control; Authentication; Cryptography; Decision making; Hardware security; Network management; Radio communication; Aeronautical communications; Air Traffic Management; Communication , navigation and surveillances; Human decision making; Mutual authentication; Physical unclonable functions (PUF); Transportation sector; Wireless communications; Air transportation</t>
  </si>
  <si>
    <t>https://www.scopus.com/inward/record.uri?eid=2-s2.0-85113627342&amp;partnerID=40&amp;md5=15adc8083369aeb847a948a5108bb359</t>
  </si>
  <si>
    <t>P48</t>
  </si>
  <si>
    <t>Hong, Y.-W.; Yoo, D.-Y.</t>
  </si>
  <si>
    <t>Multiple Intrusion Detection Using Shapley Additive Explanations and a Heterogeneous Ensemble Model in an Unmanned Aerial Vehicle’s Controller Area Network</t>
  </si>
  <si>
    <t>Recently, methods to detect DoS and spoofing attacks on In-Vehicle Networks via the CAN protocol have been studied using deep learning models, such as CNN, RNN, and LSTM. These studies have produced significant results in the field of In-Vehicle Network attack detection using deep learning models. However, these studies have typically addressed studies on single-model intrusion detection verification in drone networks. This study developed an ensemble model that can detect multiple types of intrusion simultaneously. In preprocessing, the patterns within the payload using the measure of Feature Importance are distinguished from the attack and normal data. As a result, this improved the accuracy of the ensemble model. Through the experiment, both the accuracy score and the F1-score were verified for practical utility through 97% detection performance measurement. © 2024 by the authors.</t>
  </si>
  <si>
    <t>controller area network (CAN); deep learning (DL); ensemble model; intrusion detection; machine learning (ML); Shapley additive explanations (SHAP); unmanned aerial vehicles (UAVs)</t>
  </si>
  <si>
    <t>10.3390/app14135487</t>
  </si>
  <si>
    <t>https://www.scopus.com/inward/record.uri?eid=2-s2.0-85198432615&amp;doi=10.3390%2fapp14135487&amp;partnerID=40&amp;md5=ec42d326f1fd551cd08d28d0231cf558</t>
  </si>
  <si>
    <t>P480</t>
  </si>
  <si>
    <t>Lei, Z.; DIng, P.; Zheng, W.; Fei, X.; Fan, H.</t>
  </si>
  <si>
    <t>UAV Countermeasure Technology Based on Partial-band Noise Jamming</t>
  </si>
  <si>
    <t>With the rapid development of the drone market, the black flight of UAV incident has become the norm. How to deal with the various safety problems caused by the black flight and the potential danger of the black flight has caused various aspects of the society highly anticipated. To this end, this thesis proposes a UAV countermeasure technology based on Partial-band noise jamming, taking civilian UAVs as the research object, and according to the characteristics of UAV communication signals, using partial-band noise jamming to cut off the controller from the UAV Control, make the drone enter the out-of-control state, and then use the GPS repeater deception jamming technology to counteract the drone of black flight for the rotor drone whose out-of-control behavior is in the return state. System technology to analyze the test results. Experimental results show that this technology can trap black flight drones more stably.  © 2021 IEEE.</t>
  </si>
  <si>
    <t>GPS repeater deception jamming; partial-band noise jamming; UAV countermeasures; Aircraft control; Jamming; Communication signals; Deception jamming; GPS repeater deception jamming; GPS repeaters; Partial-band noise jamming; Research object; Safety problems; Technology-based; UAV control; UAV countermeasure; Drones</t>
  </si>
  <si>
    <t>10.1109/CCDC52312.2021.9602343</t>
  </si>
  <si>
    <t>https://www.scopus.com/inward/record.uri?eid=2-s2.0-85125193071&amp;doi=10.1109%2fCCDC52312.2021.9602343&amp;partnerID=40&amp;md5=edd913925a62d7d2370961100399c1dc</t>
  </si>
  <si>
    <t>P481</t>
  </si>
  <si>
    <t>Bansal, G.; Sikdar, B.</t>
  </si>
  <si>
    <t>A Secure and Efficient Mutual Authentication Protocol Framework for Unmanned Aerial Vehicles</t>
  </si>
  <si>
    <t>With their vast range of uses, unmanned aerial vehicles (UAVs, or drones) are becoming more popular. However, the security and privacy of these UAV-based applications remains a worry. Man-in-the middle, replay and physical assaults are all risks that may be faced by unmanned aerial vehicles. To counteract these threats and weaknesses, we present a light-weight mutual authentication system that provides network and communication security. PUFs, a digital fingerprint device, are used to guard against physical and masquerade assaults in the proposed protocol. Compared to existing state-of-the-art protocols, the suggested protocol is secure, resilient, and quick. © 2021 IEEE.</t>
  </si>
  <si>
    <t>and privacy; mutual authentication; physical security; security; Unmanned aerial vehicles; Antennas; Authentication; Cryptography; Network security; And privacy; Authentication systems; Light weight; Man in the middle; Mutual authentication; Mutual authentication protocols; Physical security; Protocol framework; Security; Security and privacy; Unmanned aerial vehicles (UAV)</t>
  </si>
  <si>
    <t>10.1109/GCWkshps52748.2021.9682006</t>
  </si>
  <si>
    <t>https://www.scopus.com/inward/record.uri?eid=2-s2.0-85126096315&amp;doi=10.1109%2fGCWkshps52748.2021.9682006&amp;partnerID=40&amp;md5=09d4f843bff32c26d362e83a49e496a7</t>
  </si>
  <si>
    <t>P482</t>
  </si>
  <si>
    <t>Jares, G.; Valasek, J.</t>
  </si>
  <si>
    <t>Investigating Takeover of Aerospace Systems via Falsification of Sensor Data</t>
  </si>
  <si>
    <t>Cyberattacks are becoming an increasing concern in the field of unmanned air systems (UAS) and aircraft. Many real-world and simulated attacks have been documented and have been shown to be a legitimate threat to UAS and aircraft. Attacks ranging from traditional hacking techniques to complex GPS spoofing and even common automotive cyberattacks all pose a threat to the security of UAS and other aircraft. However, few attempts have been made to take control of the victim system once an intruder has gained access. In this paper, a method is presented to take control of the system by using control theory to manipulate the sensor data of the vehicle. It is assumed that an attacker has gained access to a victim system via a known method and has gained the ability to read and modify the incoming sensor data. Although there are many controls techniques which could solve this problem, proportional-integral-derivative (PID) control is chosen for this paper. PID is the most commonly used controller and serves as a simple, yet effective method to drive the system to the attacker’s desired state. Furthermore, this attack is shown to be able to hĳack the vehicle without introducing anomalous behavior into the feedback data stream. This paper describes the introduction of an attacking PID controller into a standard PID loop. It then shows the results of this attack on a simple second order system. Finally, the attack is demonstrated on an open-source UAS autopilot using a Gazebo simulation and is proven to be successful in controlling the vehicle in altitude. © 2021, American Institute of Aeronautics and Astronautics Inc.. All rights reserved.</t>
  </si>
  <si>
    <t>Aircraft control; Altitude control; Aviation; Controllers; Digital storage; Personal computing; Three term control systems; Two term control systems; Unmanned aerial vehicles (UAV); Aerospace systems; Automotives; Control techniques; Cyber-attacks; Proportional integral derivatives; Real-world attack; Sensors data; Simple++; Simulated attacks; Unmanned air systems; Proportional control systems</t>
  </si>
  <si>
    <t>10.2514/6.2021-3222</t>
  </si>
  <si>
    <t>https://www.scopus.com/inward/record.uri?eid=2-s2.0-85123885507&amp;doi=10.2514%2f6.2021-3222&amp;partnerID=40&amp;md5=3f0ccaf10b1344bb46c6710ce59cb2ab</t>
  </si>
  <si>
    <t>P483</t>
  </si>
  <si>
    <t>Majid, I.; Sabatini, R.; Kramer, K.A.; Blasch, E.; Fasano, G.; Andrews, G.; Camargo, C.; Roy, A.</t>
  </si>
  <si>
    <t>Restructuring Avionics Engineering Curricula to Meet Contemporary Requirements and Future Challenges</t>
  </si>
  <si>
    <t>A comprehensive approach is offered for avionics engineering topics and curricula for educational activities that better meet contemporary aerospace industry requirements. These topics include a growing demand for airspace mobility services, the proliferation of unmanned aircraft systems (UAS), and the required enhancements in avionics and air traffic management (ATM) design standards (hardware and software components); targeting the evolving safety, interoperability, and cybersecurity needs of the aeronautical and space sectors. Proposed topics and approaches stem from the Institute of Electrical and Electronics Engineers (IEEE) Aerospace and Electronics Systems Society (AESS) Avionics Systems Panel (ASP) discussions aimed at aligning educational approaches to relevant industry needs and technical advancements in the field of avionics engineering. Suitable curricular development approaches are proposed to address the career life cycle of avionics engineers, including undergraduate and graduate education. Collaborative exchange and discussion, including both industrial and academic perspectives, focus on informing curricular development approaches that bridge the gaps between higher education, industry practice, and public stakeholder needs toward maximizing educational outcomes and preparedness of the avionics engineering workforce to tackle some of the most important challenges and opportunities faced by the aerospace sector.  © 1986-2012 IEEE.</t>
  </si>
  <si>
    <t>Advanced traffic management systems; Air traffic control; Avionics; Bridges; Curricula; Electronics industry; Interoperability; Life cycle; Professional aspects; Security of data; Service industry; Unmanned aerial vehicles (UAV); Air Traffic Management; Curricular development; Educational activities; Engineering curriculum; Hardware and software components; Institute of Electrical and Electronics Engineers; Technical advancement; Unmanned aircraft system; Aerospace industry</t>
  </si>
  <si>
    <t>10.1109/MAES.2020.3043138</t>
  </si>
  <si>
    <t>https://www.scopus.com/inward/record.uri?eid=2-s2.0-85104082190&amp;doi=10.1109%2fMAES.2020.3043138&amp;partnerID=40&amp;md5=e9e392778ac74a73bd66441e9aa13edb</t>
  </si>
  <si>
    <t>P484</t>
  </si>
  <si>
    <t>Kilic, F.R.; Ozdogan, M.O.; Secinti, G.; Canberk, B.</t>
  </si>
  <si>
    <t>CLAN: A Robust Control Link for Aerial Mesh Networks in Contested Environments</t>
  </si>
  <si>
    <t>Huge increase in the availability of commercial off-the-shelf unmanned aerial vehicles drastically shifts the way these devices operate and interact, enabling easy and affordable deployment of multiple drones to form a mesh network to perform aerial multi-robot missions such as 3D mapping, surveillance. This trend led to the development of unique applications and services relying on aerial mesh networks in contested environment, but also enables adversaries to improve their ability to counteract using simple techniques such as jamming. In this paper, we propose a robust Control Link for Aerial mesh Networks, namely CLAN, jointly disseminating mesh and UAV control traffic, to ensure reliable control communication for aerial mesh networks, via multi-path, multi-hop control links in contested environment. CLAN forms a dynamic tree topology, where control traffic is forwarded through multiple hops and utilizes multiple access technologies enabling multi-path end-to-end links in order to mitigate the effects of decreased signal power in longer ranges and the possibility of jamming attacks. Computer simulations of the contested environment show that the proposed CLAN algorithm that uses modified B.A.T.M.A.N. algorithm to selectively rebroadcast traffic control messages in order to significantly reduce the traffic control message number by 90% while improving the connectivity of the nodes compared to single hop MAVLink communication up to 72% in simulation results. © 2021, ICST Institute for Computer Sciences, Social Informatics and Telecommunications Engineering.</t>
  </si>
  <si>
    <t>B.A.T.M.A.N; Connectivity; Dynamic tree topology; Jamming; MAVLink; Proactive routing; Traffic control messages; Wireless mesh networks; Antennas; Commercial vehicles; Intelligent systems; Jamming; Mesh generation; Robust control; Traffic control; Unmanned aerial vehicles (UAV); Control messages; Control traffic; Dynamic trees; Jamming attacks; Multi-robot missions; Multiple access technology; Multiple hops; Reliable control; MESH networking</t>
  </si>
  <si>
    <t>10.1007/978-3-030-77424-0_3</t>
  </si>
  <si>
    <t>https://www.scopus.com/inward/record.uri?eid=2-s2.0-85111355277&amp;doi=10.1007%2f978-3-030-77424-0_3&amp;partnerID=40&amp;md5=fa23f5cb97e8a3c47abf4841c8e878b9</t>
  </si>
  <si>
    <t>P485</t>
  </si>
  <si>
    <t>AHFE Virtual Conference on Human Factors in Robots, Drones and Unmanned Systems, and the International Conference on Human Factors in Cybersecurity, 2020</t>
  </si>
  <si>
    <t>The proceedings contain 16 papers. The special focus in this conference is on Human Factors in Robots, Drones and Unmanned Systems. The topics include: Use a UAV System to Enhance Port Security in Unconstrained Environment; Humanoid Robotics: A UCD Review; influence of Two Industrial Overhead Exoskeletons on Perceived Strain – A Field Study in the Automotive Industry; Human-Robot Interaction via a Virtual Twin and OPC UA; self-assessment of Proficiency of Intelligent Systems: Challenges and Opportunities; behavioral-Based Autonomous Robot Operation Under Robot-Central Base Loss of Communication; an Interaction Taxonomy of Human–Agent Teaming in Next Generation Combat Vehicle Systems; human-Autonomy Teaming for Unmanned Vehicle Control: Examination of the Role of Operator Individual Differences; The New Science of Autonomous Human-Machine Teams (a-HMT): Interdependence Theory Scales; verifying Automation Trust in Automated Driving System from Potential Users’ Perspective; Differences Between Manned and Unmanned Pilots Flying a UAV in the Terminal Area; Obtaining Public Opinion About sUAS Activity in an Urban Environment; learn on the Fly; Boeing 737 MAX: Expectation of Human Capability in Highly Automated Systems.</t>
  </si>
  <si>
    <t>https://www.scopus.com/inward/record.uri?eid=2-s2.0-85088273367&amp;partnerID=40&amp;md5=1095d465eb3433f48c9c80e079228eeb</t>
  </si>
  <si>
    <t>PPT</t>
  </si>
  <si>
    <t>P486</t>
  </si>
  <si>
    <t>Sridhar, B.; Chatterji, G.; Freeman, K.</t>
  </si>
  <si>
    <t>Simulation and Modeling Concepts for Secure Airspace Operations</t>
  </si>
  <si>
    <t>This paper examines cyber security vulnerabilities of Urban Air Mobility operations. With the expected advent of new entrants including Unmanned Aerial Systems, Commercial Launch Vehicles and Urban Air Mobility aircraft, the future United States National Airspace System will have to evolve to include their operations along with the current commercial, general aviation and military operations. The National Aeronautics and Space Administration and the Federal Aviation Administration are working together to provide a vision for aviation operations in the future—2045 and beyond. Their National Airspace System Horizons initiative seeks to provide stakeholders a list of operational scenarios and technologies, concepts and strategies needed for supporting that vision. They have identified cybersecurity as one of the seven strategic interest areas for realizing this vision. Consequently, NASA is studying cyber resiliency for secure airspace operations. While there are many pathways to attack a cyber physical system such as Urban Air Mobility, their effect is expressed in modification or corruption of data/information used for controlling vehicles and making operational decisions. The paper describes cybersecurity technologies of Encryption, Blockchain, Virtual Information Fabric Infrastructure, Trusted Platform Module and Anomaly Detection for protecting the data, and the cyber resiliency of the current and future air traffic management system. © 2021, American Institute of Aeronautics and Astronautics Inc.. All rights reserved.</t>
  </si>
  <si>
    <t>Antennas; Commercial vehicles; Cryptography; Cybersecurity; Embedded systems; Fighter aircraft; Information management; Military vehicles; NASA; 'current; Cyber security; General aviation; Mobility operations; Modeling concepts; National airspace system; Security vulnerabilities; Simulation and modeling; Unmanned aerial systems; Urban air; Air mobility</t>
  </si>
  <si>
    <t>10.2514/6.2021-3008</t>
  </si>
  <si>
    <t>https://www.scopus.com/inward/record.uri?eid=2-s2.0-85123434297&amp;doi=10.2514%2f6.2021-3008&amp;partnerID=40&amp;md5=4b1733db2a3a830ab274b8f52c05b6ef</t>
  </si>
  <si>
    <t>P487</t>
  </si>
  <si>
    <t>2021 18th Technical Scientific Conference on Aviation Dedicated to the Memory of N.E. Zhukovsky, TSCZh 2021</t>
  </si>
  <si>
    <r>
      <rPr>
        <sz val="11"/>
        <color rgb="FF000000"/>
        <rFont val="Calibri"/>
        <family val="2"/>
        <scheme val="minor"/>
      </rPr>
      <t>The proceedings contain 19 papers. The topics discussed include: research of the methods of collision avoidance of aircraft with the ground in controlled flight during landing; construction of a spatial stealthy trajectory of the aircraft in the detection zone of the onboard doppler radar; development of an unmanned aerial vehicle for the delivery of goods to the northern and remote regions of russia; methodology for scientific publications search results automated structuring to analyze the level of elaboration of scientific and technical problems in the aviation industry; investigation of the peculiarities of a pilot-athlete’s perception of non-instrumental information about vertical aerobatic overload;</t>
    </r>
    <r>
      <rPr>
        <sz val="11"/>
        <color rgb="FFFF0000"/>
        <rFont val="Calibri"/>
        <family val="2"/>
        <scheme val="minor"/>
      </rPr>
      <t xml:space="preserve"> ensuring the cybersecurity of unmanned aerial vehicles as integrated into a single airspace</t>
    </r>
    <r>
      <rPr>
        <sz val="11"/>
        <color rgb="FF000000"/>
        <rFont val="Calibri"/>
        <family val="2"/>
        <scheme val="minor"/>
      </rPr>
      <t>; and monitoring and adaptive robust protection of inertial satellite navigation systems from natural and imitation interference.</t>
    </r>
  </si>
  <si>
    <t>https://www.scopus.com/inward/record.uri?eid=2-s2.0-85123569953&amp;partnerID=40&amp;md5=498940e41f6f1cefe96845cf27e95d88</t>
  </si>
  <si>
    <t>P488</t>
  </si>
  <si>
    <t>Mielke, D.M.; Graupl, T.</t>
  </si>
  <si>
    <t>On the vulnerability of random access channels in aeronautical communications</t>
  </si>
  <si>
    <t>In the last years, digitization of wireless communication has reached the field of aviation. New manned aircraft require advanced communication services to operate efficiently, while unmanned aircraft depend on communication to operate at all. The absence of a crew on board of unmanned aircraft makes reliable data communication between the remote pilot and the air vehicle a requirement for safe operation. One critical part of digital aeronautical communication systems is the initial login of new users. In many digital systems, this is realized by a random access channel, that aircraft use to establish communication with the network. Since failing to log in would make communication with the network impossible, the random access channel is an attractive target for an attacker. In this paper, we analyze the effect of targeted jamming attacks on the random access channel on the login performance of a terrestrial aeronautical communication system. Using computer simulations we show that pulsed jammers with very low duty cycle can achieve similar jamming performances as continuous wave jammers while being far more energy efficent and thus more feasible. We quantize our findings with the network login time and success rate under jamming and conclude that aeronautical communication can be effectively blocked by attacking the random access channel in practical ways. We conclude with the discussion of possible countermeasures. © 2020 IEEE.</t>
  </si>
  <si>
    <t>Digital avionics; Jamming; Unmanned aerial vehicles (UAV); Aeronautical communications; Communication service; Data-communication; Jamming attacks; Manned aircraft; Random access channel; Unmanned aircrafts; Wireless communications; Aircraft communication</t>
  </si>
  <si>
    <t>10.1109/DASC50938.2020.9256780</t>
  </si>
  <si>
    <t>https://www.scopus.com/inward/record.uri?eid=2-s2.0-85097981574&amp;doi=10.1109%2fDASC50938.2020.9256780&amp;partnerID=40&amp;md5=61fe27094682789cc4cbd1e2967e210a</t>
  </si>
  <si>
    <t>P489</t>
  </si>
  <si>
    <t>Jiang, Y.; Yuan, J.; Sun, L.; Song, H.</t>
  </si>
  <si>
    <t>Development of a Laboratory Platform for UAV Cybersecurity Education</t>
  </si>
  <si>
    <t>In this paper, we propose to develop an educational UAV cybersecurity laboratory platform with a hands-on exercise module to solve the teaching resource limitation and enable related educational activities. In general, our platform will support both SITL and HITL for different drone models with the joint simulation of drones and networks to evaluate the effect of cybersecurity events. Based on the implemented platform, the UAV cybersecurity curriculum materials will be leveraged to design hands-on exercises for UAV training and cybersecurity education. To verify the effectiveness of our implementation, the implemented modules will be evaluated with testing facilities and adjusted according to the feedback of the tests. © American Society for Engineering Education, 2021</t>
  </si>
  <si>
    <t>Curricula; Engineering education; Simulation platform; Cyber security; Cyber-security educations; Educational activities; Hands-on exercise; Joint simulation; Resource limitations; Teaching resources; Testing facility; Drones</t>
  </si>
  <si>
    <t>https://www.scopus.com/inward/record.uri?eid=2-s2.0-85124507559&amp;partnerID=40&amp;md5=e35d34bb37600da3e091ae2fb26be8be</t>
  </si>
  <si>
    <t>P49</t>
  </si>
  <si>
    <t>Jin, W.-C.; Kim, K.; Choi, J.-W.</t>
  </si>
  <si>
    <t>Adaptive Beam Control Considering Location Inaccuracy for Anti-UAV Systems</t>
  </si>
  <si>
    <t>The threat posed by drones has significantly increased in recent years, necessitating the development of robust anti-UAV systems capable of detecting and preventing malicious UAVs. However, the anti-UAV system requires accurate UAV location detection capabilities to counteract UAVs robustly. For example, when employing jamming technology as a countermeasure, the anti-UAV system can enhance its defence performance by concentrating the jamming signal towards the detected UAV location, a technique known as a directional jamming signal. However, obtaining accurate UAV location information is challenging due to the small size, high velocity, and maneuverability of UAVs, which pose difficulties in detecting and tracking UAVs. Inaccurate UAV location data can significantly impair the defence performance of anti-UAV systems. In the jamming system, it causes the misalignment between the directional jamming signal and the malicious UAV and jamming failure. Therefore, addressing the problem of inaccurate location information is crucial for the anti-UAV system to achieve robust jamming performance. This article investigates the impact of UAV detection errors in an anti-UAV system that employs radar for detection and jamming technology as a countermeasure. We design the UAV detection algorithm to analyze the influence of UAV location detection errors. Furthermore, a beam control scheme is proposed for the jamming system to mitigate the effects of detection errors in the anti-UAV system. The proposed scheme utilizes a wide beam width when location information is inaccurate to avoid beam misalignment. In contrast, a narrow beamwidth is employed when the location information is precise to enhance jamming power efficiency. Simulation results demonstrate that the proposed method ensures stable jamming performance even when faced with inaccurate UAV location information.  © 1967-2012 IEEE.</t>
  </si>
  <si>
    <t>Anti-UAV system; beam misalignment; beamforming; jamming; radar; Adaptive control systems; Aircraft detection; Alignment; Array processing; Beam forming networks; Clutter (information theory); Errors; Location; Radar antennas; Signal detection; Space-based radar; Tracking radar; Anti-UAV system; Array signal processing; Beam misalignment; Jamming; Location information; Performance; Radar detection; Radars antennas; UAV systems; Beamforming</t>
  </si>
  <si>
    <t>10.1109/TVT.2023.3320176</t>
  </si>
  <si>
    <t>https://www.scopus.com/inward/record.uri?eid=2-s2.0-85173026426&amp;doi=10.1109%2fTVT.2023.3320176&amp;partnerID=40&amp;md5=c2a2fbf457ff2753632cbae2c9d06eab</t>
  </si>
  <si>
    <t>P490</t>
  </si>
  <si>
    <t>Khan, N.A.; Jhanjhi, N.Z.; Brohi, S.N.; Almazroi, A.A.; Almazroi, A.A.</t>
  </si>
  <si>
    <t>A secure communication protocol for unmanned aerial vehicles</t>
  </si>
  <si>
    <t>Mavlink is a lightweight and most widely used open-source communication protocol used for Unmanned Aerial Vehicles. Multiple UAVs and autopilot systems support it, and it provides bi-directional communication between the UAV and Ground Control Station. The communications contain critical information about the UAV status and basic control commands sent from GCS to UAV and UAV to GCS. In order to increase the transfer speed and efficiency, the Mavlink does not encrypt the messages. As a result, the protocol is vulnerable to various security attacks such as Eavesdropping, GPS Spoofing, and DDoS. In this study, we tackle the problem and secure the Mavlink communication protocol. By leveraging the Mavlink packet's vulnerabilities, this research work introduces an experiment in which, first, the Mavlink packets are compromised in terms of security requirements based on our threat model. The results show that the protocol is insecure and the attacks carried out are successful. To overcome Mavlink security, an additional security layer is added to encrypt and secure the protocol. An encryption technique is proposed that makes the communication between the UAV and GCS secure. The results show that the Mavlink packets are encrypted using our technique without affecting the performance and efficiency. The results are validated in terms of transfer speed, performance, and efficiency compared to the literature solutions such as MAVSec and benchmarked with the original Mavlink protocol. Our achieved results have significant improvement over the literature and Mavlink in terms of security. © 2021 Tech Science Press. All rights reserved.</t>
  </si>
  <si>
    <t>Drones security; Mavlink protocol; UAVs communication; Unmanned aerial vehicles; Antennas; Cryptography; Efficiency; Rock mechanics; Unmanned aerial vehicles (UAV); Autopilot systems; Bi-directional communication; Encryption technique; Ground control stations; Security attacks; Security layers; Security requirements; Threat modeling; Aircraft control</t>
  </si>
  <si>
    <t>10.32604/cmc.2022.019419</t>
  </si>
  <si>
    <t>https://www.scopus.com/inward/record.uri?eid=2-s2.0-85114553078&amp;doi=10.32604%2fcmc.2022.019419&amp;partnerID=40&amp;md5=73d60aaec89b422181fb9baaaeccdfce</t>
  </si>
  <si>
    <t>P491</t>
  </si>
  <si>
    <t>Goble, W.; Braddy, E.; Burmester, M.; Schwartz, D.; Sloan, R.; Drizis, D.; Ahir, N.; Ma, M.; Bays, M.; Chastain, M.</t>
  </si>
  <si>
    <t>Challenges of Securing and Defending Unmanned Aerial Vehicles</t>
  </si>
  <si>
    <t>There are increasing concerns that foreign manufactured unmanned aerial systems may leak sensitive data to their manufacturers, particularly since such systems are used for reconnaissance and surveillance of critical infrastructure, for monitoring/managing industrial incidents, for tracking terrorist attacks, and more generally in applications that involve homeland/national security. In this paper we investigate the challenges of securing and defending such systems, focusing on civilian Group 1 (small) drones (quadcopters). We propose a solution based on an architecture that complies with the policies and standards of the Committee on National Security Systems for the Cybersecurity of Unmanned National Systems CNSSP 28, in which software components are adapted/modified appropriately, and security policies/mechanisms are enforced. Protection builds on isolation, encapsulation, and the use of cryptographic tools, with performance constraints expressed in terms of computation (power) and latency. © 2021, Springer Nature Switzerland AG.</t>
  </si>
  <si>
    <t>CNSSP 28 Policies; Cybersecurity; Drones; Stream authentication; Unmanned Aerial Systems; XSS vulnerabilities; Antennas; Automobile manufacture; Drones; Security of data; Security systems; Cyber security; Industrial incidents; Performance constraints; Security policy; Sensitive datas; Software component; Terrorist attacks; Unmanned aerial systems; National security</t>
  </si>
  <si>
    <t>10.1007/978-3-030-58703-1_8</t>
  </si>
  <si>
    <t>https://www.scopus.com/inward/record.uri?eid=2-s2.0-85091336393&amp;doi=10.1007%2f978-3-030-58703-1_8&amp;partnerID=40&amp;md5=b7891761c636376dbf67e002f787d57c</t>
  </si>
  <si>
    <t>P492</t>
  </si>
  <si>
    <t>Kumar, C.R.S.; Mohanty, S.</t>
  </si>
  <si>
    <t>Current trends in cyber security for drones</t>
  </si>
  <si>
    <t>With many of the functionalities of Drones being controlled by highly sophisticated Computers through wired and wireless networks, Cyber security is playing a vital role in ensuring the safety and security of these. There are many incidents being reported about the breach of Cyber Security involving Drones thus bringing to focus existing vulnerabilities and threats. The attackers may be remotely launching the attacks. The successful attacks can have a high impact leading to serious incidents. In this paper, several case studies are discussed illustrating the Cyber related incidents in Drones. The latest developments in Cyber Security are presented applicable to the Drone industry. The Cyber Security best practices, countermeasures, attack detection and mitigations techniques are presented which are specific to UAVs. © 2021 IEEE.</t>
  </si>
  <si>
    <t>Attacks; Cyber Security; Drones; GPS Spoofing; Moving Target Defence; UAVs; Vulnerabilities; Aircraft detection; Drones; 'current; Attack; Case-studies; Cyber security; GPS spoofing; High impact; Moving target defense; Safety and securities; Vulnerability; Wired and wireless; Cybersecurity</t>
  </si>
  <si>
    <t>10.1109/ICCST49569.2021.9717376</t>
  </si>
  <si>
    <t>https://www.scopus.com/inward/record.uri?eid=2-s2.0-85127288812&amp;doi=10.1109%2fICCST49569.2021.9717376&amp;partnerID=40&amp;md5=408b506a26b63f34372bd96e64112e92</t>
  </si>
  <si>
    <t>P493</t>
  </si>
  <si>
    <t>Pöpper, C.</t>
  </si>
  <si>
    <t>High we Fly: Wireless Witnessing and Crowdsourcing for Air-Traffic Communication Security</t>
  </si>
  <si>
    <t>In this talk I will address aviation security and secure surveillance/control that are crucial for the safety of air traffic. Two wireless systems widely deployed in this context are the Global Positioning System (GPS) and ADS-B (Automatic Dependent Surveillance Broadcast). I will discuss why wireless systems like GPS and ADS-B are hard to fully secure and I will present novel mechanisms to improve air-Traffic-related security at the intersection of these two systems. In particular, I will talk about (1) Crowd-GPS-Sec, a system to detect and localize GPS spoofing attacks on moving airborne targets such as UAVs or commercial airliners, as well as (2) ADS-B-Trust, an approach to leverage machine learning for ADS-B and GPS attack detection. These systems demonstrate the potential of sensor-based crowdsourcing and wireless witnessing for attack detection purposes in a typically rather closed industry sector.  © 2021 Owner/Author.</t>
  </si>
  <si>
    <t>ADS-B; aviation security; GPS; wireless system security; Air traffic control; Aircraft detection; Aviation; Crowdsourcing; Deceleration; Embedded systems; Airborne target; Attack detection; Automatic dependent surveillance - broadcasts; Aviation Security; Commercial airliner; Industry sectors; Spoofing attacks; Wireless systems; Global positioning system</t>
  </si>
  <si>
    <t>10.1145/3457339.3457979</t>
  </si>
  <si>
    <t>https://www.scopus.com/inward/record.uri?eid=2-s2.0-85108551914&amp;doi=10.1145%2f3457339.3457979&amp;partnerID=40&amp;md5=9b9288c28aa93af652e09c181104011e</t>
  </si>
  <si>
    <t>P494</t>
  </si>
  <si>
    <t>Securing Unmanned Aerial Systems Using Mobile Agents and Artificial Neural Networks</t>
  </si>
  <si>
    <t>Advances in wireless networks and the rapid development of electronic components have actively contributed to the emergence of new communication and surveillance systems known as Unmanned Aerial Systems (UASs). In such systems, unmanned aerial vehicles (UAVs) can be used as a wireless ad hoc network and thus provide a communications infrastructure for diverse military or civil applications. For more efficiency, a swarm of drones can be deployed in an area of interest (e.g. disaster areas, battlefields) by forming a flying ad hoc network (FANET) capable of communicating wirelessly with a ground control station (GCS) in a more secure manner. In this work, we particularly focus on the detection of False Data Injection (FDI) attacks in Unmanned Aerial Systems. We propose a new approach based on mobile agents to collect data and an artificial neural network model to identify injected false data. Our approach is validated using realistic datasets, provided by the University of Minnesota UAS Laboratories, and our results show that our proposal outperforms the compared approach by demonstrating higher detection rates (&gt;94%) and lower false positive rates (&lt;2.2%). © 2021 IEEE</t>
  </si>
  <si>
    <t>Artificial neural network; False data injection attack; Unmanned aerial vehicles; Antennas; Disasters; Military applications; Military vehicles; Neural networks; Rock mechanics; Unmanned aerial vehicles (UAV); Aerial vehicle; Civil applications; Communication infrastructure; Communications systems; Electronic component; False data injection attacks; Surveillance systems; Unmanned aerial systems; Unmanned aerial vehicle; Wireless ad-hoc networks; Mobile agents</t>
  </si>
  <si>
    <t>10.1109/IWCMC51323.2021.9498879</t>
  </si>
  <si>
    <t>https://www.scopus.com/inward/record.uri?eid=2-s2.0-85125616229&amp;doi=10.1109%2fIWCMC51323.2021.9498879&amp;partnerID=40&amp;md5=b748cbf9736cb5287100c005c14687da</t>
  </si>
  <si>
    <t>P495</t>
  </si>
  <si>
    <t>Tufekci, B.; Tunc, C.</t>
  </si>
  <si>
    <t>Vulnerability and Threat Analysis of UAVs</t>
  </si>
  <si>
    <t>The usage and application areas of Unmanned Aerial Vehicles (UAVs) are increasing such as military services, live streaming events, aerial photography, agriculture, firefighting, product delivery, asset inspections, and so on owing to bringing along the many benefits with it. According to Federal Aviation Administration (FAA), 865, 660 drones (or UAVs) are registered and of these, 340, 247 are commercial drones, 521, 819 are recreational drones, 3, 594 are paper registrations [1]. © 2021 IEEE.</t>
  </si>
  <si>
    <t>Cybersecurity; Threat Modeling; UAV; Aerial photography; Cybersecurity; Drones; Military vehicles; Application area; Cyber security; Federal Aviation Administration; Live streaming; Military services; Product delivery; Threat modeling; Threats analysis; Vulnerability analysis; Antennas</t>
  </si>
  <si>
    <t>10.1109/AICCSA53542.2021.9686826</t>
  </si>
  <si>
    <t>https://www.scopus.com/inward/record.uri?eid=2-s2.0-85125651559&amp;doi=10.1109%2fAICCSA53542.2021.9686826&amp;partnerID=40&amp;md5=3b3c46c9bc0cb7fb24c8410d22bee4da</t>
  </si>
  <si>
    <t>P496</t>
  </si>
  <si>
    <t>Gorrepati, R.R.; Guntur, S.R.</t>
  </si>
  <si>
    <t>DroneMap: An IoT Network Security in Internet of Drones</t>
  </si>
  <si>
    <t>Internet of Drones (IoD) is a major role for the central military, agriculture and IoT applications that requires critical information to be processed. It ensures that security and network privacy issues in the Internet of Drones (IoD) have malware/vulnerable attacks and Distributed Denial of Service (DDoS) attacks are highly energy-constrained, which are a direct standard of cryptography protocols and secured key IoD algorithms. IoD is a capable of enhanced state-of-the-art of Drones while providing services from an existing cellular networks. IoD is vulnerable to malicious attacks over radio waves frequency space due to the increasing number of attacks and threats to a wide range of security measures for IoD networks. Low cost of Unmanned Aerial Vehicles (UAV) known as Drones for enabling various IoT applications. UAV are also used in several applications in surveillance, disaster, environment and management search and rescue monitoring solutions that are limited to point-to-point communication patterns, and are not suitable for distributed applications in multi-UAV scenarios. UAV has limited processing and storage capabilities with massive computations requirements for certain applications. In this book chapter, we represent the Drone-map planner that are service-oriented fog-based drone management system that controls, monitors and communicates with Drones over the network. Drone-map planner that allows to communicate with multiple Drones over the internet, which are enables to control anywhere and anytime without any long distance restrictions. Drone-Map planner provides access to fog computing resources for drones to heavy load computations. To classify the attacks based on the threats and vulnerabilities associated with the networking of drone and their incorporation into the existing cellular setups. This chapter of book summarizes the challenges and research directions to be followed for the security of IoD. © 2021, The Author(s), under exclusive license to Springer Nature Switzerland AG.</t>
  </si>
  <si>
    <t>Drone map; Internet of Drones; Internet of things; Security; UAV</t>
  </si>
  <si>
    <t>10.1007/978-3-030-63339-4_10</t>
  </si>
  <si>
    <t>https://www.scopus.com/inward/record.uri?eid=2-s2.0-85102035125&amp;doi=10.1007%2f978-3-030-63339-4_10&amp;partnerID=40&amp;md5=06f88add098325410199617bdb0af935</t>
  </si>
  <si>
    <t>P497</t>
  </si>
  <si>
    <t>Chamola, V.; Kotesh, P.; Agarwal, A.; Gupta, N.; Guizani, M.</t>
  </si>
  <si>
    <t>A Comprehensive Review of Unmanned Aerial Vehicle Attacks and Neutralization Techniques</t>
  </si>
  <si>
    <t>Unmanned Aerial Vehicles (UAV) have revolutionized the aircraft industry in this decade. UAVs are now capable of carrying out remote sensing, remote monitoring, courier delivery, and a lot more. A lot of research is happening on making UAVs more robust using energy harvesting techniques to have a better battery lifetime, network performance and to secure against attackers. UAV networks are many times used for unmanned missions. There have been many attacks on civilian, military, and industrial targets that were carried out using remotely controlled or automated UAVs. This continued misuse has led to research in preventing unauthorized UAVs from causing damage to life and property. In this paper, we present a literature review of UAVs, UAV attacks, and their prevention using anti-UAV techniques. We first discuss the different types of UAVs, the regulatory laws for UAV activities, their use cases, recreational, and military UAV incidents. After understanding their operation, various techniques for monitoring and preventing UAV attacks are described along with case studies. © 2020 Elsevier B.V.</t>
  </si>
  <si>
    <t>Attacks; Drone; Jamming; Neutralization; UAV; Aircraft accidents; Antennas; Energy harvesting; Remote sensing; Aircraft industries; Battery lifetime; Case-studies; Literature reviews; Regulatory laws; Remote monitoring; Uav networks; Unmanned aerial vehicles (UAV)</t>
  </si>
  <si>
    <t>10.1016/j.adhoc.2020.102324</t>
  </si>
  <si>
    <t>https://www.scopus.com/inward/record.uri?eid=2-s2.0-85096189824&amp;doi=10.1016%2fj.adhoc.2020.102324&amp;partnerID=40&amp;md5=8346d6064aa5de5af73c4ef81298458c</t>
  </si>
  <si>
    <t>P498</t>
  </si>
  <si>
    <t>Khan, S.Z.; Mohsin, M.; Iqbal, W.</t>
  </si>
  <si>
    <t>On GPS Spoofing of Aerial Platforms: A Review of Threats, Challenges, Methodologies, and Future Research Directions</t>
  </si>
  <si>
    <t>Unmanned Aerial Systems (UAVs, Drones), initially known only for their military applications, are getting increasingly popular in the civil sector as well. Over the military canvas, drones have already proven themselves as a potent force multiplier through unmanned, round-the-clock, long-range and high-endurance missions for surveillance, reconnaissance, search and rescue, and even armed combat applications. With the emergence of the Internet of Things (IoT), commercial deployments of drones are also growing exponentially, ranging from cargo and taxi services to agriculture, disaster relief, risk assessment and monitoring of critical infrastructures. Irrespective of the deployment sector, drones are often entrusted to conduct safety, time and liability critical tasks, thus requiring secure, robust and trustworthy operations. In contrast, the rise in UAVs' demand, coupled with market pressure to reduce size, weight, power and cost (SwaP-C) parameters, has caused vendors to often ignore security aspects, thus inducing serious safety and security threats. As UAVs rely on Global Positioning System (GPS) for positioning and navigation, they can fall prey to GPS jamming and spoofing attacks. The vulnerability of GPS to spoofing has serious implications for UAVs, as victim drones using civil GPS can be misdirected or even completely hijacked for malicious intents, as already demonstrated in several academic research efforts using commercially available GPS spoofing hardware. Beside UAVs, GPS spoofing attacks are equally applicable to other GPS-dependent platforms, including manned aircraft, ground vehicles, and cellular systems. This paper conducts a comprehensive review of GPS spoofing threats, with a special focus on their applicability over UAVs and other GPS-dependent mobile platforms. It presents a novel taxonomy of GPS spoofing attacks and critically analyzes different spoofing techniques based upon placement of spoofing device, attack stealthiness, attack methodologies, and objectives of the attacker. We also discuss some of the recent experiments from open literature which utilized commercially available hardware for successfully conducting spoofing attacks. Copyright 2021 Khan et al.</t>
  </si>
  <si>
    <t>Drones; GPS spoofing; Security threats; Survey; Taxonomy; UAVs; Agricultural robots; Aircraft accidents; Antennas; Disaster prevention; Drones; Internet of things; Military applications; Motor transportation; Network security; Risk assessment; Taxicabs; Academic research; Assessment and monitoring; Combat applications; Commercial deployment; Future research directions; Internet of thing (IOT); Safety and securities; Unmanned aerial systems; Global positioning system</t>
  </si>
  <si>
    <t>10.7717/PEERJ-CS.507</t>
  </si>
  <si>
    <t>https://www.scopus.com/inward/record.uri?eid=2-s2.0-85107774016&amp;doi=10.7717%2fPEERJ-CS.507&amp;partnerID=40&amp;md5=db1dd4c6b656d4e311a8ba5be4eff6b6</t>
  </si>
  <si>
    <t>P499</t>
  </si>
  <si>
    <t>Gabrielsson, J.; Bugeja, J.; Vogel, B.</t>
  </si>
  <si>
    <t>Hacking a Commercial Drone with Open-Source Software: Exploring Data Privacy Violations</t>
  </si>
  <si>
    <t>Drones have been discussed frequently in both governmental and commercial sectors for their normalization in the airspace. Nonetheless, drones bring diverse privacy concerns to users. In this paper, we explore the ramifications to data privacy from the perspective of drone owners. To investigate privacy in this context, four experiments targeting a commercial drone were conducted using open-source software. The experiments identified personal data (e.g., audio, video, and location) that are at risk of being compromised particularly through the execution of a basic deauthentication attack launched at a commercial drone. Our findings indicate the severity of risks affecting commercial drones. This makes the case for more effective privacy regulations and better guidelines suitable for securing drones. © 2021 IEEE.</t>
  </si>
  <si>
    <t>attack; Deauthentication; Drone; IoT; open-source software; privacy; UAV; Drones; Open Data; Open systems; Personal computing; Privacy by design; Target drones; Commercial sector; Privacy concerns; Privacy regulation; Privacy violation; Open source software</t>
  </si>
  <si>
    <t>10.1109/MECO52532.2021.9460295</t>
  </si>
  <si>
    <t>https://www.scopus.com/inward/record.uri?eid=2-s2.0-85114205880&amp;doi=10.1109%2fMECO52532.2021.9460295&amp;partnerID=40&amp;md5=7c8021cd121d15cf74b3114f715b4d52</t>
  </si>
  <si>
    <t>P5</t>
  </si>
  <si>
    <t>Wu, Q.; Zhang, Y.; Yang, Z.; Shikh-Bahaei, M.</t>
  </si>
  <si>
    <t>Knowledge Distillation-Based Robust UAV Swarm Communication under Malicious Attacks</t>
  </si>
  <si>
    <t>Unmanned aerial vehicle (UAV) swarms have become a promising solution to enhance modern wireless communication in complicated environments. However, due to the existence of real-world malicious attacks, the performance of prediction and optimisation methods used for UAV swarms are easily degraded. In this paper, we propose an efficient and robust knowledge distillation and deep learning-based user mobility prediction, user assignment, and drone position optimisation scheme for UAV swarm-enabled wireless communication systems in the presence of malicious Global Navigation Satellite System (GNSS) spoofing attackers. Specifically, a robust Transformer-based user mobility prediction model is first designed as a teacher model and then distilled into a smaller Gated Recurrent Unit (GRU) student model. Additionally, an efficient user assignment and drone position optimisation method, namely successive differential programming (SDP) is proposed. The proposed deep learning model forecasts user locations, on which we construct and solve assignment and position optimisation problems. Simulation results demonstrate that the optimised sum rate using the distilled GRU student model's predicted user locations can achieve almost 99% compared to the Transformer teacher model. Meanwhile, the inference time of the student model is only 4% compared to the teacher model. © 2024 IEEE.</t>
  </si>
  <si>
    <t>deep learning; differential programming; knowledge distillation; malicious attack; Unmanned aerial vehicle swarm; Aircraft communication; Global positioning system; Satellite communication systems; Students; Swarm intelligence; Teaching; Aerial vehicle; Deep learning; Differential programming; Knowledge distillation; Malicious attack; Optimization method; Student Modeling; Teacher models; Unmanned aerial vehicle swarm; Users' mobility; Drones</t>
  </si>
  <si>
    <t>10.1109/ICCWorkshops59551.2024.10615342</t>
  </si>
  <si>
    <t>https://www.scopus.com/inward/record.uri?eid=2-s2.0-85202451456&amp;doi=10.1109%2fICCWorkshops59551.2024.10615342&amp;partnerID=40&amp;md5=2ac03d64552535924c907875270a4dc8</t>
  </si>
  <si>
    <t>P50</t>
  </si>
  <si>
    <t>Gutsa, T.; Trois, C.; de Vries, R.; Mani, T.</t>
  </si>
  <si>
    <t>Wasted shores: Using drones to monitor the spatio-temporal evolution of debris accumulation hotspots on South Africa's Umgeni River</t>
  </si>
  <si>
    <t>Rivers are major contributors of plastic waste to the oceans. Running through the northern part of the 1.3 million-inhabitants City of Durban, South Africa, the Umgeni River is estimated to flush in the order of tens to hundreds of tonnes of plastic waste into the Indian Ocean every year. The riverbanks are lined with plastic and other macro-waste accumulation zones formed due to direct littering and occasional deposition of river debris loads. This study presents the use of Unmanned Aerial Vehicles (UAVs) and hydro-meteorological sensors to (1) identify, quantify and monitor such anthropogenic macro-waste hotspots; and (2) investigate the influence of rainfall, river water level and a major flood event on the spatio-temporal evolution of the hotspots, evidencing the debris' availability to leak into the Indian Ocean. The one-year aerial monitoring (2021−2022) of waste hotspots shows that extreme hydrometeorological events have an immediate but short-term effect on the erosion of debris stocks in riverine systems. We observe that reduction in mean index changes of hotspot surface area after flooding were 2–5 times higher than in non-flood conditions. Despite visual evidence of seasonality in debris erosion between the wet and dry season, only the 'natural' type hotspots showed a significant change. Our findings support reported inconsistencies of macro-debris erosion with hydrological factors. Although the data contributes a baseline for macro-debris erosion in the Umgeni River, future ground truth sampling and finer monitoring scales are important to fully understand debris transfer in river systems. The mapping of waste hotspots and understanding their spatio-temporal transfer dynamics supports policymakers in planning and timing to mitigate environmental pollution. © 2024 The Authors</t>
  </si>
  <si>
    <t>Coast; Hotspots; Hydro-meteorological; Macro-debris; River; Unmanned Aerial Vehicles; Waste management; Durban; Indian Ocean; KwaZulu-Natal; South Africa; Umgeni River; Drones; Effluent treatment; Macroinvertebrates; Macros; River pollution; plastic; Aerial vehicle; Hotspots; Hydro-meteorological; Indian ocean; Macro-debris; Meteorological sensors; Plastics waste; South Africa; Spatiotemporal evolution; Unmanned aerial vehicle; hydrometeorology; monitoring; river water; sensor; spatiotemporal analysis; unmanned vehicle; waste management; Article; biogeography; climate change; debris accumulation hotspot; geomorphology; human; human impact (environment); hydrometeorology; meteorology; monitoring; phytoplankton; quality control; river; sea surface temperature; seashore; seasonal variation; spatiotemporal analysis; survival analysis; unmanned aerial vehicle; waste and waste related phenomena; article; controlled study; drone; dry season; evolution; flooding; Indian Ocean; nonhuman; plastic waste; rain; river; river water; South Africa; surface area; waste management; Debris</t>
  </si>
  <si>
    <t>10.1016/j.scitotenv.2024.176791</t>
  </si>
  <si>
    <t>https://www.scopus.com/inward/record.uri?eid=2-s2.0-85206258227&amp;doi=10.1016%2fj.scitotenv.2024.176791&amp;partnerID=40&amp;md5=dbbfa62259ba26939e372ae7865b5991</t>
  </si>
  <si>
    <t>P500</t>
  </si>
  <si>
    <t>Alladi, T.; Bansal, G.; Chamola, V.; Guizani, M.</t>
  </si>
  <si>
    <t>SecAuthUAV: A Novel Authentication Scheme for UAV-Ground Station and UAV-UAV Communication</t>
  </si>
  <si>
    <t>Unmanned Aerial Vehicles (UAVs) are becoming very popular nowadays due to the emergence of application areas such as the Internet of Drones (IoD). They are finding wide applicability in areas ranging from package delivery systems to automated military applications. Nevertheless, communication security between a UAV and its ground station (GS) is critical for completing its task without leaking sensitive information either to the adversaries or to unauthenticated users. UAVs are especially vulnerable to physical capture and node tampering attacks. Further, since UAV devices are generally equipped with small batteries and limited memory storage, lightweight security techniques are best suited for them. Addressing these issues, a lightweight mutual authentication scheme based on Physical Unclonable Functions (PUFs) for UAV-GS authentication is presented in this paper. The UAV-GS authentication scheme is extended further to support UAV-UAV authentication. We present a formal security analysis as well as old-fashioned cryptanalysis and show that our protocol provides various security features such as mutual authentication, user anonymity, etc, and is resilient against many security attacks such as masquerade, replay, node tampering, and cloning attacks, etc. We also compare the performance of our protocol with state-of-the-art authentication protocols for UAVs, based on computation, communication, and memory storage cost. © 1967-2012 IEEE.</t>
  </si>
  <si>
    <t>Internet of Drones (IoD); mutual authentication; physical security; privacy; PUFs; security protocol; UAVs; Antennas; Authentication; Clone cells; Cryptography; Military applications; Security systems; Authentication protocols; Authentication scheme; Formal security analysis; Lightweight securities; Mutual authentication; Security features; Sensitive informations; Tampering attacks; Unmanned aerial vehicles (UAV)</t>
  </si>
  <si>
    <t>10.1109/TVT.2020.3033060</t>
  </si>
  <si>
    <t>https://www.scopus.com/inward/record.uri?eid=2-s2.0-85097578501&amp;doi=10.1109%2fTVT.2020.3033060&amp;partnerID=40&amp;md5=d954bf9445dc05069331b285886b60de</t>
  </si>
  <si>
    <t>P501</t>
  </si>
  <si>
    <t>Minucci, F.; Vinogradov, E.; Pollin, S.</t>
  </si>
  <si>
    <t>Avoiding Collisions at Any (Low) Cost: ADS-B like Position Broadcast for UAVs</t>
  </si>
  <si>
    <t>Unmanned Aerial Vehicles (UAVs), a.k.a. drones, are increasingly used for different tasks. With more drones in the sky, the risk of accidents rises, sparking the need for conflict management solutions. Aircraft use a system called Automatic Dependent System-Broadcast (ADS-B) to continuously broadcast their position and speed but this system is not suitable for small drones because of its cost, complexity and capacity limitations. Broadband technologies such as Wi-Fi beacons are more suited for such dense scenarios, and they also offer the benefit of wide availability and low cost. The main challenges for Wi-Fi are (a) the multichannel nature of the technology makes transmitter and receiver coordination difficult, and (b) standard chipsets are not designed for frequent broadcast transmission and reception. In this paper, we propose and analyse a multichannel position broadcast solution that is robust against jamming and achieves a reliable location update within 125 ms. In addition, we implement the protocol on inexpensive embedded Wi-Fi modules and analyse the hardware limitations of such devices. Our conclusions are that, even on the simplest Wi-Fi chipsets, our protocol can be implemented to achieve a realistic location broadcast solution that still perfectly mimics simulation and analytical results on the lab bench and still can achieve approximately 4 message/s throughput at a distance of 900 m on flying UAVs.  © 2013 IEEE.</t>
  </si>
  <si>
    <t>air traffic control; collision avoidance; Unmanned aerial vehicles; wireless communication; Aircraft accidents; Antennas; Drones; Wi-Fi; Wireless local area networks (WLAN); Analytical results; Broadband technologies; Broadcast transmission; Capacity limitation; Conflict management; Nature of the technologies; Risk of accidents; Transmitter and receiver; Signal receivers</t>
  </si>
  <si>
    <t>10.1109/ACCESS.2020.3007315</t>
  </si>
  <si>
    <t>https://www.scopus.com/inward/record.uri?eid=2-s2.0-85094177094&amp;doi=10.1109%2fACCESS.2020.3007315&amp;partnerID=40&amp;md5=ba6fab767b4fa0a35d6b95f914e1e3c5</t>
  </si>
  <si>
    <t>P502</t>
  </si>
  <si>
    <t>Pyzynski, M.</t>
  </si>
  <si>
    <t>In recent years, UASs have become more and more popular. There are many reasons for this; one of the most popular is the enhancement of drones' functionalities and improvement in battery life, stabilization, navigation, sensor technology, and much more. The growth is driven by many benefits. However, as the number of drones is expanding and levels of their technological functionalities evolving, the use of drones brings a lot of concerns as well as challenges that should not be underestimated. This refers to issues in the area of cybersecurity, privacy, and public safety. UASs, under the international, regional, and national regime of aviation law, are considered aircraft. Since there is no existing cybersecurity framework for UASs, the civil aviation cybersecurity framework should apply to their operations. This paper will focus on the potential cyber threats against UASs, providing some examples of cyberattacks from the past. Further, the overview of the aviation cybersecurity framework will follow in order to determine the current status of maturity at the international and regional (European Union) levels. The conclusion of the paper will identify the necessary steps to be taken and potential solutions in terms of applying the aviation cybersecurity framework into the operation of UASs. © 2020 IEEE.</t>
  </si>
  <si>
    <t>Aircraft; Drones; Current status; Cyber security; Cyber threats; Cyber-attacks; European union; Public safety; Sensor technologies; Unmanned aircraft system; Security of data</t>
  </si>
  <si>
    <t>10.1109/ICUAS48674.2020.9213922</t>
  </si>
  <si>
    <t>https://www.scopus.com/inward/record.uri?eid=2-s2.0-85094954629&amp;doi=10.1109%2fICUAS48674.2020.9213922&amp;partnerID=40&amp;md5=1c0f68f02e08bd817010315b896c3dc9</t>
  </si>
  <si>
    <t>P503</t>
  </si>
  <si>
    <t>He, D.; Liu, H.; Chan, S.; Guizani, M.</t>
  </si>
  <si>
    <t>How to govern the non-cooperative amateur drones?</t>
  </si>
  <si>
    <t>In recent years, amateur UAVs have become more and more popular. This is due to the decreasing cost and growing range of applications such as weather monitoring, cargo transport and recreational purposes. However, non-cooperative UAVs may cause abuses of low-altitude airspace with potential security and safety problems, posing increasing challenges for low-altitude airspace management. In this article, we analyze the mechanisms to counter UAVs. Then GNSS spoofing on a UAV is described and our experimental results are reported. Also, a novel method to build a no-fly zone for non-cooperative drones is proposed. © 1986-2012 IEEE.</t>
  </si>
  <si>
    <t>Airspace management; Cargo transport; Low-altitude airspaces; Non-cooperative; Novel methods; Safety problems; Security problems; Weather monitoring; Drones</t>
  </si>
  <si>
    <t>10.1109/MNET.2019.1800156</t>
  </si>
  <si>
    <t>https://www.scopus.com/inward/record.uri?eid=2-s2.0-85062148588&amp;doi=10.1109%2fMNET.2019.1800156&amp;partnerID=40&amp;md5=2301b0dc7f46a92d7e1f318c76f6bcd9</t>
  </si>
  <si>
    <t>P504</t>
  </si>
  <si>
    <t>Ma, C.; Yang, J.; Zhou, C.</t>
  </si>
  <si>
    <t>Analysis and Application of Distributed Navigation Spoofers</t>
  </si>
  <si>
    <t>As a typical aerospace technology application, Global Satellite Navigation System (GNSS) affects the national Positioning Navigation Timing (PNT) service. However, not all users are making good use of GNSS. In recent years, the most prominent phenomenon is the Unmanned Aerial Vehicle (UAV) "black flight", which seriously affects the normal operation of civil aviation. To solve such problem, navigation spoofing can be used as an effective method to disrupt the flight of malicious UAVs. Currently, a centralized antenna is the most common way to transmit false navigation signals, but when the target receiver contains two receiving antennas or spatial filtering technology, this spoofing method is ineffective. Therefore, we aim at the distributed spoofers that each antenna emits a false navigation signal, and point out that this sophisticated attack will become the development trend of navigation spoofing in the future. © Published under licence by IOP Publishing Ltd.</t>
  </si>
  <si>
    <t>Receiving antennas; Satellite antennas; Unmanned aerial vehicles (UAV); Aerospace technologies; Development trends; Distributed navigation; Global satellite navigation systems; Navigation signals; Normal operations; Spatial filterings; Global positioning system</t>
  </si>
  <si>
    <t>10.1088/1757-899X/685/1/012023</t>
  </si>
  <si>
    <t>https://www.scopus.com/inward/record.uri?eid=2-s2.0-85078229665&amp;doi=10.1088%2f1757-899X%2f685%2f1%2f012023&amp;partnerID=40&amp;md5=d718af0387f70933b1f28d8ed545ae96</t>
  </si>
  <si>
    <t>P505</t>
  </si>
  <si>
    <t>Jiménez, A.; Andrade, J.; Ogbu, I.T.; Dontas, I.; Capitán, C.; Oliveres, E.; Jia, H.; Kostaridis, A.</t>
  </si>
  <si>
    <t>GALILEO AND EGNOS AS AN ASSET FOR UTM SAFETY AND SECURITY</t>
  </si>
  <si>
    <t>GAUSS (Galileo-EGNOS as an Asset for UTM Safety and Security) is a H2020 project1 that aims at designing and developing high performance positioning systems for drones within the U-Space framework focusing on UAS (Unmanned Aircraft System) VLL (Very Low Level) operations. The key element within GAUSS is the integration and exploitation of Galileo and EGNOS exceptional features in terms of accuracy, integrity and security, which will be key assets for the safety of current and future drone operations. More concretely, high accuracy, authentication, precise timing (among others) are key GNSS (Global Navigation Satellite System) enablers of future integrated drone operations under UTM (UAS Traffic Management) operations, which in Europe will be deployed under U-Space [1]. The U-Space concept helps control, manage and integrate all UAS in the VLL airspace to ensure the security and efficiency of UAS operations. GAUSS will enable not only safe, timely and efficient operations but also coordination among a higher number of RPAS (Remotely Piloted Aircraft System) in the air with the appropriate levels of security, as it will improve anti-jamming and anti-spoofing capabilities through a multi-frequency and multi-constellation approach and Galileo authentication operations. The GAUSS system will be validated with two field trials in two different UTM real scenarios (inland and sea) with the operation of a minimum of four UTM coordinated UAS from different types (fixed and rotary wing), manoeuvrability and EASA (European Aviation Safety Agency) operational categories. The outcome of the project will consist of Galileo-EGNOS based technological solutions to enhance safety and security levels in both, current UAS and future UTM operations. Increased levels of efficiency, reliability, safety, and security in UAS operations are key enabling features to foster the EU UAS regulation, market development and full acceptance by the society. © 2019 FGM Events LLC. All rights reserved.</t>
  </si>
  <si>
    <t>Authentication; Drones; Fixed wings; Gaussian distribution; Global positioning system; 'current; GALILEO; Key elements; Management operation; Performance; Positioning system; Safety and securities; Systems operation; Traffic management; Unmanned aircraft system; Efficiency</t>
  </si>
  <si>
    <t>https://www.scopus.com/inward/record.uri?eid=2-s2.0-85126080859&amp;partnerID=40&amp;md5=b0b790e2810eda2ae7c9518bc066fd40</t>
  </si>
  <si>
    <t>P506</t>
  </si>
  <si>
    <t>Yu, J.; Cho, B.-M.; Park, K.-J.</t>
  </si>
  <si>
    <t>Detecting UAV attacks through network monitoring</t>
  </si>
  <si>
    <t>The use of unmanned aerial vehicle (UAV), or so-called drone, is increasing in various fields such as agriculture, commercial, and transportation. UAVs are controlled over the network by ground control system (GCS). However, UAVs controlled by the network are vulnerable to attacks such as DoS attack, GPS spoofing and so on. In this paper, we propose a UAV attack detection method through network monitoring. © 2019 The Vertical Flight Society. All rights reserved.</t>
  </si>
  <si>
    <t>Antennas; Commercial vehicles; Denial-of-service attack; Rock mechanics; Unmanned aerial vehicles (UAV); Attack detection; Ground control system; Network Monitoring; Aircraft detection</t>
  </si>
  <si>
    <t>https://www.scopus.com/inward/record.uri?eid=2-s2.0-85084012604&amp;partnerID=40&amp;md5=02311f019f1868706a0fd851f96fe843</t>
  </si>
  <si>
    <t>P507</t>
  </si>
  <si>
    <t>Abunada, A.H.; Osman, A.Y.; Khandakar, A.; Chowdhury, M.E.H.; Khattab, T.; Touati, F.</t>
  </si>
  <si>
    <t>Design and Implementation of a RF Based Anti-Drone System</t>
  </si>
  <si>
    <t>Drones or unmanned aerial vehicles are having an increased popularity in all fields of applications such as transportation, traffic monitoring, military surveillance etc. However, this technology can be used for destruction when it fall in the hands of criminal, who are using it for terrorist or unauthorized activities. There is a rising demand for anti-drone systems, which can detect and block their activities in order to make full use of the great advantages provided by this technology. The project aims to provide a systematic design of a drone detection mechanism using the RF control signal exchanged between the drone and its remote controller. The system generates a high-power jamming signal transmitted over the same carrier frequency and band of the detected drone and directed towards the drone location in order to disconnect it from its controller causing it to land safely or trigger a mechanism to return it to home. This system is designed to work only at 2.4 GHz band. © 2020 IEEE.</t>
  </si>
  <si>
    <t>Anti-Drone System; Jamming signal generation; RF Control signal; Aircraft detection; Antennas; Drones; Internet of things; Military applications; Military vehicles; Remote control; Carrier frequency; Design and implementations; Detection mechanism; Jamming signals; Military surveillance; Remote controllers; Systematic designs; Traffic monitoring; Aircraft control</t>
  </si>
  <si>
    <t>10.1109/ICIoT48696.2020.9089515</t>
  </si>
  <si>
    <t>https://www.scopus.com/inward/record.uri?eid=2-s2.0-85085474805&amp;doi=10.1109%2fICIoT48696.2020.9089515&amp;partnerID=40&amp;md5=27b7ed0816afc37599fc95b921414814</t>
  </si>
  <si>
    <t>P508</t>
  </si>
  <si>
    <t>Al-Turjman, F.; Abujubbeh, M.; Malekloo, A.; Mostarda, L.</t>
  </si>
  <si>
    <t>UAVs assessment in software-defined IoT networks: An overview</t>
  </si>
  <si>
    <t>The technological advancements in the ubiquitous IoT era and the ever-growing desire of communities to enforce smart cities with security and safety of user data as their priority, mini Unmanned Aerial Vehicles (UAVs), or drones, are perceived as a tool for raising living standards by meeting the requirements of societies. Traditionally in UAV communication links, meshed ad hoc networks were among the first options of connectivity. However, the increased demand for deploying multi-UAV networks necessitates the development of a more robust and more secure networking infrastructure. In this regard, Software-Defined Networking (SDN) paradigm has proved to be the better alternative for multi-UAV communication since it can offer flexible services for management and control owing to its unique features such as decoupling control from UAVs and network programmability. Therefore, in this paper, we provide an overview of drone applications in SDN-enabled Drone Base Stations (DBS), surveillance monitoring and emergency networks, and review the performance assessment techniques and the associated cybersecurity aspects in these applications. Moreover, future research directions, after a thorough analysis of the literature, is presented in this paper. Through the development of an innovative and multifaceted drone performance-assessment framework with the primal concerns, that are meeting user-defined requirements and the provision of secure and reliable services, it is, therefore, necessary to advance in IoT-enabled spaces. We believe the present work is a step in the right direction, and it is essential for fastening the movement toward UAV-enabled smart cities. © 2019 Elsevier B.V.</t>
  </si>
  <si>
    <t>Drones; Internet of Things; Performance assessment; Software defined networking; Ad hoc networks; Antennas; Drones; Internet of things; Smart city; Software defined networking; Decoupling controls; Emergency networks; Future research directions; Management and controls; Performance assessment; Software defined networking (SDN); Surveillance monitoring; Technological advancement; Network security</t>
  </si>
  <si>
    <t>10.1016/j.comcom.2019.12.004</t>
  </si>
  <si>
    <t>https://www.scopus.com/inward/record.uri?eid=2-s2.0-85076566291&amp;doi=10.1016%2fj.comcom.2019.12.004&amp;partnerID=40&amp;md5=a554ac8551cf2ff7e14890fea1a4bf5a</t>
  </si>
  <si>
    <t>P509</t>
  </si>
  <si>
    <t>Stamenkovich, J.; Maalolan, L.; Patterson, C.</t>
  </si>
  <si>
    <t>Formal Assurances for Autonomous Systems Without Verifying Application Software</t>
  </si>
  <si>
    <t>Our ability to ensure software correctness is especially challenged by autonomous systems. In particular, the use of artificial intelligence can cause unpredictable behavior when encountering situations that were not included in the training data. We describe an alternative to static analysis and conventional testing that monitors and enforces formally specified properties describing a system's physical state. All external inputs and outputs are monitored by multiple parallel automata synthesized from guards specified as linear temporal logic (LTL) formulas capturing application-specific correctness, safety, and liveness properties. Unlike conventional runtime verification, adding guards does not impact application software performance since the monitor automata are implemented in configurable hardware. In order to remove all dependencies on software, input/output controllers and drivers may also be implemented in configurable hardware. A reporting or corrective action may be taken when a guard is triggered. This architecture is consistent with the guidance prescribed in ASTM F3269-17, Methods to Safely Bound Behavior of Unmanned Aircraft Systems Containing Complex Functions. The monitor and input/output subsystem's minimal and isolated implementations are amenable to model checking since all components are independent finite state machines. Because this approach makes no assumptions about the root cause of deviation from specifications, it can detect and mitigate: malware threats; sensor and network attacks; software bugs; sensor, actuator and communication faults; and inadvertent or malicious operator errors. We demonstrate this approach with rules defining a virtual cage for a commercially available drone. © 2019 IEEE.</t>
  </si>
  <si>
    <t>Air navigation; Application programs; Artificial intelligence; Automata theory; Malware; Model checking; Robots; Static analysis; Temporal logic; Training aircraft; Unmanned aerial vehicles (UAV); Application specific; Configurable hardware; Conventional testing; Linear temporal logic; Liveness properties; Run-time verification; Software correctness; Unmanned aircraft system; Program debugging</t>
  </si>
  <si>
    <t>10.1109/REDUAS47371.2019.8999690</t>
  </si>
  <si>
    <t>https://www.scopus.com/inward/record.uri?eid=2-s2.0-85081219263&amp;doi=10.1109%2fREDUAS47371.2019.8999690&amp;partnerID=40&amp;md5=b17af67f544d237f80c9f1b0ba80d9fd</t>
  </si>
  <si>
    <t>P51</t>
  </si>
  <si>
    <t>Yapicioglu, C.; Demirci, M.; Akcayol, M.A.</t>
  </si>
  <si>
    <t>Real Time Malicious Drone Detection Using Deep Learning on FANETs</t>
  </si>
  <si>
    <t>Unmanned aerial vehicles, especially drones, are increasingly used for transportation, communication and military purposes. Using only one drone to accomplish a mission leads to a solution that is costly and has low error tolerance. For this reason, a network structure called Flying Ad-Hoc Networks (FANET) organize drones with a task sharing mechanism to lower cost. However, these networks remain vulnerable to various attacks due to vulnerabilities such as the use of civilian drones, use of unencrypted GPS signals, physical attacks using malicious drones, etc. Solutions to these attacks should consider the limited memory and calculation capabilities of drones. In this study, drone detection and subsequent classification of malicious drones, which are potential sources of man-in-the-middle or physical attacks, were implemented based on real images that can be captured by the drone camera. You Only Look Once (YOLO) detection algorithm was used in the drone detection phase and a Convolutional Neural Network model was used in the classification phase. In the study, a dataset consisting of 4 classes (Yuneec Typhon, DJI Tello, DJI Phantom 4 and Other) was created using internet resources and YouTube videos, and the classification success was measured as 88.78 %.  © 2024 IEEE.</t>
  </si>
  <si>
    <t>CNN; Computer Vision; Deep learning; Drone Networks; FANET; image processing; Object Detection; Ad hoc networks; Aircraft communication; Aircraft detection; Convolutional neural networks; Deep learning; Network security; Target drones; Ad-hoc networks; Aerial vehicle; Deep learning; Drone network; Errors tolerance; Flying ad-hoc network; Images processing; Objects detection; Physical attacks; Real- time; Drones</t>
  </si>
  <si>
    <t>10.1109/BlackSeaCom61746.2024.10646316</t>
  </si>
  <si>
    <t>https://www.scopus.com/inward/record.uri?eid=2-s2.0-85203821562&amp;doi=10.1109%2fBlackSeaCom61746.2024.10646316&amp;partnerID=40&amp;md5=b5da43941d68965713420bd4e3a73f33</t>
  </si>
  <si>
    <t>P510</t>
  </si>
  <si>
    <t>Apakan, A.E.; Giardullo, C.</t>
  </si>
  <si>
    <t>Uavs for the benefit of people: The use of unmanned aerial vehicles within the osce special monitoring mission</t>
  </si>
  <si>
    <t>This article explores the adoption of drones by the Organization for Security and Co-operation in Europe’s (OSCE’s) Special Monitoring Mission (SMM) to Ukraine, a first time for the organization, to overcome the impediments imposed by the sides to its monitoring of the security situation in Eastern Ukraine. This article begins by tracing back the origin of the SMM drone program and the challenges posed by jamming, shooting, and the presence of unmanned aerial vehicles (UAVs) belonging to conflicting parties. This article then highlights the contributions made in direct benefit to the resi-dents of the conflict-affected regions, mainly providing critical information for the repair works conducted along the line of contact and by increasing awareness of the security risks nearby entry-exit checkpoints and civilian buildings. The article concludes that a more systematic and coordinated sharing of drones’ images with specific international partners, complements. © 2020 by Johns Hopkins University Press.</t>
  </si>
  <si>
    <t>Ukraine; aerial survey; image analysis; national security; remote sensing; security threat; technology adoption; unmanned vehicle</t>
  </si>
  <si>
    <t>https://www.scopus.com/inward/record.uri?eid=2-s2.0-85084677959&amp;partnerID=40&amp;md5=38d66027dcba04ea3827f533383277ab</t>
  </si>
  <si>
    <t>P511</t>
  </si>
  <si>
    <t>Schwalb, E.; Schwalb, J.</t>
  </si>
  <si>
    <t>Improving redundancy and safety of UTM by leveraging multiple UASs</t>
  </si>
  <si>
    <t>Reliability is one key challenge facing safe widespread integration of UASs within uncontrolled airspaces. We apply system engineering methods to airspace management to explore architectures and operational concepts which can compensate for partial failures and bridge the reliability gap. Our exploration leads to an operational approach which leverages multiple UASs to achieve redundancies. We employ simulation to demonstrate the benefits of operating single-file platoons over fixed routes, in the context of the NASA UAS Traffic Management (UTM). We show that it is possible to simultaneously reduce impact of localization errors, achieve better resilience under degraded communications, gracefully remove from airspace UAS compromised by cyber attacks, improve conflict management and increase airspace capacity. Our multi-agent airspace simulation improves realism using Firmware In the Loop (FITL), Intent Control Loop (ICL) and of execution contingencies as concurrent high priority activities.UTM, Systems Engineering, Contingencies, Platoons, Denied GPS, Degraded Communications, Cyber Attacks, Simulation, Firmware Modeling, Intent Modeling. © 2019 IEEE.</t>
  </si>
  <si>
    <t>Air traffic control; Bridges; Computer crime; Concurrency control; Crime; Firmware; NASA; Network security; Redundancy; Systems engineering; Unmanned aerial vehicles (UAV); Airspace capacity; Airspace management; Conflict management; Engineering methods; Localization errors; Operational concepts; Partial failure; Traffic management; Multi agent systems</t>
  </si>
  <si>
    <t>10.1109/ICUAS.2019.8798072</t>
  </si>
  <si>
    <t>https://www.scopus.com/inward/record.uri?eid=2-s2.0-85071882407&amp;doi=10.1109%2fICUAS.2019.8798072&amp;partnerID=40&amp;md5=418c20281ac0cf7ab438d659944b6862</t>
  </si>
  <si>
    <t>P512</t>
  </si>
  <si>
    <t>Lykou, G.; Moustakas, D.; Gritzalis, D.</t>
  </si>
  <si>
    <t>Defending airports from uas: A survey on cyber‐ attacks and counter‐drone sensing technologies</t>
  </si>
  <si>
    <t>As the fastest growing segment of aviation, unmanned aerial systems (UAS) continue to increase in number, technical complexity and capabilities. Numerous civilian and commercial uses are drastically transforming civil protection, asset delivery, commercial and entertaining activities. However, UAS pose significant challenges in terms of safety, security and privacy within society. An increasing phenomenon, nowadays, is drone‐related incidents near airport facilities, which are expected to proliferate in frequency, complexity and severity, as drones become larger and more powerful. Critical infrastructures need to be protected from such aerial attacks, through effective counteracting technologies, risk management and resilience plans. In this paper, we present a survey of drone incidents near airports and a literature review of sensor technologies, able to prevent, detect, identify and mitigate rogue drones. We exhibit the benefits and limitations of available counter‐drone technologies (C‐UAS); however, defending airports against misused drone activity is a hard problem. Therefore, we analyze three realistic attack scenarios from malicious drones and propose an effective C‐UAS protection plan for each case. We discuss applicability limitations of C‐UAS in the aviation context and propose a resilience action plan for airport stakeholders for defending against airborne threats from misused drones. © 2020 by the authors. Licensee MDPI, Basel, Switzerland.</t>
  </si>
  <si>
    <t>Airport resilience; Counter unmanned aerial systems (C‐UAS); Critical infrastructure protection; Cyber‐physical systems; Drones; Sensing technologies; Sensors; Unmanned aerial vehicles (UAV); Aircraft accidents; Antennas; Drones; Risk management; Surveys; Airport facilities; Civil protection; Literature reviews; Security and privacy; Sensing technology; Sensor technologies; Technical complexity; Unmanned aerial systems; Airports</t>
  </si>
  <si>
    <t>10.3390/s20123537</t>
  </si>
  <si>
    <t>https://www.scopus.com/inward/record.uri?eid=2-s2.0-85087099948&amp;doi=10.3390%2fs20123537&amp;partnerID=40&amp;md5=934210673096ec91d034652979561efd</t>
  </si>
  <si>
    <t>P513</t>
  </si>
  <si>
    <t>Siddappaji, B.; Akhilesh, K.B.</t>
  </si>
  <si>
    <t>Role of Cyber Security in Drone Technology</t>
  </si>
  <si>
    <t>Drones or Unmanned Aerial Vehicles are cyber-physical systems (CPS) meaning an integration of computation, networking, and physical processes. The main technology components of drones are physical structural airframe, propulsion system, embedded computing systems (ECS) such as ground control station (GCS), autopilot system, virtual radio link, multiple payloads, launch and recovery system. Drones systems are reliant on virtual cyber network and embedded computational system for their operation. Cyber security is meant for protecting technologies and processes. An attacker may misuse or manipulate the sensor input or functions, or he may simply disable them to cause denial of service attacks and make unwanted failsafe mechanisms. The drone has been identified as vulnerable to cyber-attacks because of their uniqueness of network and dispersed physical systems located in remote places and because of the cyber-attacks which can result in the defective operation of the control loop, denial of service, destruction and exfiltration, and information corruption. Hence, two important concerns need to be addressed for drones are cyber airworthiness safety and cyber reliability as well as security. In this paper, recent attack and failure of drones, drone network architecture, cyber security is introduced. Role of cyber security, standards, challenges, and requirements are presented. © Springer Nature Singapore Pte Ltd. 2020.</t>
  </si>
  <si>
    <t>Cyber security regulations; Cyber-attacks; Cyber-physical systems; Digital platform; Drone; Network architecture; Standards</t>
  </si>
  <si>
    <t>10.1007/978-981-13-7139-4_13</t>
  </si>
  <si>
    <t>https://www.scopus.com/inward/record.uri?eid=2-s2.0-85150565834&amp;doi=10.1007%2f978-981-13-7139-4_13&amp;partnerID=40&amp;md5=2f4b1e83ce8d4fd707893544976c7038</t>
  </si>
  <si>
    <t>P514</t>
  </si>
  <si>
    <t>Yaacoub, J.-P.; Noura, H.; Salman, O.; Chehab, A.</t>
  </si>
  <si>
    <t>Security analysis of drones systems: Attacks, limitations, and recommendations</t>
  </si>
  <si>
    <t>Recently, the world witnessed a significant increase in the number of used drones, with a global and continuous rise in the demand for their multi-purpose applications. The pervasive aspect of these drones is due to their ability to answer people's needs. Drones are providing users with a bird's eye that can be activated and used almost anywhere and at any time. However, recently, the malicious use of drones began to emerge among criminals and cyber-criminals alike. The probability and frequency of these attacks are both high and their impact can be very dangerous with devastating effects. Therefore, the need for detective, protective and preventive counter-measures is highly required. The aim of this survey is to investigate the emerging threats of using drones in cyber-attacks, along the countermeasures to thwart these attacks. The different uses of drones for malicious purposes are also reviewed, along the possible detection methods. As such, this paper analyzes the exploitation of drones vulnerabilities within communication links, as well as smart devices and hardware, including smart-phones and tablets. Moreover, this paper presents a detailed review on the drone/Unmanned Aerial Vehicle (UAV) usage in multiple domains (i.e civilian, military, terrorism, etc.) and for different purposes. A realistic attack scenario is also presented, which details how the authors performed a simulated attack on a given drone following the hacking cycle. This review would greatly help ethical hackers to understand the existing vulnerabilities of UAVs in both military and civilian domains. Moreover, it allows them to adopt and come up with new techniques and technologies for enhanced UAV attack detection and protection. As a result, various civilian and military anti-drones/UAVs (detective and preventive) countermeasures will be reviewed. © 2020 Elsevier B.V.</t>
  </si>
  <si>
    <t>Armed drones; Drone/UAV warfare; Drones attacks; Drones forensics; Drones security; Drones security countermeasures techniques; Drones threats and vulnerabilities; Terrorism/counter-Terrorism; UAS; UAV; UUV</t>
  </si>
  <si>
    <t>10.1016/j.iot.2020.100218</t>
  </si>
  <si>
    <t>https://www.scopus.com/inward/record.uri?eid=2-s2.0-85114829025&amp;doi=10.1016%2fj.iot.2020.100218&amp;partnerID=40&amp;md5=dcdd55ac649594a6bbc0455006de3618</t>
  </si>
  <si>
    <t>P515</t>
  </si>
  <si>
    <t>Rajashekar, S.C.; Tourani, R.; Gururajan, S.</t>
  </si>
  <si>
    <t>Secure communications in unmanned aerial system swarms</t>
  </si>
  <si>
    <t>Drones or Unmanned Aerial Systems (UAS) are being used widely for various applications in the civilian, academic, industrial, and military settings, mainly due to their low cost, versatility, and ease of use. This is only expected to increase with a wider regulatory acceptance of their operations in the National Airspace System (NAS) in the near future. While their wide availability is a significant advantage, they also carry vulnerabilities to cyber-attacks, potentially compromising their missions and safety. In this paper, we explore a method of securing UAS communications to address such a vulnerability. Our approach is to apply techniques based on Ciphertext Policy Attribute-Based Encryption (CP-ABE) cryptosystem. In this effort, UAS are distinguished between each other based on their configuration and payload. For instance, distinguishing attributes that were considered included membership in a particular team (Blue/Red team), a serial identifier within that team (Unit 1, etc.), and the presence or absence of a particular payload (camera or microphone). Tests were conducted by issuing a voice command to a central computer, which converted the commands into text and subsequently sent to all the drones in the setup. The response of the appropriate drone to the command that were intended to it was successfully demonstrated. Additionally, the cost of the encryption was also measured in terms of CPU execution time and memory usage. Performance analysis of encryption and decryption indicated that it mainly depends on the complexity of the access policy and the size of the data being encrypted or decrypted. © 2020, American Institute of Aeronautics and Astronautics Inc, AIAA. All rights reserved.</t>
  </si>
  <si>
    <t>Antennas; Aviation; Costs; Drones; Military applications; Network security; Access policies; Ciphertext-policy attribute-based encryptions; CPU execution time; Encryption and decryption; National airspace system; Performance analysis; Unmanned aerial systems; Voice command; Cryptography</t>
  </si>
  <si>
    <t>10.2514/6.2020-2926</t>
  </si>
  <si>
    <t>https://www.scopus.com/inward/record.uri?eid=2-s2.0-85092801353&amp;doi=10.2514%2f6.2020-2926&amp;partnerID=40&amp;md5=cd2ebe3fbb86c74314f96906b9474ea9</t>
  </si>
  <si>
    <t>P516</t>
  </si>
  <si>
    <t>Moustafa, N.; Jolfaei, A.</t>
  </si>
  <si>
    <t>Autonomous detection of malicious events using machine learning models in drone networks</t>
  </si>
  <si>
    <t>Drone systems, the so-called Unmanned Autonomous Vehicles (UAVs), have been widely employed in military and civilian sectors. Drone systems have been used for cyber warfare, warfighting and surveillance purposes of modern military and civilian applications. However, they have increasingly suffered from sophisticated malicious activities that exploit their vulnerabilities through network communications. As drones comprise a complex infrastructure as piloted aircraft but without operators, they still need a reliable security control to assert their safe operations. This paper proposes an autonomous intrusion detection scheme for discovering advanced and sophisticated cyberattacks that exploit drone networks. A testbed was configured to launch malicious events against a drone network for collecting legitimate and malicious observations and evaluate the performances of machine learning in real-time. Machine learning algorithms, including decision tree, k-nearest neighbors, naive Bayes, support vector machine and deep learning multi-layer perceptron, were trained and evaluated using the data collections, with promising results in terms of detection accuracy, false alarm rates, and processing times. © 2020 Association for Computing Machinery.</t>
  </si>
  <si>
    <t>Drones; Intrusion detection; Machine and deep learning algorithms; Network systems; 5G mobile communication systems; Decision trees; Deep learning; Drones; Intrusion detection; Learning algorithms; Learning systems; Military applications; Military vehicles; Multilayer neural networks; Nearest neighbor search; Support vector machines; Trees (mathematics); Autonomous detection; Complex infrastructures; Intrusion detection scheme; Machine learning models; Malicious activities; Multi layer perceptron; Network communications; Unmanned autonomous vehicles; Aircraft detection</t>
  </si>
  <si>
    <t>10.1145/3414045.3415951</t>
  </si>
  <si>
    <t>https://www.scopus.com/inward/record.uri?eid=2-s2.0-85097130044&amp;doi=10.1145%2f3414045.3415951&amp;partnerID=40&amp;md5=1d63c9d89199cf8dfff17a26e58bf4cd</t>
  </si>
  <si>
    <t>P517</t>
  </si>
  <si>
    <t>Minucci, F.; Vinogradov, E.; Sallouha, H.; Pollin, S.</t>
  </si>
  <si>
    <t>UAV Location Broadcasting with Wi-Fi SSID</t>
  </si>
  <si>
    <t>To enable widespread and safe use of drone technologies, it is fundamental to design sense and avoid solutions with low-cost and reliable performance. To this end, broadcasting the drone location and speed is an essential safety requirement. This paper presents a method to broadcast short messages within the SSID of a Wi-Fi network. As a relevant example, we propose to use such messages to broadcast the position and speed of UAVs in a fashion that resembles the ADS-B used in Airplanes. Unlike the existing sense and avoid methods, our approach provides two main advantages. Firstly, it operates in a broadcast manner, meaning that no delay is imposed by establishing a connection. Secondly, no custom hardware is required. Nonetheless, a tradeoff must be made between spending time broadcasting messages and data communication using an actual Wi-Fi connection. Therefore, we introduce a practical broadcast and receive protocol which improves receiving reliability and robustness against jamming. To validate our approach, extensive measurements of broadcast delivery rates have been conducted for multiple broadcasting strategies and the results are presented. © 2019 IEEE.</t>
  </si>
  <si>
    <t>location broadcasting; sense; SSID; Unmanned aerial vehicle (UAV); Wi-Fi; Broadcasting; Drones; Location; Unmanned aerial vehicles (UAV); Wireless local area networks (WLAN); Custom hardwares; Data-communication; Essential Safety Requirements; Low cost and reliable; Reliability and robustness; sense; SSID; Wi-Fi connections; Wi-Fi</t>
  </si>
  <si>
    <t>10.1109/WD.2019.8734208</t>
  </si>
  <si>
    <t>https://www.scopus.com/inward/record.uri?eid=2-s2.0-85068543333&amp;doi=10.1109%2fWD.2019.8734208&amp;partnerID=40&amp;md5=948240bf2b65900d7de7b3024adfadc7</t>
  </si>
  <si>
    <t>P518</t>
  </si>
  <si>
    <t>Rawat, K.S.; Asthana, C.B.</t>
  </si>
  <si>
    <t>Students in engineering design process and applied research</t>
  </si>
  <si>
    <t>The overarching goal of Elizabeth City State University's (ECSU's) Drone Exploration Academy is to capitalize on the increasing popularity of unmanned aerial vehicles (UAVs), commonly known as Drones, to spark student interest and provide an experiential learning opportunity (ELO) in science, technology, engineering, and mathematics (STEM). Drones, which have become a popular recreational tool among youth, are ideal platforms with enormous scientific value for engaging students in hands-on, inquiry-based learning to develop science and math skills, thereby focusing on the importance of these skills to succeed in college. The Drone Exploration Academy curriculum included at its core the drone design and build, sensor/payload, programming, and piloting to conduct a field-based scientific investigation. The learning activities were carefully designed to meet the Next Generation Science Standards and the North Carolina Standard Course of Study for Science and Mathematics. The Drone Exploration Academy served eighty-three (83) high school students, with 59.04% Male and 40.96% Female participants. The participants received approximately forty (40) hours of hands-on STEM learning. Approximately, 60% of student participants were from underrepresented groups in STEM. Project evaluation data was gathered through Student Feedback Surveys, Dimensions of Success (DoS) Observation tool, and pre/post topic self-efficacy questionnaire. © American Society for Engineering Education 2020.</t>
  </si>
  <si>
    <t>Antennas; Drones; Engineering education; Project management; Students; Surveys; Engineering design process; Experiential learning; High school students; Inquiry-based learning; Project evaluation; Science , technology , engineering , and mathematics; Scientific investigation; Under-represented groups; STEM (science, technology, engineering and mathematics)</t>
  </si>
  <si>
    <t>https://www.scopus.com/inward/record.uri?eid=2-s2.0-85095794845&amp;partnerID=40&amp;md5=cdb3cef2436e549d2583c5c9e8a8e954</t>
  </si>
  <si>
    <t>P519</t>
  </si>
  <si>
    <t>Surma, C.C.; Barczyk, M.</t>
  </si>
  <si>
    <t>Linear model predictive control for vision-based UAV pursuit</t>
  </si>
  <si>
    <t>This article develops and implements a vision-based unmanned aerial vehicle (UAV)-to-UAV pursuit system using a commercial off-the-shelf Parrot AR.Drone 2.0 quadrotor. This technology is intended as a countermeasure to rogue drones carrying out activities such as flying in restricted airspace, performing unauthorized aerial videography, transporting contraband and other criminal activities, or being used as improvised weapons. The proposed approach offers benefits over other current solutions, such as wide-area radio-frequency jamming that interferes with regular communication devices or high-energy military laser systems that are expensive and time consuming to set up. A linear dynamics model of the AR.Drone 2.0 vehicle stabilized by its onboard feedback control system is derived, and its parameters are experimentally identified. A linear model predictive control is developed to track specified flight trajectories, then implemented and validated in hardware flight tests. Detection and ranging of the target UAV from the pursuer UAV’s onboard monocular camera are performed using the YOLO v2 convolutional neural network algorithm. The combined control and vision design is implemented in hardware and tested quantitatively in flight experiments. © 2020, Canadian Science Publishing. All rights reserved.</t>
  </si>
  <si>
    <t>Computer vision; Detection; Following; Linear model predictive control; Modeling; UAVs; Adaptive control systems; Aircraft detection; Antennas; Closed loop control systems; Commercial vehicles; Convolutional neural networks; Drones; Feedback control; Flight control systems; Video recording; Combined control; Communication device; Criminal activities; Flight experiments; Flight trajectory; Military laser systems; Monocular cameras; Radio frequencies; Model predictive control</t>
  </si>
  <si>
    <t>10.1139/juvs-2020-0016</t>
  </si>
  <si>
    <t>https://www.scopus.com/inward/record.uri?eid=2-s2.0-85096897515&amp;doi=10.1139%2fjuvs-2020-0016&amp;partnerID=40&amp;md5=6e3150379317aa536120ab18bfaa428d</t>
  </si>
  <si>
    <t>P52</t>
  </si>
  <si>
    <t>Adel, A.; Alani, N.H.S.; Whiteside, S.T.; Jan, T.</t>
  </si>
  <si>
    <t>Who is Watching Whom? Military and Civilian Drone: Vision Intelligence Investigation and Recommendations</t>
  </si>
  <si>
    <t>In recent years, there has been a marked increase in the use of drones, with a global surge in the demand for diverse applications. This widespread adoption is largely due to drones' ability to meet various user needs, offering an aerial perspective that can be utilized almost anywhere and at any time. However, the rise in drone usage has also resulted in an increase in malicious use by criminals and cybercriminals. These malicious activities are not only frequent but also potentially harmful, necessitating effective measures for detection, protection, and prevention. This survey aimed to explore the emerging threats posed by drones in cyber-attacks and countermeasures designed to thwart these attacks. It reviews various malicious uses of drones and the possible methods for their detection. Specifically, this study examines vulnerabilities in drone communication links and smart devices, including smartphones and tablets. In addition, it provides a comprehensive review of drone/UAV usage across multiple domains, such as civilian and military activities, highlighting their purposes. A realistic attack scenario is presented, detailing a simulated attack on a drone following a hacking cycle. This review is intended to assist security professionals in understanding the existing vulnerabilities of UAVs in both military and civilian contexts. Furthermore, it aims to inspire the development of new techniques and technologies for enhanced UAV attack detection and protection. As a result, the paper also reviews various civilian and military countermeasures for detecting and preventing drone/UAV threats. This survey differentiates itself by offering a holistic view of drone security, mapping each type of attack onto the corresponding defense mechanisms. It provides a comprehensive review that can serve as a valuable resource for future drone engineers and researchers, helping them to understand the landscape of drone security and develop more effective countermeasures.  © 2013 IEEE.</t>
  </si>
  <si>
    <t>Drones Attacks; Drones Forensics; Drones Security; Drones Vulnerabilities; UAV; Aircraft detection; Crime; Cyber attacks; Military communications; Radar countermeasures; Target drones; Cyber-attacks; Cybercriminals; Diverse applications; Drone attack; Drone forensic; Drone security; Drone vulnerability; Effective measures; Malicious activities; User need; Drones</t>
  </si>
  <si>
    <t>10.1109/ACCESS.2024.3505034</t>
  </si>
  <si>
    <t>https://www.scopus.com/inward/record.uri?eid=2-s2.0-85210280023&amp;doi=10.1109%2fACCESS.2024.3505034&amp;partnerID=40&amp;md5=ede3f851d73e4cb30be33a38c086be4e</t>
  </si>
  <si>
    <t>P520</t>
  </si>
  <si>
    <t>Motwani, S.</t>
  </si>
  <si>
    <t>Tactical Drone for Point-to-Point data delivery using Laser-Visible Light Communication (L-VLC)</t>
  </si>
  <si>
    <t>Delivery of sensitive data between military bases near critical zones is a crucial task. Currently, it is done either through wireless modes such as the internet or radio-frequency; or in-person. But these have problems such as data-breach, unaddressed-access and delay. In order to address this, the paper proposes the use of tactical drones and Laser-based Visible Light Communication (L-VLC). The idea is to control the drone from data source, upload it with encrypted confidential data, fly it to near the destination and deliver data to the end node without landing; returning to the source thereafter. A lot of investment is already being done on Unmanned Aerial Systems (UAS) for military applications such as surveillance and logistics. The use of L-VLC not only brings additional functionality to the current investments but also resolves this major problem, along with increased security, reduced delay and an environment-friendly approach. Due to its Point-to-Point data delivery mechanism, it ensures end-node delivery with instant acknowledgment. The paper also contains some basic theoretical analysis of specifications for the drone, memory element, L-VLC transmitter and receiver; to be used for this purpose. However, a complex mathematical analysis on the detailed simulation parameters is kept for the further study on the method. The future scope of the related technologies such as Drone-as-a-Service, improving drone control system security, multi-drone L-VLC network are also briefly touched.  © 2020 IEEE.</t>
  </si>
  <si>
    <t>Drone; Drone-as-a-Service (DaaS).; Light Fidelity (LiFi); Point-to-Point Communication; Unmanned Aerial Vehicle (UAV); Visible Light Communication (VLC); Aircraft control; Antennas; Data privacy; Drones; Light; Military applications; Network security; Confidential data; Control system security; Environment friendly; Mathematical analysis; Radio frequencies; Simulation parameters; Transmitter and receiver; Unmanned aerial systems; Visible light communication</t>
  </si>
  <si>
    <t>10.1109/CommNet49926.2020.9199639</t>
  </si>
  <si>
    <t>https://www.scopus.com/inward/record.uri?eid=2-s2.0-85093686763&amp;doi=10.1109%2fCommNet49926.2020.9199639&amp;partnerID=40&amp;md5=0814fb12fdd5003812f38cbe6700210b</t>
  </si>
  <si>
    <t>P521</t>
  </si>
  <si>
    <t>Doer, C.; Koenig, R.; Trommer, G.F.; Stumpf, E.</t>
  </si>
  <si>
    <t>Radar Based Autonomous Precision Takeoff and Landing System for VTOLs in GNSS Denied Environments</t>
  </si>
  <si>
    <t>Current research on Vertical Takeoff and Landing Vehicles (VTOLs) like urban air mobility, parcel delivery, search and rescue or human aid require precise autonomous takeoff and landing systems. Safe and reliable flight operations have to be ensured even for challenging conditions like fog, night or direct sunlight. In addition, robust, low-cost and low-maintenance infrastructure is required. Since using the Global Navigation Satellite System (GNSS) is not reliable in particular close to landing areas due to multi path errors or jamming, an GNSS denied navigation technique is required.This paper presents a radar based autonomous takeoff and landing system for VTOLs. The localization system requires only passive radar reflectors on the ground. A standard automotive radar, as used for driver assistance systems, is applied for detection. Fusion with an Inertial Measurement Unit (IMU) further improves the localization accuracy. A dedicated landing platform is developed along with a flight guidance such that autonomous precision takeoff and landing can be conducted.Our system has been tested in extensive flight experiments. Indoor flight experiments proved the overall system performance even with bad visual conditions which we simulated with a fog machine. The system achieved a high localization accuracy with a mean absolute error below 0.1 m. All test flights resulted in a successful landing in the center of our landing platform. © 2020 IEEE.</t>
  </si>
  <si>
    <t>Automobile drivers; Automotive radar; Costs; Global positioning system; Takeoff; Unmanned aerial vehicles (UAV); Driver assistance system; Global Navigation Satellite Systems; Inertial measurement unit; Localization accuracy; Localization system; Mean absolute error; Navigation techniques; Vertical take-off and landings; Landing</t>
  </si>
  <si>
    <t>10.1109/ICUAS48674.2020.9213925</t>
  </si>
  <si>
    <t>https://www.scopus.com/inward/record.uri?eid=2-s2.0-85094967160&amp;doi=10.1109%2fICUAS48674.2020.9213925&amp;partnerID=40&amp;md5=2b1e339ca0cf7775ed6e3fae447a1d3c</t>
  </si>
  <si>
    <t>P522</t>
  </si>
  <si>
    <t>Bazarkina, D.</t>
  </si>
  <si>
    <t>The threat of using advanced technologies by terrorists: Psychological aspect</t>
  </si>
  <si>
    <t>The development of advanced technologies significantly increases their availability for a wide range of potentially dangerous subjects of world politics (organized criminal groups, mercenaries, terrorist organizations). Terrorist propaganda adapts to the expectations of the target audience—an important part of which, for terrorist groups, are potential and real recruits. For example, to recruit young people into its ranks, the German-language magazine Kybernetiq was launched. In addition to instructions on how to bypass the blocking of propaganda messages, it published an ideologically verified story in the genre of science fiction. Not least, for recruitment, the terrorists publish materials aimed at developing a more “high-tech” image of a terrorist, which combines the traits of a fanatic and, for example, a skilled hacker. These phenomena may serve as a prologue to a new, much more dangerous phase of terrorist activity, in which terrorist attacks can become much more destructive and in which their perpetrators (who will operate at a distance with the help of the advanced technology), will be extremely difficult to detect. In preparing this paper, qualitative research methods have become a priority. We used the method of case studies. The method of scenario analysis was partially used to predict possible threats to psychological security arising from terrorist organizations as advanced technologies become cheaper and more widespread. The central point of the paper is the analysis of the use of the image of advanced technologies in terrorist propaganda. However, in order to fully understand the nature of the threat, some real cases of terrorists using such advanced technologies as unmanned aerial vehicles, computer viruses, “big data” monitoring tools, etc., have been studied. Special reference is given to the malicious use of artificial intelligence. The documented use of social media monitoring tools, cryptography programs and drones by terrorists suggests that once new technologies become widely available to the consumer, terrorists will also be able to use them. In addition “risk groups” for terrorist recruitment: young people who are passionate about technology; ICT professionals; a wide audience of people interested in both political issues and advanced technologies, including artificial intelligence. © ECIAIR 2020.All right reserved.</t>
  </si>
  <si>
    <t>Advanced technologies; Artificial intelligence; Communication; Psychological warfare; Terrorism; Agricultural robots; Antennas; Computer viruses; Personal computing; Robotics; Unmanned aerial vehicles (UAV); Advanced technology; Psychological Aspects; Qualitative research methods; Scenario analysis; Social media monitoring; Terrorist activities; Terrorist attacks; Terrorist organization; Terrorism</t>
  </si>
  <si>
    <t>10.34190/EAIR.20.026</t>
  </si>
  <si>
    <t>https://www.scopus.com/inward/record.uri?eid=2-s2.0-85097852697&amp;doi=10.34190%2fEAIR.20.026&amp;partnerID=40&amp;md5=6cfcd81736f05215540bc175d6e5653d</t>
  </si>
  <si>
    <t>P523</t>
  </si>
  <si>
    <t>Ortiz-Sanz, J.; Gil-Docampo, M.; Arza-García, M.; Cañas-Guerrero, I.</t>
  </si>
  <si>
    <t>IR thermography from UAVs to monitor thermal anomalies in the envelopes of traditional wine cellars: Field test</t>
  </si>
  <si>
    <t>Infrared thermography (IRT) techniques for building inspection are currently becoming increasingly popular as non-destructive methods that provide valuable information about surface temperature (ST) and ST contrast (delta-T). With the advent of unmanned aerial vehicle (UAV)-mounted thermal cameras, IRT technology is now endowed with improved flexibility from an aerial perspective for the study of building envelopes. A case study cellar in Northwest (NW) Spain is used to assess the capability and reliability of low-altitude passive IRT in evaluating a typical semi-buried building. The study comparatively assesses the use of a pole-mounted FLIR B335 camera and a drone-mounted FLIR Vue Pro R camera for this purpose. Both tested IRT systems demonstrate good effectiveness in detecting thermal anomalies (e.g., thermal bridges, air leakages, constructive singularities, and moisture in the walls of the cellar) but pose some diffculties in performing accurate ST measurements under real operating conditions. Working with UAVs gives great flexibility for the inspection, but the angle of view strongly influences the radiometric data captured and must be taken into account to avoid disturbances due to specular reflections. © 2019 by the authors.</t>
  </si>
  <si>
    <t>Cellar; Drone; Heat leaks; Infrared thermography; Thermal bridges; Thermal inspection; UAS; Wine maturation; Winery; Cameras; Drones; Inspection; Nondestructive examination; Thermography (imaging); Wine; Cellar; Heat leaks; Thermal bridge; Thermal inspection; Wine maturation; Winery; Antennas</t>
  </si>
  <si>
    <t>10.3390/rs11121424</t>
  </si>
  <si>
    <t>https://www.scopus.com/inward/record.uri?eid=2-s2.0-85068184967&amp;doi=10.3390%2frs11121424&amp;partnerID=40&amp;md5=d05425db98aef2e2d7c4b0b54fe4dbf1</t>
  </si>
  <si>
    <t>P524</t>
  </si>
  <si>
    <t>Pojsomphong, N.; Visoottiviseth, V.; Sawangphol, W.; Khurat, A.; Kashihara, S.; Fall, D.</t>
  </si>
  <si>
    <t>Investigation of Drone Vulnerability and its Countermeasure</t>
  </si>
  <si>
    <t>Drones or Unmanned Aerial Vehicle (UAVs) benefits for many activities from a hobby to military tasks. The drone is a sensitive vehicle because it contains delicate data of its communication as well as the system program. The price of drone is various from low to high. Hence, it is one of factors which encourage people to engage with drones. In addition, vulnerability about wireless network can be easily invasive due to low cost and uncomplicated attacking process. In this paper, we present investigation of wireless network vulnerability of drones including propose countermeasure policies for customers and vendors for preventing bad situation from an attacker. Moreover, we discuss a conclusion table for four different drones about its basic wireless network information as well as their vulnerabilities. © 2020 IEEE.</t>
  </si>
  <si>
    <t>Drones; Penetration Testing; Security Vulnerability; Unmanned Aerial Vehicle; Antennas; Industrial electronics; Military vehicles; Network security; Wireless networks; Low costs; Low-to-high; Network information; Network vulnerability; Drones</t>
  </si>
  <si>
    <t>10.1109/ISCAIE47305.2020.9108835</t>
  </si>
  <si>
    <t>https://www.scopus.com/inward/record.uri?eid=2-s2.0-85086635256&amp;doi=10.1109%2fISCAIE47305.2020.9108835&amp;partnerID=40&amp;md5=df862da5b1653db48645463e0f6521ed</t>
  </si>
  <si>
    <t>P525</t>
  </si>
  <si>
    <t>Sethuraman, S.C.; Vijayakumar, V.; Walczak, S.</t>
  </si>
  <si>
    <t>Cyber Attacks on Healthcare Devices Using Unmanned Aerial Vehicles</t>
  </si>
  <si>
    <t>The growing use of wireless technology in healthcare systems and devices makes these systems particularly open to cyber-based attacks, including denial of service and information theft via sniffing (eaves-dropping) and phishing attacks. Evolving technology enables wireless healthcare systems to communicate over longer ranges, which opens them up to greater numbers of possible threats. Unmanned aerial vehicles (UAV) or drones present a new and evolving attack surface for compromising wireless healthcare systems. An enumeration of the types of wireless attacks capable via drones are presented, including two new types of cyber threats: a stepping stone attack and a cloud-enabled attack. A real UAV is developed to test and demonstrate the vulnerabilities of healthcare systems to this new threat vector. The UAV successfully attacked a simulated smart hospital environment and also a small collection of wearable healthcare sensors. Compromise of wearable or implanted medical devices can lead to increased morbidity and mortality. © 2019, Springer Science+Business Media, LLC, part of Springer Nature.</t>
  </si>
  <si>
    <t>Body area network (BAN); Cyber threats; Drone; Implantable medical device (IMD); Mobile healthcare; Unmanned aerial vehicle (UAV); Aircraft; Cloud Computing; Computer Security; Delivery of Health Care; Humans; Remote Sensing Technology; Wireless Technology; Article; cloud computing; cyberattack; denial of service attack; health care system; human; wireless communication; aircraft; computer security; devices; health care delivery; organization and management; remote sensing</t>
  </si>
  <si>
    <t>10.1007/s10916-019-1489-9</t>
  </si>
  <si>
    <t>https://www.scopus.com/inward/record.uri?eid=2-s2.0-85076481250&amp;doi=10.1007%2fs10916-019-1489-9&amp;partnerID=40&amp;md5=18dd696b0e537c7dc4e109765635cf49</t>
  </si>
  <si>
    <t>P526</t>
  </si>
  <si>
    <t>Cognitive Decision Support System for Avionics Analytics</t>
  </si>
  <si>
    <t>The combination of information from different sources is increasingly critical for Air Traffic Management (ATM) systems. It is not just about providing decision-making functional support to pilots, controllers, and unmanned aircraft but also dealing with non-functional ATM aspects such as cybersecurity. The use of knowledge representation through an Avionics Analytics Ontology (AAO) is an attractive solution to develop Decision Support Systems (DSSs) for ATM. This paper presents details of an AAO-based DSS prototype demonstrating the feasibility and performance of such a cognitive DSS. The AAO-DSS prototype is built of physics-based sensing, informatics-based processing, and human-derived communications for reporting, decisions, and actions. The prototype considers a case study which highlights benefits by means of simulating realistic airspace collision avoidance situations in downscaled scenarios, aircraft takeoffs and landing with drones flying nearby, and collision-avoidance airspace situations. This paper also shows preliminary performance analysis results (including information uncertainty estimates and cross-concept impacts in the AAO). © 2019 IEEE.</t>
  </si>
  <si>
    <t>avionics analytics; decision-making support; drone cybersecurity; knowledge engineering; multi-sensor fusion; Advanced traffic management systems; Air traffic control; Aircraft accidents; Collision avoidance; Decision making; Digital avionics; Information management; Knowledge representation; Uncertainty analysis; Unmanned aerial vehicles (UAV); Air Traffic Management Systems; Attractive solutions; Cognitive decision supports; Decision support system (DSSs); Performance analysis; Take-offs and landings; Uncertainty estimates; Unmanned aircrafts; Decision support systems</t>
  </si>
  <si>
    <t>10.1109/DASC43569.2019.9081734</t>
  </si>
  <si>
    <t>https://www.scopus.com/inward/record.uri?eid=2-s2.0-85084754034&amp;doi=10.1109%2fDASC43569.2019.9081734&amp;partnerID=40&amp;md5=26e6d94ccd300a592f83632526e55f28</t>
  </si>
  <si>
    <t>P527</t>
  </si>
  <si>
    <t>Mohammad, F.; AlZoubi, A.; Du, H.; Jassim, S.</t>
  </si>
  <si>
    <t>Automatic glass crack recognition for high building façade inspection</t>
  </si>
  <si>
    <t>Manual inspections of glass façade of high rising buildings are expensive, time-consuming and potentially life-threatening for both inspectors and pedestrians on the street. Advances in machine learning for image/video analysis and availability of affordable unmanned aerial vehicles (UAVs) with onboard video recording and processing sensors provide opportunities for smart, safe and automatic glass façade inspections. This paper is concerned with developing an effective solution for recognizing cracked glass panels, which can be installed on board a UAV. From static 2D photographic images, the proposed solution analyzes textural patterns of smooth glass surface and crack segments, linearity of detected crack segments, geometrical characteristics of crack curvatures and the crack pixel patterns, captures these discriminative features for glass cracks using Uniform Local Binary Pattern (ULBP), histograms of linearity, geometrical curvature descriptors with fixed length connected pixel configurations, and accordingly classifies images of cracked and non-cracked glass panels using a kNN classifier. Experimental results with images of different resolutions acquired by a UAV drone in a real office building setting and images collected through Google search demonstrate that the proposed solution achieves promising results with accuracy rates in excess of 80% and even as high as 91% despite the presence of reflections. © 2020 SPIE</t>
  </si>
  <si>
    <t>Curvature Indicators; Edge Drawing; Glass Crack Recognition; Linearity; ULBP; Unmanned Aerial Vehicle (UAV); Antennas; Glass; Image recording; Inspection; Office buildings; Pixels; Search engines; Unmanned aerial vehicles (UAV); Video recording; Different resolutions; Discriminative features; Effective solution; Geometrical characteristics; K-NN classifier; Manual inspection; Photographic image; Uniform local binary patterns; Image analysis</t>
  </si>
  <si>
    <t>10.1117/12.2567409</t>
  </si>
  <si>
    <t>https://www.scopus.com/inward/record.uri?eid=2-s2.0-85096358798&amp;doi=10.1117%2f12.2567409&amp;partnerID=40&amp;md5=2f39056a48779c909d59a0139b1d8c78</t>
  </si>
  <si>
    <t>P528</t>
  </si>
  <si>
    <t>Tedeschi, P.; Oligeri, G.; Di Pietro, R.</t>
  </si>
  <si>
    <t>Leveraging Jamming to Help Drones Complete Their Mission</t>
  </si>
  <si>
    <t>We propose JAM-ME, an autonomous jamming-assisted navigation system that allows a drone to accomplish its mission even in the presence of an anti-drone jamming protection system. In this contribution, we review the current state-of-the-art highlighting how current solutions to respond to drones are completely ineffective against JAM-ME. In particular, we introduce our solution and its theoretical framework, and later we relax a few constraints of the baseline model (adding wind drift, and allowing the target to be randomly placed within the jammed area). Moreover, we run extensive simulations that do support our findings: even under the combined action of jamming and wind drift, the drone can reach a target randomly deployed in the jamming area-any other drone, under the same conditions, would have simply failed. As per the overhead, under very conservative assumptions, JAM-ME experiences an average overhead of 70%; however, note that such overhead can be reduced by at least a tenfold factor in practical settings-discussed in the paper. Finally, we highlight the intrinsic limitations of our solution, potential countermeasures, and new jamming strategies that can pave the way to further research. © 2013 IEEE.</t>
  </si>
  <si>
    <t>global positioning system; jamming; passive homing systems; UAV security; Drones; Global positioning system; Navigation systems; Target drones; Assisted navigations; Combined actions; Extensive simulations; Homing system; Jamming strategies; Protection systems; State of the art; Theoretical framework; Jamming</t>
  </si>
  <si>
    <t>10.1109/ACCESS.2019.2963105</t>
  </si>
  <si>
    <t>https://www.scopus.com/inward/record.uri?eid=2-s2.0-85078497148&amp;doi=10.1109%2fACCESS.2019.2963105&amp;partnerID=40&amp;md5=d75aeb31c74407638e9b8531e8b734a4</t>
  </si>
  <si>
    <t>P529</t>
  </si>
  <si>
    <t>Toward Cybersecurity of Unmanned Aircraft System operations under Specific category</t>
  </si>
  <si>
    <t>Nowadays, the increasing number of Unmanned Aircraft System (UAS) operations raises public concerns on cybersecurity issues. Therefore, it requires a methodology to address these issues during the UAS development. The Specific Operation Risk Assessment (SORA) is a risk assessment methodology developed by Joint Authorities for Rulemaking on Unmanned Aircraft System (JARUS). This methodology is endorsed by the European Union Aviation Safety Agency (EASA) as an acceptable means to fulfill the requirements of EU regulation related to UAS operations under the Specific category. The original SORA methodology focus on Safety risk scenarios only, which relate to unintentional threats and the harms to people's life. In this paper, we introduce our solution to extend the methodology toward cybersecurity aspects. The extended methodology concerns risk scenarios relating to intentional digital threats and some other harms (e.g privacy violation, damage to critical infrastructure). A part of this solution is developed and is presented in this paper. © 2020 IEEE.</t>
  </si>
  <si>
    <t>Privacy by design; Risk assessment; Risk perception; Safety engineering; Aviation safety; EU regulations; European union; Privacy violation; Public concern; Risk assessment methodologies; Risk scenarios; Unmanned aircraft system; Unmanned aerial vehicles (UAV)</t>
  </si>
  <si>
    <t>10.1109/ICUAS48674.2020.9213903</t>
  </si>
  <si>
    <t>https://www.scopus.com/inward/record.uri?eid=2-s2.0-85094964968&amp;doi=10.1109%2fICUAS48674.2020.9213903&amp;partnerID=40&amp;md5=fe14d3f9f92f4c6f7d73b19dd5d45385</t>
  </si>
  <si>
    <t>P53</t>
  </si>
  <si>
    <t>Tassielli, G.; Cananà, L.; Spalatro, M.</t>
  </si>
  <si>
    <t>Detection of Methane Leaks via a Drone-Based System for Sustainable Landfills and Oil and Gas Facilities: Effect of Different Variables on the Background-Noise Measurement</t>
  </si>
  <si>
    <t>In recent years, thanks to the great diffusion of drone technology and the development of miniaturized sensors that can be connected to drones, in order to increase the sustainability of landfills and oil and gas facilities, interest in finding methane leaks and quantifying the relative flow has grown significantly. This operation requires the methane background concentration to be subtracted from the calculations. Therefore, in order to proceed with a right estimate of CH4 flows emitted, the possibility of correctly measuring or estimating the background level becomes crucial. The present work intends to illustrate the effects of different variables on the background-noise measurement in a drone-based system that uses a tunable diode laser absorption spectrometer (TDLAS). The methodology used is that of field testing; the data acquisition campaign consisted of the execution of 80 flights during which different flight variables (drone speed, flight altitude) were tested; the flights were repeated in different weather and climate conditions both during the same day and in different periods of the year. Different surfaces, similar to those found in landfill or natural gas sites, were also tested. In some of the field trials, a controlled methane release test was performed in order to verify how much the quantification of the methane flow can vary depending on the background level used. The results of the different field trials highlighted the best conditions under which to measure methane emissions with a TDLAS sensor in order to minimize the number of outliers: flight altitude not exceeding 15 m above ground level; the drone speed appears to have less impact on the results, however, it is optimal between 1 and 2 ms−1; a very sunny day produces much higher methane background levels than a cloudy one. The type of surface also significantly affects the measurement of background noise. Finally, tests conducted with a controlled methane release highlighted that different levels of background have a significant impact on the estimation of the methane flux emitted. © 2024 by the authors.</t>
  </si>
  <si>
    <t>climate change; drone; fugitive emissions; landfill; methane; TDLAS; UAS; background level; climate change; data acquisition; landfill; leakage; methane; oil field; sustainability</t>
  </si>
  <si>
    <t>10.3390/su16177748</t>
  </si>
  <si>
    <t>https://www.scopus.com/inward/record.uri?eid=2-s2.0-85204151488&amp;doi=10.3390%2fsu16177748&amp;partnerID=40&amp;md5=80bda5d562e664e00c3825230bee0723</t>
  </si>
  <si>
    <t>P530</t>
  </si>
  <si>
    <t>Caforio, G.; Scazzoli, D.; Reggiani, L.; Magarini, M.; Moullec, Y.L.; Alam, M.M.</t>
  </si>
  <si>
    <t>A Configurable Radio Jamming Prototype for Physical Layer Attacks against Malicious Unmanned Aerial Vehicles</t>
  </si>
  <si>
    <t>The goal of this paper is to design and prototype a radio jamming system that is able to interfere the communication drone-remote control, in particular, disabling the motion control system. The drone adopted in the experimental session is the AEE Toruk AP10 Pro, characterized by a digital wireless control system centered at 868MHz. We have created a configurable jamming prototype for limit as much as possible the interference with other radio systems and study the effect of the signal band on the motion control system. We will present our system with both simulation and experimental validation.  © 2020 IEEE.</t>
  </si>
  <si>
    <t>Digital Communication; Jamming; RF systems; UAVs; Wireless Communications; Antennas; Control systems; Drones; Jamming; Motion control; Physical layer; Remote control; Experimental validations; Radio jamming; Signal band; Wireless control; Aircraft control</t>
  </si>
  <si>
    <t>10.1109/BEC49624.2020.9277253</t>
  </si>
  <si>
    <t>https://www.scopus.com/inward/record.uri?eid=2-s2.0-85098654309&amp;doi=10.1109%2fBEC49624.2020.9277253&amp;partnerID=40&amp;md5=d5b8c675866b5e62920e9f395543db03</t>
  </si>
  <si>
    <t>P531</t>
  </si>
  <si>
    <t>Siewert, S.; Sampigethaya, K.; Buchholz, J.; Rizor, S.</t>
  </si>
  <si>
    <t>Fail-Safe, Fail-Secure Experiments for Small UAS and UAM Traffic in Urban Airspace</t>
  </si>
  <si>
    <t>Millions of small Unmanned Aerial Systems (sUAS), or drones weighing less than 55 pounds, will fly in urban airspaces within a decade. This is in addition to goals for increased Urban Air Mobility (UAM): larger transportation UAS and piloted air vehicles, including air taxi service and innovative aviation designs to revolutionize transportation. A significant problem is the lack of current management systems for this extremely large volume of air traffic, composed of heterogeneous drone shapes, sizes, and onboard equipment capabilities, flying adjacent to larger UAM vehicles in spaces previously unoccupied by General Aviation (GA). Robust and resilient detection, identification, localization, and tracking of sUAS sharing UAM airspace is complicated by urban factors such as non-transmitting, non-cooperative drones. Exacerbating these challenges, current technological limitations and vulnerabilities in Global Positioning System (GPS), Automatic Dependent Surveillance-Broadcast (ADS-B), and Inertial Navigation Systems (INS) can pose safety and security threats. To streamline a vision of safe and secure sUAS-UAM shared airspace, we propose Drone Net, a UAS Traffic Management (UTM) network of multi-modal ground and flight instruments. Drone Net is an architecture fusing a network of passive visual and acoustic sensor nodes with active Radio Detection and Ranging (radar) and Light Detection and Ranging (lidar) sensing methods for UTM, designed for integration with existing Air Traffic Control (ATC) and future UAM systems. The purpose of the Drone Net system is to evaluate use of Electro-Optical/Infrared (EO/IR) and acoustic arrays networked within an urban UAS operating region such as uncontrolled Class-G and waiver-granted Class-D airspace. The Drone Net approach combines detection, tracking, and localization estimation from radar, ADS-B, and EO/IR such that the design is robust to sensor errors, sample loss, and spoofing or other types of attacks. The system experimental design allows for emulation of corrupted ADS-B, GPS, and INS data on our flight platform including capability to communicate with ground radar and EO/IR to recover from flight instrument major and minor malfunctions such that a Drone Net cooperative UAS can be engineered to be fail-safe and fail-secure. We hypothesize that the Drone Net network of rooftop sensors, shown below, provides this conceptualized fail-safe, fail-secure property based upon the combination of self-localization with backup and confirming data from the ground sensor network. Further, with ground-system sensor fusion as well as UTM flight plan and registration information fusion, the overall system can manage small UAS that are both compliant and non-compliant alongside GA and UAM more safely than a single mode like ADS-B alone. To test our hypothesis, we envision two experiments this year. First, a test to confirm that we can emulate ADS-B, GPS, and INS sensor data corruption, leading to recovery using backup flight (lidar, EO/IR) or ground (radar, EO/IR) data to safely land an ALTA6 or other test UAS. Second, a series of Sense-and-Avoid (SAA) experiments between our test UAS and a tethered aerial obstacle. In the future, we will use this experience with fail-safe, fail-secure methods and software to further test more advanced scenarios between multiple UAS. The network of Drone Net instruments in a local area as well as regional and more global cloud-based networks will allow for heterogeneous information fusion and algorithm development for multi-sensor drone detection, classification, and identification with more accuracy than a single database or sensor system. The latent power of the Drone Net project is in its open-design ground and flight sensor network with data sharing capability to improve data mining and machine learning over time for analysis and security applications. More concrete applications for Drone Net include UTM integration with ATC and UAM, but also airspace safety and security for campus and public venues in general. Herein, we will present our experimental design and current test data from Embry-Riddle Aeronautical University in collaboration with University of Colorado Boulder toward completing the open specification for ground and flight instruments. We would additionally like to invite others to participate in growing the network and the data available for UTM, UAM, and GA shared airspace research. © 2019 IEEE.</t>
  </si>
  <si>
    <t>ADS-B; fail-safe; fail-secure; GPS; UAM; UAS; UTM; Air navigation; Air traffic control; Air transportation; Aircraft detection; Antennas; Classification (of information); Data mining; Data Sharing; Deceleration; Digital avionics; Drones; Electrooptical devices; Genetic algorithms; Global positioning system; Inertial navigation systems; Information fusion; Network security; Optical radar; Sensor networks; Sensor nodes; Software testing; Statistics; Taxicabs; Testing; Tracking radar; Urban transportation; Air traffic control (ATC); Automatic dependent surveillance - broadcasts; Heterogeneous information; Inertial navigation systems (INS); Light detection and ranging; Radio detection and ranging; Technological limitations; Unmanned aerial systems; Information management</t>
  </si>
  <si>
    <t>10.1109/DASC43569.2019.9081710</t>
  </si>
  <si>
    <t>https://www.scopus.com/inward/record.uri?eid=2-s2.0-85084752920&amp;doi=10.1109%2fDASC43569.2019.9081710&amp;partnerID=40&amp;md5=c6c06ff86da32a2d8725c8d0651e6289</t>
  </si>
  <si>
    <t>P532</t>
  </si>
  <si>
    <t>Meng, L.; Ren, S.; Tang, G.; Yang, C.; Yang, W.</t>
  </si>
  <si>
    <t>UAV sensor spoofing detection algorithm based on GPS and optical flow fusion</t>
  </si>
  <si>
    <t>The UAV security problem is becoming more and more serious, and the security of sensors is receiving much attention. UAV's operation depends on the data collected by sensors, and spoofed data is prone to lead UAV making wrong decisions. In order to detect sensor spoofing, we propose a drone sensor spoofing detection (SSDGOF) algorithm based on GPS and optical flow fusion. In SSDGOF, the fusion model of GPS and optical flow raw data is compared with the model of fusion data in the normal state of the drone, and the difference between them is used to determine whether the sensor was attacked. The SSDGOF is evaluated through GPS deception experiments, and the results show that this method is superior to other methods in detection efficiency. © 2020 ACM. All rights reserved.</t>
  </si>
  <si>
    <t>GPS; Multi-sensor fusion; Optical Flow; Spoofing Detection; Chromium compounds; Cryptography; Drones; Global positioning system; Optical flows; Sensor data fusion; Signal detection; Detection algorithm; Detection efficiency; Fusion model; Multi-sensor fusion; Normal state; Security problems; Aircraft detection</t>
  </si>
  <si>
    <t>10.1145/3377644.3377670</t>
  </si>
  <si>
    <t>https://www.scopus.com/inward/record.uri?eid=2-s2.0-85081135601&amp;doi=10.1145%2f3377644.3377670&amp;partnerID=40&amp;md5=16c50025018ccde81bdd4ea01e4c67e8</t>
  </si>
  <si>
    <t>P533</t>
  </si>
  <si>
    <t>Gnatyuk, S.</t>
  </si>
  <si>
    <t>Multilevel Unified Data Model for Critical Aviation Information Systems Cybersecurity</t>
  </si>
  <si>
    <t>Critical infrastructure protection currently is one of the priorities for the state. Especially this question is acutely raises for the states, that implementing new information and communication technologies in all critical areas. These technologies, amongst other things, generate new vulnerabilities and potential cyberthreats. For example, in civil aviation criticality level substantially amplified by increased degree of communication and interaction between ground and on-board aircraft systems. Known model of requirements formation for providing civil aviation security allows formalizing the process of creating complete requirements set, which should be done to protect civil aviation against cyberthreats. But there is no mechanism for determining provision of certain security mode by the implementation of methods and tools, that are declared in appropriate requirements. In this regard, multilevel unified data model was proposed in this paper. This model uses a basic approach to forming requirements for ensuring civil aviation cybersecurity, concatenation and binary-hexadecimal transformation of security features, defining security models set and security features subsets. It allows to formalize the identification process of requirements providing and to determine security modes of different critical aviation information systems including UAV. © 2019 IEEE.</t>
  </si>
  <si>
    <t>CIIP; civil aviation; critical aviation information system; cybersecurity; identification; security mode; UAV; Aircraft communication; Identification (control systems); Information systems; Information use; Security systems; Unmanned aerial vehicles (UAV); CIIP; Civil aviation security; Communication and interaction; Critical infrastructure protection; Cyber security; Identification process; New information and communication technologies; security mode; Civil aviation</t>
  </si>
  <si>
    <t>10.1109/APUAVD47061.2019.8943833</t>
  </si>
  <si>
    <t>https://www.scopus.com/inward/record.uri?eid=2-s2.0-85078241120&amp;doi=10.1109%2fAPUAVD47061.2019.8943833&amp;partnerID=40&amp;md5=3aae80ff336454bd44fc5e5be6d4030a</t>
  </si>
  <si>
    <t>P534</t>
  </si>
  <si>
    <t>Gaspar, J.; Ferreira, R.B.; Sebastiao, P.; Souto, N.; Postolache, O.A.</t>
  </si>
  <si>
    <t>Anti-UAV Mobile System with RTLS Integration and User Authentication</t>
  </si>
  <si>
    <t>The increased use of Unmanned Aerial Vehicles (UAVs), most known as drones, by civilians has grown exponentially, which has resulted in a greater number of accidents and dangerous situations with drones flying over restricted areas such as airports, public events, and military zones. Creating a mobile system capable of locating the drone position (using a set of sensors) that will be used together with Software Defined Radio (SDR) platforms, efficient jamming and spoofing signals to the communications of the drone. This can be the best solution to mitigate the dangerous problem of UAV near the location before mentioned. The system described in this paper also has a real-time location system and user detection through a biometric sensor to ensure greater security and control over who, when and where the system was used. © 2019 IEEE.</t>
  </si>
  <si>
    <t>Global Network Satellite Systems; Jamming; Real-time Location Systems; Software Defined Radio; Spoofing; Aircraft accidents; Antennas; Authentication; Drones; Internet of things; Location; Military vehicles; Software radio; Biometric sensors; Dangerous situations; Mobile systems; Real time location systems; Software-defined radios; User authentication; User detection; Mobile radio systems</t>
  </si>
  <si>
    <t>10.1109/ISSI47111.2019.9043667</t>
  </si>
  <si>
    <t>https://www.scopus.com/inward/record.uri?eid=2-s2.0-85083204532&amp;doi=10.1109%2fISSI47111.2019.9043667&amp;partnerID=40&amp;md5=3777b0b23d00f3cd8d010f60594ed076</t>
  </si>
  <si>
    <t>P535</t>
  </si>
  <si>
    <t>Li, H.; Zeng, H.; Downey, A.N.; Kerczewski, R.J.; Ivancic, W.D.; Matheou, K.; Murawski, R.W.</t>
  </si>
  <si>
    <t>Cellular Based Small Unmanned Aircraft Systems MIMO Communications</t>
  </si>
  <si>
    <t>The use of remotely piloted unmanned aircraft systems/vehicles (UAS/UAV or drones) increases dramatically in recent years. This paper discusses the use of multiple-input and multiple-output (MIMO) technologies in cellular (i.e., LTE) based small UAS (sUAS) communications. More specifically, we will first provide background information about this work, followed by a review of state-of-the-art. Then, we will discuss the benefits of MIMO technologies and propose practical MIMO configurations (e.g., the type, size and number of antennas) that are suitable for NASA's sUAS research and operations. Finally, the design tradeoff among multiplexing, diversity, and interference/jamming cancellation will also be discussed. © 2019 IEEE.</t>
  </si>
  <si>
    <t>Interference; LTE; MIMO; UAS; MIMO systems; NASA; Wave interference; Background information; Design tradeoff; MIMO communication; MIMO technology; Multiple input and multiple outputs; Small unmanned aircrafts; State of the art; Unmanned aircraft system; Unmanned aerial vehicles (UAV)</t>
  </si>
  <si>
    <t>10.1109/ICNSURV.2019.8735229</t>
  </si>
  <si>
    <t>https://www.scopus.com/inward/record.uri?eid=2-s2.0-85068036079&amp;doi=10.1109%2fICNSURV.2019.8735229&amp;partnerID=40&amp;md5=35f0f2ad6f390b6199fe9b588113d0f6</t>
  </si>
  <si>
    <t>P536</t>
  </si>
  <si>
    <t>Choudhary, G.; Sharma, V.; You, I.</t>
  </si>
  <si>
    <t>Sustainable and secure trajectories for the military Internet of Drones (IoD) through an efficient Medium Access Control (MAC) protocol</t>
  </si>
  <si>
    <t>Internet of Drones (IoD) involves cooperation and policing amongst Unmanned Aerial Vehicles (UAVs) based on waypoints generated through a series of algorithms. The dynamic reconfigurability of conveyances in IoD demands a secure trajectory and channel accessibility which is procurable through an efficient Medium Access Control (MAC) protocol. The majority of existing works considers the security of UAV-trajectories as a part of cryptographic and channel accessibility only, whereas the proposed approach idealizes link stability as one of the essential components for attaining secure trajectories. Furthermore, this paper proposes a deep neural network-based security framework, which embeds an efficient MAC protocol controlled by Macaulay's duration. The proposed approach fortifies that an extensive control over links provides an adequate duration for enhancing the security aspects of IoD and launching countermeasures against any known cyber attacks. © 2019</t>
  </si>
  <si>
    <t>Deep neural networks; Internet of Drones; Link durations; MAC Protocol; Security; Trajectory; UAVs; Antennas; Deep neural networks; Drones; Internet protocols; Medium access control; Network protocols; Trajectories; Unmanned aerial vehicles (UAV); Dynamic reconfigurability; Link duration; Link stability; MAC protocol; Medium access control protocols; Security; Security aspects; Security frameworks; Network security</t>
  </si>
  <si>
    <t>10.1016/j.compeleceng.2019.01.007</t>
  </si>
  <si>
    <t>https://www.scopus.com/inward/record.uri?eid=2-s2.0-85060177537&amp;doi=10.1016%2fj.compeleceng.2019.01.007&amp;partnerID=40&amp;md5=3f68acd289479daf09b57a0ed8eef685</t>
  </si>
  <si>
    <t>P537</t>
  </si>
  <si>
    <t>Burgués, J.; Hernández, V.; Lilienthal, A.J.; Marco, S.</t>
  </si>
  <si>
    <t>Smelling nano aerial vehicle for gas source localization and mapping</t>
  </si>
  <si>
    <t>This paper describes the development and validation of the currently smallest aerial platform with olfaction capabilities. The developed Smelling Nano Aerial Vehicle (SNAV) is based on a lightweight commercial nano-quadcopter (27 g) equipped with a custom gas sensing board that can host up to two in situ metal oxide semiconductor (MOX) gas sensors. Due to its small form-factor, the SNAV is not a hazard for humans, enabling its use in public areas or inside buildings. It can autonomously carry out gas sensing missions of hazardous environments inaccessible to terrestrial robots and bigger drones, for example searching for victims and hazardous gas leaks inside pockets that form within the wreckage of collapsed buildings in the aftermath of an earthquake or explosion. The first contribution of this work is assessing the impact of the nano-propellers on the MOX sensor signals at different distances to a gas source. A second contribution is adapting the ‘bout’ detection algorithm, proposed by Schmuker et al. (2016) to extract specific features from the derivative of the MOX sensor response, for real-time operation. The third and main contribution is the experimental validation of the SNAV for gas source localization (GSL) and mapping in a large indoor environment (160 m                             2                             ) with a gas source placed in challenging positions for the drone, for example hidden in the ceiling of the room or inside a power outlet box. Two GSL strategies are compared, one based on the instantaneous gas sensor response and the other one based on the bout frequency. From the measurements collected (in motion) along a predefined sweeping path we built (in less than 3 min) a 3D map of the gas distribution and identified the most likely source location. Using the bout frequency yielded on average a higher localization accuracy than using the instantaneous gas sensor response (1.38 m versus 2.05 m error), however accurate tuning of an additional parameter (the noise threshold) is required in the former case. The main conclusion of this paper is that a nano-drone has the potential to perform gas sensing tasks in complex environments.                          © 2019 by the authors. Licensee MDPI, Basel, Switzerland.</t>
  </si>
  <si>
    <t>Drone; Electronics; Gas distribution mapping; Gas sensors; Gas source localization; MOX sensor; Quadcopter; Robotics; Signal processing; UAV; Antennas; Chemical detection; Chemical sensors; Commercial vehicles; Drones; Electric wiring; Electronic equipment; Gas detectors; Gas sensing electrodes; Hazards; Mapping; Metals; MOS devices; Nanosensors; Oxide semiconductors; Robotics; Signal processing; Unmanned aerial vehicles (UAV); Experimental validations; Gas distribution mappings; Gas-source localization; Hazardous environment; Localization accuracy; Metal oxide semiconductor; Mox sensors; Quadcopter; Gases</t>
  </si>
  <si>
    <t>10.3390/s19030478</t>
  </si>
  <si>
    <t>https://www.scopus.com/inward/record.uri?eid=2-s2.0-85060510907&amp;doi=10.3390%2fs19030478&amp;partnerID=40&amp;md5=3dd2d23ba550defddf38dc7997cbc800</t>
  </si>
  <si>
    <t>P538</t>
  </si>
  <si>
    <t>Souli, N.; Makrigiorgis, R.; Anastasiou, A.; Zacharia, A.; Petrides, P.; Lazanas, A.; Valianti, P.; Kolios, P.; Ellinas, G.</t>
  </si>
  <si>
    <t>HorizonBlock: Implementation of an Autonomous Counter-Drone System</t>
  </si>
  <si>
    <t>Unmanned Aircraft Systems (UASs) are techno-logically advancing at such a rapid pace that domain experts are now highly concerned of the potential misuse of the technology that can be used for unlawful actions with detrimental effects. The most effective measure to counteract the operation of rogue drones are electronic anti-drone systems that in one way or another intercept the normal operation of a rogue agent. In this work we develop an intelligent pursuer drone that implements novel lightweight functions to meet all necessary interception steps (i.e., detection, tracking and interception) in addition to self-localizing using signals of opportunity in order to maintain perception when performing wireless jamming against a rogue drone. © 2020 IEEE.</t>
  </si>
  <si>
    <t>Computer Vision; Counter-Drone; GPS jamming; Machine Learning; UAS; Drones; Intelligent agents; Domain experts; Drone system; Effective measures; Normal operations; Signals of opportunities; Unmanned aircraft system; Aircraft detection</t>
  </si>
  <si>
    <t>10.1109/ICUAS48674.2020.9213871</t>
  </si>
  <si>
    <t>https://www.scopus.com/inward/record.uri?eid=2-s2.0-85094946870&amp;doi=10.1109%2fICUAS48674.2020.9213871&amp;partnerID=40&amp;md5=dcd3907db2baa72cc8e41db46322ee2a</t>
  </si>
  <si>
    <t>P539</t>
  </si>
  <si>
    <t>Schuyler, T.J.; Bailey, S.C.C.; Guzman, M.I.</t>
  </si>
  <si>
    <t>Monitoring tropospheric gases with small unmanned aerial systems (sUAS) during the second CLOUDMAP flight campaign</t>
  </si>
  <si>
    <t>Small unmanned aerial systems (sUAS) are a promising technology for atmospheric monitoring of trace atmospheric gases. While sUAS can be navigated to provide information with higher spatiotemporal resolution than tethered balloons, they can also bridge the gap between the regions of the atmospheric boundary layer (ABL) sampled by ground stations and manned aircraft. Additionally, sUAS can be effectively employed in the petroleum industry, e.g., to constrain leaking regions of hydrocarbons from long gasoducts. Herein, sUAS are demonstrated to be a valuable technology for studying the concentration of important trace tropospheric gases in the ABL. The successful detection and quantification of gases is performed with lightweight sensor packages of low-power consumption that possess limits of detection on the ppm scale or below with reasonably fast response times. The datasets reported include timestamps with position, temperature, relative humidity, pressure, and variable mixing ratio values of ~400 ppm CO2, ~1900 ppb CH4, and ~5.5 ppb NH3. The sensor packages were deployed aboard two different sUAS operating simultaneously during the second CLOUDMAP flight campaign in Oklahoma, held during 26-29 June 2017. A Skywalker X8 fixed wing aircraft was used to fly horizontally at a constant altitude, while vertical profiles were provided by a DJI Phantom 3 (DJI P3) quadcopter flying upward and downward at fixed latitude-longitude coordinates. The results presented have been gathered during 8 experiments consisting of 32 simultaneous flights with both sUAS, which have been authorized by the United States Federal Aviation Authority (FAA) under the current regulations (Part 107). In conclusion, this work serves as proof of concept showing the atmospheric value of information provided by the developed sensor systems aboard sUAS. © 2019 by the authors.</t>
  </si>
  <si>
    <t>ABL; Ammonia; Atmospheric boundary layer; Carbon dioxide; Drones; Emission; Gases; Methane; Quantification; Trace; Troposphere; UAS; UAV; Unmanned aerial systems; Unmanned aerial vehicles; Air navigation; Ammonia; Antennas; Atmospheric humidity; Boundary layer flow; Carbon dioxide; Drones; Fixed wings; Gases; Methane; Neutron emission; Petroleum industry; Troposphere; Unmanned aerial vehicles (UAV); Atmospheric monitoring; Detection and quantifications; Federal aviation authorities; Low-power consumption; Quantification; Spatio-temporal resolution; Trace; Unmanned aerial systems; aircraft; ammonia; boundary layer; carbon dioxide; concentration (composition); emission; methane; monitoring; trace gas; troposphere; unmanned vehicle; Atmospheric boundary layer</t>
  </si>
  <si>
    <t>10.3390/atmos10080434</t>
  </si>
  <si>
    <t>https://www.scopus.com/inward/record.uri?eid=2-s2.0-85070782226&amp;doi=10.3390%2fatmos10080434&amp;partnerID=40&amp;md5=4029a7a6e60bac3afb2718cfc33abbbe</t>
  </si>
  <si>
    <t>P54</t>
  </si>
  <si>
    <t>Deep Learning Based Intrusion Detection for Cybersecurity in Unmanned Aerial Vehicles Network</t>
  </si>
  <si>
    <t>In this article, we have proposed Deep Learning techniques for cybersecurity in Unmanned Aerial Vehicles (UAVs). UAVs, also known as drones, have become versatile tools used in many applications. However, UA V cybersecurity remains a major concern due to the evolution of cyberattacks. Faced with this issue, it is important to give a contribution on intrusion detection systems (IDS) to be applied in UAVs, given that existing cybersecurity solutions still present limitations. It is in this context that we have proposed Deep Learning-based intrusion detection models such as Convolutional Neural Network (CNN), Long Short-Term Memory (LSTM) and the combination of Convolutional Neural Network (CNN) and Long Short-Term Memory (LSTM) models (CNN+LSTM) and these are evaluated using the CICIDS2017 dataset. Based on their performance, the proposed models are compared with Machine Learning models to decide on the best model for intrusion detection in UAVs. Thus, the results obtained during the experiment indicate that the hybrid CNN-LSTM model obtained a high accuracy of 99.063% compared to the other models. © 2024 IEEE.</t>
  </si>
  <si>
    <t>CICIDS2017; CNN; cyberattacks; Cybersecurity; Deep Learning; LR; LSTM; Machine Learning; NB; UA V; Adversarial machine learning; Aircraft detection; Convolutional neural networks; Intrusion detection; Long short-term memory; Unmanned aerial vehicles (UAV); CICIDS2017; Convolutional neural network; Cyber security; Cyber-attacks; Deep learning; LR; Machine-learning; NB; Short term memory; UA V; Network intrusion</t>
  </si>
  <si>
    <t>10.1109/ICECET61485.2024.10698453</t>
  </si>
  <si>
    <t>https://www.scopus.com/inward/record.uri?eid=2-s2.0-85207461245&amp;doi=10.1109%2fICECET61485.2024.10698453&amp;partnerID=40&amp;md5=cbd7b220324654710ea92ef08ebfe607</t>
  </si>
  <si>
    <t>P540</t>
  </si>
  <si>
    <t>Kunze, S.; Weinberger, A.; Poeschl, R.</t>
  </si>
  <si>
    <t>A software defined radio based implementation for the radio frequency analysis of signals from unmanned aerial systems</t>
  </si>
  <si>
    <t>Civilian unmanned aerial systems can pose a serious threat to the civilian population. For this reason, the development of an assistance system to counter these threats is the scope of an ongoing research project. Its goal is to detect inbound drones and to provide the user with a comprehensive situation analysis and risk assessment. The focus of this paper is a software defined radio based implementation of a radio frequency analysis, which is capable of eavesdropping on the drone's radio signals, in order to gather information for the assistance system. In the paper the implementation for one exemplary drone system, based on the Pixhawk autopilot and the MAVLink communication protocol, is proposed and the results of the initial tests are presented. © 2019 IEEE.</t>
  </si>
  <si>
    <t>Civil security; Signal analysis; Software defined radio; Unmanned aerial vehicles; Analog circuits; Antennas; Drones; Radio; Radio receivers; Radio waves; Risk analysis; Risk assessment; Software radio; Unmanned aerial vehicles (UAV); Assistance system; Civil security; Civilian populations; Radio frequencies; Radio signals; Situation analysis; Software-defined radios; Unmanned aerial systems; Signal analysis</t>
  </si>
  <si>
    <t>10.1109/RADIOELEK.2019.8733507</t>
  </si>
  <si>
    <t>https://www.scopus.com/inward/record.uri?eid=2-s2.0-85068580501&amp;doi=10.1109%2fRADIOELEK.2019.8733507&amp;partnerID=40&amp;md5=20f091c6eedecfbfe9461943555a2661</t>
  </si>
  <si>
    <t>P541</t>
  </si>
  <si>
    <t>Polydorou, E.; Robinson, D.; Taylor, S.; McGetrick, P.</t>
  </si>
  <si>
    <t>Feasibility study of extracting vibration characteristics in beams using Unmanned Aerial Vehicles (UAVs)</t>
  </si>
  <si>
    <t>In recent years, there has been a growing interest into the monitoring of vibrations in bridges induced by moving vehicles or earthquakes, which results in deterioration and influences bridge deck cracking. The most widely used technique in structural health monitoring (SHM) for assessing bridge vibration characteristics is the use of accelerometers to measure natural frequencies and mode shapes. When inspecting long span bridges, the cost for this method is relatively high and requires specialized installation and data acquisition systems for acquiring the bridge data from various locations on the bridge deck. This paper presents methods and results of an experimental study to investigate the feasibility of using unmanned aerial vehicles (UAVs), known as drones, to extract vibration characteristics in cantilever beams with different lengths, using computer vision methods. Using the drone to measure vibrations presents several challenges, including displacement stabilization and more specifically, the extraction of frequencies in beams. The vibration characteristics of the beams are captured using the camera mounted to the drone and the natural frequencies of the tested specimens are extracted using image processing algorithms. Accelerometer sensors are mounted to the beams, while a high-speed camera is also used to compare the frequencies. This study integrates sensors, data acquisition, UAVs and computer vision methods to investigate the potential use of unmanned aerial vehicles for measuring vibrations in bridge structures. © 2019 9th International Conference on Structural Health Monitoring of Intelligent Infrastructure: Transferring Research into Practice, SHMII 2019 - Conference Proceedings. All rights reserved.</t>
  </si>
  <si>
    <t>Computer vision methods; Measurements; Unmanned Aerial Vehicles; Vibrations; Accelerometers; Antennas; Bridge decks; Computer vision; Data acquisition; Drones; High speed cameras; Natural frequencies; Structural health monitoring; Vibration analysis; Aerial vehicle; Bridge deck crackings; Bridge vibration; Computer vision method; Feasibility studies; Moving vehicles; Natural frequencies and modes; Unmanned aerial vehicle; Vibration; Vibration characteristics; Deterioration</t>
  </si>
  <si>
    <t>https://www.scopus.com/inward/record.uri?eid=2-s2.0-85091405699&amp;partnerID=40&amp;md5=31f67f9b97d090892a307cc2d15e6111</t>
  </si>
  <si>
    <t>P542</t>
  </si>
  <si>
    <t>Guo, S.; Guo, D.; Zhang, Q.; Wu, N.; Deng, J.</t>
  </si>
  <si>
    <t>Research Progress of Anti-jamming Technology of Unmanned Aerial Vehicle(UAV) Data Link</t>
  </si>
  <si>
    <t>An high-speed stealth UAV will be developed by an aviation research institute. Data link is an important part of UAV system. In order to have a deeper understanding of data link system, this paper was made through studying many recent academia papers. The basic composition and working principle of UAV data link system was introduced in this paper, the current UAV data link interference and anti-interference technology was expounded, the key problems faced by the development of UAV data link anti-interference technology were summarized, and the future development trend of UAV data link anti-interference technology was pointed out. © Published under licence by IOP Publishing Ltd.</t>
  </si>
  <si>
    <t>10.1088/1757-899X/816/1/012011</t>
  </si>
  <si>
    <t>https://www.scopus.com/inward/record.uri?eid=2-s2.0-85086358365&amp;doi=10.1088%2f1757-899X%2f816%2f1%2f012011&amp;partnerID=40&amp;md5=5a6dbc96eaf22d03d3684e2f50669e38</t>
  </si>
  <si>
    <t>P543</t>
  </si>
  <si>
    <t>Zhai, X.; Liu, K.; Nash, W.; Castineira, D.</t>
  </si>
  <si>
    <t>Smart autopilot drone system for surface surveillance and anomaly detection via customizable deep neural network</t>
  </si>
  <si>
    <t>Copter-based unmanned aerial vehicle (drone) systems are being utilized for surveillance, inspection and security purposes for well sites, gathering centers, pipelines, refineries, and other surface facilities. However, most of   the practices largely rely on humans, including drone operation, data transfer, image analysis, etc. In this paper, we present a comprehensive, cloud-enabled, human-free autopilot drone system and its application in field surveillance   and anomaly detection powered by customizable deep neural network and computer vision models. The proposed system consists of customized quadcopter drones equipped with high-definition cameras, thermal imaging and gas sensing devices,   autopiloted by cloud-connected onboard computers. A series of advanced algorithms are developed and deployed onboard and over the Cloud for processing and diagnosing the image/thermal/gas sensing data collected by the drones in real-time   or near real-time, including accurate 2D geospatial aerial mapping, anomaly detection and classification for events like oil leak, gas leak, facility failure, human activities, etc. Object detection deep learning models are customized   and parallelized for low-profile multi-core single board computers. In our case study, a pre-configured drone flew along the same path twice at a 6-month gap. A robust, iterative image registering algorithm is developed to precisely   align and overlay images taken at different days at the same or similar GPS locations, even with significant changes to the environment due to season shift, human activities, camera angles or height variations. Local changes are filtered   and selected based on their sizes and magnitudes in the residual images by subtracting pairs of perfectly overlaid scenes. Pretrained Residual Convolutional Neural network (He et al. 2015) is rapidly re-trained to further classify the   type of changes using the techniques of transfer learning and data augmentation. An ROC of 99% was achieved in the multi-task binary classification, wherein the detected changes are divided into positive anomalies (such as oil/gas leak,   facility failures, unauthored human activities) and negative (natural/ insignificant) signals. Comparing against a support vector machine baseline with a ROC=92%, the ResNet model demonstrates significant, more promising detection   accuracy at a faster training time. This innovative integrated platform is presented that combines physical drone, onboard imaging/sensing devices, cloud connectivity, onboard and back-end control system, deep learning and computer   vision architecture for situational awareness of oil &amp; gas fields and the mining industry. It achieves full automation of mass surveillance, data acquisition and storage, diagnostics and asset situational understanding. The system   architecture, especially the onboard and cloud computation engines, can be readily transferred and applied to other common drone platforms. Copyright 2020, International Petroleum Technology Conference.</t>
  </si>
  <si>
    <t>Air navigation; Anomaly detection; Antennas; Cameras; Computer architecture; Computer control systems; Computer vision; Convolutional neural networks; Data acquisition; Data transfer; Deep learning; Deep neural networks; Digital storage; Drones; Gas industry; Gasoline; Infrared imaging; Iterative methods; Leakage (fluid); Learning systems; Man machine systems; Monitoring; Network architecture; Object detection; Support vector machines; Transfer learning; Binary classification; Computer vision architectures; Data acquisition and storage; Integrated platform; Single board computers; Situational awareness; Surface surveillance; System architectures; Aircraft detection</t>
  </si>
  <si>
    <t>10.2523/iptc-20111-ms</t>
  </si>
  <si>
    <t>https://www.scopus.com/inward/record.uri?eid=2-s2.0-85085773296&amp;doi=10.2523%2fiptc-20111-ms&amp;partnerID=40&amp;md5=1930d051634e086c35d4f548df02d642</t>
  </si>
  <si>
    <t>P544</t>
  </si>
  <si>
    <t>Fernandez, M.J.; Sanchez-Cuevas, P.J.; Heredia, G.; Ollero, A.</t>
  </si>
  <si>
    <t>Securing UAV communications using ROS with custom ECIES-based method</t>
  </si>
  <si>
    <t>This paper is about an application of a method based on the ECIES (Elliptic Curve Integrated Encryption Scheme) to improve the security against malicious attacks of the UAVs (Unmanned Aerial Vehicles) communications system. This system is focused on improving the security conditions in extreme situations and preventing the aircraft for man-made incidents and cyber attacks. The paper briefly describes the different attacks that can affect to the operation of UAVs and the security methods that, nowadays, are used to guarantee the security during the operations. Moreover, it presents a solution to a strong vulnerability detected in the classical scheme used in UAV. This scheme uses ROS (Robot Operating System) as the core of the communication system to interconnect different devices and nodes in this paper, it is demonstrated that if an Intruder is able to enter in the local network of the UAV system, he/she is also able to impersonate the GCS (Ground Control Station) of the UAV and take control of it leading to an undesirable maneuver or even a dangerous crash against a building or a person. The security system proposed to avoid this consists of a simplified method based on ECIES sending packets, between UAV and GCS, which uses ECDSA (Elliptic Curve Digital Signature) and are ciphered in RSA (Rivest-Shamir-Adleman). Thus, it is possible to guarantee that the high level computer of the UAV is able to identify the identity of their GCS and prevent of being commanded by an unauthorized Intruder. Both, the vulnerability and the solution proposed have been experimentally tested and validated through software-in-the-loop simulations and in a outdoor scenario using a small UAV. © 2019 IEEE.</t>
  </si>
  <si>
    <t>attack; drone; security; software; UAV; Aircraft accidents; Antennas; Computer software; Cryptography; Drones; Geometry; Network security; Rock mechanics; Software testing; attack; Communications systems; Elliptic curve digital signature; Ground control stations; Rivest-shamir-adleman; Robot operating system; security; Software-in-the-loop simulations; Unmanned aerial vehicles (UAV)</t>
  </si>
  <si>
    <t>10.1109/REDUAS47371.2019.8999685</t>
  </si>
  <si>
    <t>https://www.scopus.com/inward/record.uri?eid=2-s2.0-85081259182&amp;doi=10.1109%2fREDUAS47371.2019.8999685&amp;partnerID=40&amp;md5=810df69bc2a255871b593dd6f41c1529</t>
  </si>
  <si>
    <t>P545</t>
  </si>
  <si>
    <t>Stoica, P.; Basak, S.; Molder, C.; Scheers, B.</t>
  </si>
  <si>
    <t>Review of Counter-UAV Solutions Based on the Detection of Remote Control Communication</t>
  </si>
  <si>
    <t>One of the problems that we face today is the illegal use of drones. Monitoring the RF transmissions has proved to be a reliable technique for detecting and identifying such devices. Although there are some solutions on the market for detection and jamming, they are not always successful. The aim of this paper is to analyze the typical communications used by drone manufacturers, which usually implement their own algorithms, and to propose a more robust solution that would consider the range of characteristics that these protocols have. A wide-band energy detection with adaptive threshold is used for extracting specifications of some remote control communications that use spread spectrum modulation. © 2020 IEEE.</t>
  </si>
  <si>
    <t>deeplearning; dronecommunications; energydetection; frequencyhopping; jamming; Drones; Remote control; Spectroscopy; Adaptive thresholds; Control communications; RF transmission; Robust solutions; Spread spectrum modulation; Wide-band; Aircraft detection</t>
  </si>
  <si>
    <t>10.1109/COMM48946.2020.9142017</t>
  </si>
  <si>
    <t>https://www.scopus.com/inward/record.uri?eid=2-s2.0-85091700960&amp;doi=10.1109%2fCOMM48946.2020.9142017&amp;partnerID=40&amp;md5=58b3363aa4d208c2f453fa72f63334e1</t>
  </si>
  <si>
    <t>P546</t>
  </si>
  <si>
    <t>Li, T.; Ma, J.; Feng, P.; Meng, Y.; Ma, X.; Zhang, J.; Chenyang, G.; Lu, D.</t>
  </si>
  <si>
    <t>Lightweight security authentication mechanism towards UAV networks</t>
  </si>
  <si>
    <t>The drones in the UAV networks can communicate with each other through wireless link. Due to the limited computing resources and complicated external environment of drones, UAV networks are subjected to various attacks such as forgery attack, man-in-the-middle attack and reply attack. Identity authentication is extremely urgent to be established before the drones start to communicate with each other and ensuring a legal drone in the network is the priority of UAV network security. However, traditional authentication mechanism based on username/password or dynamic key has low secure level. RSA certification needs long session key which can not meet the lightweight requirement in the UAV networks. In this paper, we propose a lightweight identity authentication method based on ECC (Elliptic Curve Cryptography). We design three main steps: ECC certification initiate, identity authentication and key consistency verification. The first two steps can guarantee the two-way identity authentication and the third step verify the consistency of session key. Compared with traditional authentication method in UAV networks, our approach has shorter key and lower computing workload. Considering the security, our approach solves the problem of key inconsistence caused by calculation faults or packets transmission drops which can guarantee the UAV identity authentication secure. We apply our approach in the UAV networks and evaluate the runtime and antiattack performance. The results show that the proposed method can be effectively used in drones identity authentication. © 2019 IEEE.</t>
  </si>
  <si>
    <t>ECC; Identity authentication; UAV networks; Authentication; Drones; Public key cryptography; Authentication mechanisms; Authentication methods; Consistency verifications; Elliptic curve cryptography; External environments; Identity authentication; Lightweight securities; Man in the middle attacks; Network security</t>
  </si>
  <si>
    <t>10.1109/NaNA.2019.00072</t>
  </si>
  <si>
    <t>https://www.scopus.com/inward/record.uri?eid=2-s2.0-85083098932&amp;doi=10.1109%2fNaNA.2019.00072&amp;partnerID=40&amp;md5=1552ab4ded7effe31b4ed648e4f68db2</t>
  </si>
  <si>
    <t>P547</t>
  </si>
  <si>
    <t>Feng, Z.; Guan, N.; Lv, M.; Liu, W.; Deng, Q.; Liu, X.; Yi, W.</t>
  </si>
  <si>
    <t>Efficient drone hijacking detection using two-step GA-XGBoost</t>
  </si>
  <si>
    <t>With the fast growth of civilian drones, their security problems meet significant challenges. A commercial drone may be hijacked by Global Positioning System (GPS)-spoofing attacks for illegal activities, such as terrorist attacks. Ideally, comparing positions respectively estimated by GPS and Inertial Navigation System (INS) can detect such attacks, while the results may always get fault because of the accumulated errors over time in INS. Therefore, in this paper, we propose a two-step GA-XGBoost method to detect GPS-spoofing attacks that just uses GPS and Inertial Measurement Unit (IMU) data. However, tunning the proper values of XGBoost parameters directly on the drone to achieve high prediction results consumes lots of resources which would influence the real-time performance of the drone. The proposed method separates the training phase into offboard step and onboard step. In offboard step, model is first trained by flight logs, and the training parameter values are automatically tuned by Genetic Algorithm (GA). Once the offboard model is trained, it could be uploaded to drones. To adapt our method to drones with different types of sensors and improve the correctness of prediction results, in onboard step, the model is further trained when a drone starts a mission. After onboard training finishes, the proposed method switches to the prediction mode. Besides, our method does not require any extra onboard hardware. The experiments with a real quadrotor drone also show the detection correctness is 96.3% and 100% in hijacked and non-hijacked cases at each sampling time respectively. Moreover, our method can achieve 100% detection correctness just within 1 s just after the attacks start. © 2019 Elsevier B.V.</t>
  </si>
  <si>
    <t>Cyber-physical system; GPS spoofing; Machine learning; Security; UAV; Cyber Physical System; Drones; Embedded systems; Forecasting; Genetic algorithms; Global positioning system; Inertial navigation systems; Learning systems; Terrorism; Unmanned aerial vehicles (UAV); Accumulated errors; Illegal activities; Inertial measurement unit; Inertial navigation systems (INS); Real time performance; Security; Security problems; Training parameters; Aircraft detection</t>
  </si>
  <si>
    <t>10.1016/j.sysarc.2019.101694</t>
  </si>
  <si>
    <t>https://www.scopus.com/inward/record.uri?eid=2-s2.0-85076687557&amp;doi=10.1016%2fj.sysarc.2019.101694&amp;partnerID=40&amp;md5=b4b76708820ed57216add6b069cf8cd1</t>
  </si>
  <si>
    <t>P548</t>
  </si>
  <si>
    <t>El Fiorenza, J.C.; Lokku, R.K.; Sivakumar, K.; Stephanie, M.R.</t>
  </si>
  <si>
    <t>Versatile exploitation techniques: Drone hacking and jamming with Raspberry-Pi and Wi-Fi pineapple</t>
  </si>
  <si>
    <t>The utilization of Internet-of-Things (IoT) innovation is developing exponentially as more shoppers and organizations recognize the benefits offered by the savvy and shrewd gadgets. The major purpose of this paper arose due to the reason that since drone innovation is a quickly rising segment inside the IoT and the danger of hacking couldn't just purpose an information break, it could likewise represent a noteworthy hazard to the open well-being. On account of their flexible applications and access to ongoing data, commercial drones are used across a wide variety of smart city applications. However, with many IoT devices, security is frequently an untimely idea, leaving numerous drones helpless against programmers. What is being done in this paper is that this paper examines the present condition of automation security and exhibits a lot of Wi-Fi empowered drone vulnerabilities. Five distinct sorts of assaults, together with the capability of robotization of assaults, were identified and connected to two unique kinds of scientifically accessible drones. For the execution, the methodologies and techniques used are the correspondence connections that are researched for the assaults, for example Disavowal of Service, De-authentication Methods, Man-in-the-Middle, Unauthorized Root Access and Packet Spoofing. Ultimately, the unapproved root access was computerized using a Raspberry-Pi 3 and Wi-Fi Pineapple. Besides, the strategy for each assault is laid out, also the test part diagrams the findings and procedures of the assaults. The Basic Intrusion Detection Systems and Intrusion Protection System so as to avoid the UAV (unmanned aerial vehicles) from entering the confined airspace are discussed. At long last, the paper tends to the present condition of automaton security, the executives, control, flexibility, protection concerns by using GPS spoofing as a method to secure the target which is the drone from being vulnerable to the attacker. © BEIESP.</t>
  </si>
  <si>
    <t>Cybersecurity; GPS spoofing; Hacking; Raspberry-Pi; Wi-Fi Pineapple</t>
  </si>
  <si>
    <t>10.35940/ijitee.A4684.119119</t>
  </si>
  <si>
    <t>https://www.scopus.com/inward/record.uri?eid=2-s2.0-85075129228&amp;doi=10.35940%2fijitee.A4684.119119&amp;partnerID=40&amp;md5=31a73672dbbc629373dd70998cd92018</t>
  </si>
  <si>
    <t>P549</t>
  </si>
  <si>
    <t>Conference Proceedings of 2019 10th International Conference on Dependable Systems, Services and Technologies, DESSERT 2019</t>
  </si>
  <si>
    <t>The proceedings contain 43 papers. The topics discussed include: comparative analysis of data consolidation in surveillance networks; structure function based methods in evaluation of availability of healthcare system; integrated cyber safety &amp; security management system: industry 4.0 issue; TestIt: an open-source scalable long-term autonomy testing toolkit for ROS; IoT server availability considering DDOS-attacks: analysis of prevention methods and Markov model; assurance case based licensing for nuclear power plant post-accident monitoring system based on unmanned aircraft vehicles; development of models in resilient computing; context-aware systems testing and validation; structure function based methods in evaluation of availability of healthcare system; and reliability assessment of heterogeneous drone fleet with sliding redundancy.</t>
  </si>
  <si>
    <t>https://www.scopus.com/inward/record.uri?eid=2-s2.0-85070506964&amp;partnerID=40&amp;md5=155a57af49c42c614e31f2125db2fbaf</t>
  </si>
  <si>
    <t>P55</t>
  </si>
  <si>
    <t>Shariq, M.; Conti, M.; Singh, K.; Dwivedi, S.K.; Abdussami, M.; Amin, R.; Masud, M.</t>
  </si>
  <si>
    <t>Design of Provably Secure and Lightweight Authentication Protocol for Unmanned Aerial Vehicle systems</t>
  </si>
  <si>
    <t>Drones also called Unmanned Aerial Vehicles (UAVs) have become more prominent in several applications such as package delivery, real-time object detection, tracking, traffic monitoring, security surveillance systems, and many others. As a key member of IoT, the group of Radio Frequency IDentification (RFID) technologies is referred to as Automatic Identification and Data Capturing (AIDC). In particular, RFID technology is becoming a contactless and wireless technique used to automatically identify and track the tagged objects via radio frequency signals. It also has drawn a lot of attention among researchers, scientists, industries, and practitioners due to its broad range of real-world applications in various fields. However, RFID systems face two key concerns related to security and privacy, where an adversary performs eavesdropping, tampering, modification, and even interception of the secret information of the RFID tags, which may cause forgery and privacy problems. In contrast to security and privacy, RFID tags have very limited computational power capability. To deal with these issues, this paper puts forward an RFID-based Lightweight and Provably Secure Authentication Protocol (LPSAP) for Unmanned Aerial Vehicle Systems. The proposed protocol uses secure Physically Unclonable Functions (PUFs), Elliptic-Curve Cryptography (ECC), secure one-way hash, bitwise XOR, and concatenation operations. We use Ouafi and Phan's formal security model for analyzing security and privacy features such as traceability and mutual authentication. The rigorous informal analysis is carried out which ensures that our proposed protocol achieves various security and privacy features as well as resists various known security attacks. The performance analysis demonstrates that our proposed protocol outperforms other existing protocols. In addition, Scyther and Automated Validation of Internet Security Protocols and Applications (AVISPA) tool simulation results demonstrates that there is no security attack possible within bounds. Therefore, our proposed LPSAP protocol achieves an acceptable high level of security with the least computational, communication, and storage costs on passive RFID tags. © 2024 Elsevier B.V.</t>
  </si>
  <si>
    <t>AIDC; Authentication; IoT; Privacy; RFID; Security; Aircraft communication; Aircraft detection; Authentication; Authentication Protocol; Differential privacy; Drones; Network security; Privacy by design; Security systems; Steganography; Automatic identification; Automatic identification and data capturing; Data capturing; IoT; Privacy; Provably secure; Radio-frequency-identification; Radiofrequency identification tags; Security; Security and privacy; Radio frequency identification (RFID)</t>
  </si>
  <si>
    <t>10.1016/j.comcom.2024.107971</t>
  </si>
  <si>
    <t>https://www.scopus.com/inward/record.uri?eid=2-s2.0-85206458091&amp;doi=10.1016%2fj.comcom.2024.107971&amp;partnerID=40&amp;md5=ff6ec95988db6e1aa069f5add4ad1479</t>
  </si>
  <si>
    <t>P550</t>
  </si>
  <si>
    <t>Zheng, X.-C.; Sun, H.-M.</t>
  </si>
  <si>
    <t>Hijacking unmanned aerial vehicle by exploiting civil GPS vulnerabilities using software-defined radio</t>
  </si>
  <si>
    <t>With the booming growth of unmanned aerial vehicles (UAVs, drones) in recent years, especially for commercial and recreational aerial photography UAVs, the safety issues of civilians and security problems of sensitive information are causing much concern. Some studies have confirmed that many attacks against UAVs are highly connected to the vulnerabilities of the civil global positioning system (GPS). The transparency and predictability of unencrypted civil GPS signals make them easy to counterfeit. Furthermore, owing to the development of software-defined radio (SDR) in recent years, launching a civil GPS spoofing attack is no longer expensive. GPS spoofing against drones using SDR devices has severely threatened their flight security and personal safety. In this study, we demonstrated three UAV hijacking attacks using HackRF One, an SDR device, with corresponding open source projects. We also proved that launching such threatening attacks is not expensive and such attacks are easy to control. We also propose some possible approaches to enhance the security of UAV location information. © MYU K.K.</t>
  </si>
  <si>
    <t>Civil GPS vulnerability; GPS; Hijacking; SDR; UAV; Aerial photography; Analog circuits; Antennas; Commercial vehicles; Drones; Global positioning system; Open source software; Radio; Radio receivers; Location information; Open source projects; Personal safety; Safety issues; Security problems; Sensitive informations; Software-defined radios; Spoofing attacks; Software radio</t>
  </si>
  <si>
    <t>10.18494/SAM.2020.2783</t>
  </si>
  <si>
    <t>https://www.scopus.com/inward/record.uri?eid=2-s2.0-85091889700&amp;doi=10.18494%2fSAM.2020.2783&amp;partnerID=40&amp;md5=0ade21dc382a495a9517d2486a618708</t>
  </si>
  <si>
    <t>P551</t>
  </si>
  <si>
    <t>Zhang, P.; Lowenberg, L.; Tall, M.; Ouimet, M.</t>
  </si>
  <si>
    <t>Jellyfish: Non-radio frequency counter drone technology</t>
  </si>
  <si>
    <t>In contrast of RF jamming devices for counter-UAV measure, which proves ineffective for autonomous UAV, we propose Jellyfish-a vision-based and machine learning driven defensive approach using inexpensive drones. Jellyfish minimizes cost while maximizing the effectiveness of countering autonomous UAV threats. In software aspect, we collect synthetic and real-world imagery and train deep learning model for real-time adversarial drone detection and tracking and then feed tracking output to a highly responsive controller to mirror the movement of the adversary. On the other hand, we design a lightweight and self-releasable capturing mechanism, similar to the tentacles of a jellyfish (hence the name "Jellyfish"), to optimize both the capturing area and defending drone's maneuverability and survivability. © 2020 SPIE.</t>
  </si>
  <si>
    <t>Computer vision; Counter UAV; Machine learning; RF denial; Deep learning; Drones; Learning systems; Autonomous UAV; Detection and tracking; Jamming devices; Learning models; Radio frequencies; Real time; Real-world; Vision based; Aircraft detection</t>
  </si>
  <si>
    <t>10.1117/12.2563637</t>
  </si>
  <si>
    <t>https://www.scopus.com/inward/record.uri?eid=2-s2.0-85087874605&amp;doi=10.1117%2f12.2563637&amp;partnerID=40&amp;md5=ceff1af6b9e112aea679a01baaa52cc6</t>
  </si>
  <si>
    <t>P552</t>
  </si>
  <si>
    <t>Savkin, A.V.; Huang, H.; Ni, W.</t>
  </si>
  <si>
    <t>Securing UAV Communication in the Presence of Stationary or Mobile Eavesdroppers via Online 3D Trajectory Planning</t>
  </si>
  <si>
    <t>Unmanned Aerial Vehicles (UAVs) are expected to play an active role In future wireless communication systems, thanks to their excellent mobility. This letter considers a problem of navigating a UAV to secure Its wireless communication with a stationary or mobile ground node In the presence of stationary or mobile eavesdroppers that can eavesdrop Individually and collaboratively. We optimize online the 3D trajectory of the UAV to minimize the energy expenditure of the UAV subject to the UAV's aeronautic maneuverability, and the ground node can effectively capture the transmitted data while the eavesdroppers are not able to do It. A model predictive control (MPC) based navigation scheme Is developed and Its optimality Is proved. Computer simulations and comparisons against a benchmark method are conducted to demonstrate the effectiveness of the proposed approach. © 2012 IEEE.</t>
  </si>
  <si>
    <t>communication security; drones; eavesdropping; model predictive control; navigation; path planning; UAVs; Antennas; Maneuverability; Model predictive control; Predictive control systems; 3-D trajectory; Energy expenditure; Ground node; Optimality; Wireless communication system; Wireless communications; Unmanned aerial vehicles (UAV)</t>
  </si>
  <si>
    <t>10.1109/LWC.2020.2986291</t>
  </si>
  <si>
    <t>https://www.scopus.com/inward/record.uri?eid=2-s2.0-85089487971&amp;doi=10.1109%2fLWC.2020.2986291&amp;partnerID=40&amp;md5=94f0ae5c1fd6c63bdcf7b124b40dd2fb</t>
  </si>
  <si>
    <t>P553</t>
  </si>
  <si>
    <t>Torens, C.</t>
  </si>
  <si>
    <t>Safety versus security in aviation, comparing do-178c with security standards</t>
  </si>
  <si>
    <t>Software development in safety-critical domains is dictated by software standards, such as "Software Considerations in Airborne Systems and Equipment Certification" (DO-178C). This standard is an acceptable means of compliance for achieving the required level of software safety in aviation. In addition to software safety, the security aspects of cyber-physical systems has become increasingly important in recent years, especially for unmanned aircraft systems with an increasing number of autonomous functions. The importance of this topic has grown with recent updates to security standards in 2018 and new regulations proposed by EASA in 2019. However, in literature, software safety and cybersecurity often get handled completely separate. Since most software engineers in aviation need to consider software safety and the corresponding DO-178C standard in some form, this work offers an introduction to the more recent software security standards. To do this, a brief overview of software standards as well as security standards is presented. The focus of the comparison between software safety and cybersecurity will be on "Airworthiness Security Process Specification" (DO-326A), as well as "Airworthiness Security Methods and Considerations" (DO-356A), since these standards, similar to DO-178C, also handle the initial airworthiness considerations. Additional standards, such as the standard "Information Security Guidance for Continuing Airworthiness" (DO-355) and others will also be introduced. © 2020, American Institute of Aeronautics and Astronautics Inc, AIAA. All rights reserved.</t>
  </si>
  <si>
    <t>Aviation; Computer software selection and evaluation; Embedded systems; Regulatory compliance; Safety engineering; Security of data; Unmanned aerial vehicles (UAV); Airborne systems; Autonomous functions; Process specification; Safety-critical domain; Security standards; Software security; Software standards; Unmanned aircraft system; Software design</t>
  </si>
  <si>
    <t>10.2514/6.2020-0242</t>
  </si>
  <si>
    <t>https://www.scopus.com/inward/record.uri?eid=2-s2.0-85092423947&amp;doi=10.2514%2f6.2020-0242&amp;partnerID=40&amp;md5=7f23a2f1769ffe87a8ecbfeac9e4583c</t>
  </si>
  <si>
    <t>P554</t>
  </si>
  <si>
    <t>Karimibiuki, M.; Aibin, M.; Lai, Y.; Khan, R.; Norfield, R.; Hunter, A.</t>
  </si>
  <si>
    <t>Drones' Face off: Authentication by Machine Learning in Autonomous IoT Systems</t>
  </si>
  <si>
    <t>Autonomous Internet-of-Things (IoT) are comprised of moving objects such as drones and rovers that use self-control techniques to accomplish a mission while following a path. However, losing control in such systems usually by spoofing their sensors or hijacking with misleading commands can lead to catastrophic safety consequences. In this paper, we close the gap by authenticating the behavior of autonomous IoT systems during operation. In particular, we check the behavior of a moving IoT object, e.g., a drone, by evaluating its time-series telemetry traces during the flight. We examine three different machine-learning algorithms for this purpose, namely, K-Nearest Neighbour (KNN), Support Vector Machine (SVM), and Logistic Regression (LR). Our results show that KNN is the best method of the three selected techniques for authentication in dynamic IoT systems, e.g., drones. We achieved 93.4% in precision rate and 100% recall rate with KNN. © 2019 IEEE.</t>
  </si>
  <si>
    <t>Authentication; Autonomous; Drones; Machine learning; Unmanned aircraft systems; Unmanned aircraft vehicles; Aircraft; Authentication; Drones; Learning algorithms; Learning systems; Logistic regression; Mobile telecommunication systems; Nearest neighbor search; Support vector machines; Support vector regression; Ubiquitous computing; Autonomous; Control techniques; Internet of Things (IOT); K nearest neighbours (k-NN); Moving objects; Precision rates; Unmanned aircraft system; Unmanned aircrafts; Internet of things</t>
  </si>
  <si>
    <t>10.1109/UEMCON47517.2019.8992931</t>
  </si>
  <si>
    <t>https://www.scopus.com/inward/record.uri?eid=2-s2.0-85081085232&amp;doi=10.1109%2fUEMCON47517.2019.8992931&amp;partnerID=40&amp;md5=599abfcd903240a457ceede73fbe11dc</t>
  </si>
  <si>
    <t>P555</t>
  </si>
  <si>
    <t>Sadhu, V.; Zonouz, S.; Pompili, D.</t>
  </si>
  <si>
    <t>On-board Deep-learning-based Unmanned Aerial Vehicle Fault Cause Detection and Identification</t>
  </si>
  <si>
    <t>With the increase in use of Unmanned Aerial Vehicles (UAVs)/drones, it is important to detect and identify causes of failure in real time for proper recovery from a potential crash-like scenario or post incident forensics analysis. The cause of crash could be either a fault in the sensor/actuator system, a physical damage/attack, or a cyber attack on the drone's software. In this paper, we propose novel architectures based on deep Convolutional and Long Short-Term Memory Neural Networks (CNNs and LSTMs) to detect (via Autoencoder) and classify drone mis-operations based on real-time sensor data. The proposed architectures are able to learn high-level features automatically from the raw sensor data and learn the spatial and temporal dynamics in the sensor data. We validate the proposed deep-learning architectures via simulations and realworld experiments on a drone. Empirical results show that our solution is able to detect (with over 90% accuracy) and classify various types of drone mis-operations (with about 99% accuracy (simulation data) and upto 85% accuracy (experimental data)). © 2020 IEEE.</t>
  </si>
  <si>
    <t>Accidents; Agricultural robots; Aircraft detection; Antennas; Drones; Network architecture; Robotics; Security of data; Detection and identifications; Forensics analysis; High-level features; Learning architectures; Novel architecture; Proposed architectures; Real world experiment; Temporal dynamics; Deep learning</t>
  </si>
  <si>
    <t>10.1109/ICRA40945.2020.9197071</t>
  </si>
  <si>
    <t>https://www.scopus.com/inward/record.uri?eid=2-s2.0-85092743339&amp;doi=10.1109%2fICRA40945.2020.9197071&amp;partnerID=40&amp;md5=8017925cf1e437e6c7a7ea0acbda6bb2</t>
  </si>
  <si>
    <t>P556</t>
  </si>
  <si>
    <t>Riahi Manesh, M.; Kaabouch, N.</t>
  </si>
  <si>
    <t>Cyber-attacks on unmanned aerial system networks: Detection, countermeasure, and future research directions</t>
  </si>
  <si>
    <t>For an unmanned aerial system (UAS) to operate successfully, it has to communicate reliably with different entities within its network. These entities include other aircraft and UAS, ground control stations, navigation satellite systems, and air traffic control systems. However, these systems are vulnerable to different cyber-attacks including message injection, message modification, jamming, and GPS spoofing. These attacks can mislead not only UAS and aircraft, but also pilots and air traffic controllers, leading potentially to collisions and human casualties. Over the last decade, a number of technological solutions for multiple UAS problems have been developed. Yet, few works related to UAS cybersecurity have been done. This paper provides an overview of UAS vulnerabilities, cyber-attacks, and the state-of-the-art in detection and countermeasure techniques. Attacks are classified according to their types and defense strategies for the most important attacks are discussed and compared. © 2019 Elsevier Ltd</t>
  </si>
  <si>
    <t>ADS-B; Cyber-attacks; GPS; Security; UAS networks; UAS swarms; Air navigation; Air traffic control; Aircraft accidents; Antennas; Crime; Flight control systems; Global positioning system; Network security; Rock mechanics; Unmanned aerial vehicles (UAV); Air traffic controller; Cyber-attacks; Future research directions; Ground control stations; Navigation-satellite systems; Security; UAS swarms; Unmanned aerial systems; Computer crime</t>
  </si>
  <si>
    <t>10.1016/j.cose.2019.05.003</t>
  </si>
  <si>
    <t>https://www.scopus.com/inward/record.uri?eid=2-s2.0-85066408597&amp;doi=10.1016%2fj.cose.2019.05.003&amp;partnerID=40&amp;md5=c87e78bef5455fc697e37859bfdda101</t>
  </si>
  <si>
    <t>P557</t>
  </si>
  <si>
    <t>Ayala-Alfaro, V.; Torres-Del Carmen, F.; Ramirez-Paredes, J.-P.</t>
  </si>
  <si>
    <t>Wind Field Estimation by Small UAVs for Rapid Response to Contaminant Leaks</t>
  </si>
  <si>
    <t>We present a system based on a quadrotor Un-manned Aerial Vehicle for wind field estimation and prediction of contaminant spread, aiming to provide valuable information to first responders and containment crews. In our method, the wind field is estimated based on quadrotor scans over the contaminated area that leverage the onboard sensors of the aerial platform. A dispersion model is computed based on the wind field estimation, and finite element analysis is performed to find the steady state contaminant concentration map. The proposed system enables emergency workers to have a fast response to contaminant leaks in low-wind conditions by estimating the pollutant concentration map over a predetermined area. Simulation results are provided to compare and validate the estimated values obtained by our system when sensor noise is considered. © 2020 IEEE.</t>
  </si>
  <si>
    <t>Antennas; Drones; Contaminant concentrations; Contaminated areas; Dispersion modeling; Emergency workers; Low wind conditions; On-board sensors; Pollutant concentration; Wind field estimation; Contamination</t>
  </si>
  <si>
    <t>10.1109/ICUAS48674.2020.9214067</t>
  </si>
  <si>
    <t>https://www.scopus.com/inward/record.uri?eid=2-s2.0-85094954142&amp;doi=10.1109%2fICUAS48674.2020.9214067&amp;partnerID=40&amp;md5=b217c1edfed63bbda0dc33a9d67d0075</t>
  </si>
  <si>
    <t>P558</t>
  </si>
  <si>
    <t>Mairaj, A.; Majumder, S.; Javaid, A.Y.</t>
  </si>
  <si>
    <t>Game theoretic strategies for an unmanned aerial vehicle network host under DDoS attack</t>
  </si>
  <si>
    <t>Game theory involves the mathematical modeling of the strategic interaction between rational entities. One such example is the interaction between a hacker and the defense mechanisms of its target. There have been different kinds of attacks on an Unmanned Aerial Vehicle (UAV or drone) Network (UAVNet) or a Flying ad hoc network (FANET) in the recent past. The rational solution to such problems is identifying the strategies that can be chosen by the attacker, and selecting a defensive response that is most apt and intelligent while considering all the choices that a target's defensive mechanisms can make. This paper is an attempt to identify a game like situation, when a single UAV is under a DDoS attack, while a genuine UAVNet is trying to communicate with it. Two different cases of this common attack are simulated, namely, UDP flooding, and ICMP (Ping) flooding. In both cases, the intensity of these attacks is gauged with different choices made by the attacker and the target alike. Finally, the decisions that are conducive to the attacker and the victim are identified. © 2019 IEEE.</t>
  </si>
  <si>
    <t>Antennas; Denial-of-service attack; Floods; Game theory; Personal computing; Vehicular ad hoc networks; DDoS Attack; Defense mechanism; Defensive mechanism; Game-theoretic; Rational solution; Strategic interactions; Unmanned aerial vehicles (UAV)</t>
  </si>
  <si>
    <t>10.1109/ICUAS.2019.8797939</t>
  </si>
  <si>
    <t>https://www.scopus.com/inward/record.uri?eid=2-s2.0-85071834772&amp;doi=10.1109%2fICUAS.2019.8797939&amp;partnerID=40&amp;md5=13e7a30ea81721da350d1d8e920de6e0</t>
  </si>
  <si>
    <t>P559</t>
  </si>
  <si>
    <t>Javed, M.A.; Khan Niazi, S.</t>
  </si>
  <si>
    <t>5G security artifacts (DoS / DDoS and Authentication)</t>
  </si>
  <si>
    <t>5G will deliver a wider broadband access, higher and faster mobility, unprecedented connectivity and coverage to massive matrix of personal devices, mobility based (vehicular/ commercial UAVs/ Drones) and Internet of Things / Everything (IoT / IoE) nodes with ensured availability and optimum reliability. Availability is targeted through multipronged Active/Passive attacks using DOS / DDOS (RF jamming / Bandwidth jamming with malformed packets) and reliability is targeted through exploiting existing architectural weaknesses of radio and data communication protocols (LTE-A / IP based Networking). In prevailing threat landscape, concepts of adoption and integration of Software Defined Networking (SDN) and Network Function Virtualization (NFV) in 5G networks will open gateways of new networking paradigms with a focus on centralized security dynamics (overall visibility and substantial controls). These network security dynamics in diversified use cases (Internet of Everything /smart grids) will provide an optimum centralized control with a global overview, vigilant monitoring as well as prompt reaction (detection and prevention) to these prevailing threats. In this purview of the 5G cellular security matrix with a centralized SDN and NFV, this document has reviewed on 5G cellular secure communication channels to unearth the effectiveness of conventional DOS/DDoS and Authentication attacks within environment of SDN and NFV. This research will also present proposed mitigation of DOS / DDOS and incorporation of advanced authentication mechanism for more reliable cellular communication networks. © 2019 IEEE.</t>
  </si>
  <si>
    <t>5G Security; Authentication; Communication Channels; DoS/ DDoS; Dual-homed Switching Network (DSN); LTE-A; NFV; SDN; 5G mobile communication systems; Authentication; Communication channels (information theory); Internet of things; Jamming; Mobile telecommunication systems; Network function virtualization; Radio communication; 5G Security; Architectural weakness; Authentication mechanisms; Data communication protocols; Dual-homed Switching Network (DSN); LTE-A; Optimum reliability; Software defined networking (SDN); Network security</t>
  </si>
  <si>
    <t>10.1109/COMTECH.2019.8737800</t>
  </si>
  <si>
    <t>https://www.scopus.com/inward/record.uri?eid=2-s2.0-85068567362&amp;doi=10.1109%2fCOMTECH.2019.8737800&amp;partnerID=40&amp;md5=1e0b04c549ee154570b7074a856e4259</t>
  </si>
  <si>
    <t>P56</t>
  </si>
  <si>
    <t>Yao, L.; Qin, H.; Gu, B.; Shi, G.; Sha, H.; Wang, M.; Xian, D.; Chen, F.; Lu, Z.</t>
  </si>
  <si>
    <t>A Study on Anti-Jamming Algorithms in Low-Earth-Orbit Satellite Signal-of-Opportunity Positioning Systems for Unmanned Aerial Vehicles</t>
  </si>
  <si>
    <t>Low-Earth-Orbit (LEO) satellite Signal-of-Opportunity (SOP) positioning technology has gradually matured to meet the accuracy requirements for unmanned aerial vehicle (UAV) positioning in daily scenarios. Advancements in miniaturization technology for positioning terminals have also made this technology’s application to UAV positioning crucial for UAV development. However, in the increasingly complex electromagnetic environment, there remains a significant risk of degradation in positioning performance for UAVs in LEO satellite SOP positioning due to unintentional or malicious jamming. Furthermore, there is a lack of in-depth research from scholars both domestically and internationally on the anti-jamming capabilities of LEO satellite SOP positioning technology. Due to significant differences in the downlink signal characteristics between LEO satellites and Global Navigation Satellite System (GNSS) signals based on Medium Earth Orbit (MEO) or Geostationary Earth Orbit (GEO) satellites, the anti-jamming research results of traditional satellite navigation systems cannot be directly applied. This study addresses the narrow bandwidth and high signal-to-noise ratio (SNR) characteristics of signals from LEO satellite constellations. We propose a Consecutive Iteration based on Signal Cancellation (SCCI) algorithm, which significantly reduces errors during the model fitting process. Additionally, an adaptive variable convergence factor was designed to simultaneously balance convergence speed and steady-state error during the iteration process. Compared to traditional algorithms, simulation and experimental results demonstrated that the proposed algorithm enhances the effectiveness of jamming threshold settings under narrow bandwidth and high-power conditions. In the context of LEO satellite jamming scenarios, it improves the frequency-domain anti-jamming performance significantly and holds high application value for drone positioning. © 2024 by the authors.</t>
  </si>
  <si>
    <t>low Earth orbit satellite; SCCI algorithms; signal of opportunity; UAV positioning; Communication satellites; Geostationary satellites; Global positioning system; Image analysis; Image thinning; Jamming; Satellite communication systems; Tropics; Unmanned aerial vehicles (UAV); Aerial vehicle; Anti-jamming; Cancellation algorithms; Low earth orbit satellites; Satellite signals; Signal cancelation algorithm; Signal cancellation; Signals of opportunities; Unmanned aerial vehicle positioning; Vehicle positioning; Signal to noise ratio</t>
  </si>
  <si>
    <t>10.3390/drones8040164</t>
  </si>
  <si>
    <t>https://www.scopus.com/inward/record.uri?eid=2-s2.0-85191558904&amp;doi=10.3390%2fdrones8040164&amp;partnerID=40&amp;md5=75f8ed3f6080875de0f0852ae8ce3d0e</t>
  </si>
  <si>
    <t>P560</t>
  </si>
  <si>
    <t>Manesh, M.R.; Kenney, J.; Hu, W.C.; Devabhaktuni, V.K.; Kaabouch, N.</t>
  </si>
  <si>
    <t>Detection of GPS Spoofing Attacks on Unmanned Aerial Systems</t>
  </si>
  <si>
    <t>Unmanned Aerial Systems (UAS) have received a huge interest in military and civil applications. Applications of UAS are dependent on successful communications of these systems with different entities in their networks. A UAS network can include the UAS, ground control station, navigation satellite system, and automatic dependent surveillance-broadcast (ADS-B) receiver. Through these entities, a UAS is vulnerable to different cyber-attacks such as GPS spoofing. In this attack, a malicious user transmits fake signals to the GPS receiver on the UAS. The fake signals can mislead not only the aircraft but also air traffic controllers, leading to serious problems. These problems range from aircraft hijacking to collisions and human casualties. This paper proposes a supervised machine learning method based on the artificial neural network to detect GPS spoofing signals. Different features such as pseudo range, Doppler shift, and signal-to-noise ratio (SNR) are used to perform the classification of GPS signals. We examine and compare the efficiency of one-and two-hidden-layer neural networks with various numbers of hidden neurons. The results show that our proposed method provides a high probability of detection and a low probability of false alarm. © 2019 IEEE.</t>
  </si>
  <si>
    <t>Attack detection; Cyber-attacks; GPS meaconing; GPS spoofing; Machine learning; Neural network; UAS; UAV; Air traffic control; Aircraft accidents; Aircraft detection; Antennas; Computer crime; Crime; Learning systems; Machine learning; Military applications; Network layers; Network security; Neural networks; Rock mechanics; Signal receivers; Signal to noise ratio; Supervised learning; Unmanned aerial vehicles (UAV); Air traffic controller; Attack detection; Automatic dependent surveillance - broadcasts; Cyber-attacks; Ground control stations; Navigation-satellite systems; Supervised machine learning; Unmanned aerial systems; Global positioning system</t>
  </si>
  <si>
    <t>10.1109/CCNC.2019.8651804</t>
  </si>
  <si>
    <t>https://www.scopus.com/inward/record.uri?eid=2-s2.0-85063457249&amp;doi=10.1109%2fCCNC.2019.8651804&amp;partnerID=40&amp;md5=1c00c8ec07be69302c4bd650421e2f57</t>
  </si>
  <si>
    <t>P561</t>
  </si>
  <si>
    <t>Zhu, H.; Cummings, M.L.; Elfar, M.; Wang, Z.; Pajic, M.</t>
  </si>
  <si>
    <t>Operator Strategy Model Development in UAV Hacking Detection</t>
  </si>
  <si>
    <t>An increasingly relevant security issue for unmanned aerial vehicles (UAVs, also known as drones) is the possibility of a global positioning system (GPS) spoofing attack. Given the existing problems in current GPS spoofing detection techniques and human visual advantages in searching and localizing targets, we propose a human-autonomy collaborative approach of human geo-location to assist UAV control systems in detecting GPS spoofing attacks. An interactive testbed and experiment were designed and used to evaluate this approach, which demonstrated that human-autonomy collaborative hacking detection is a viable concept. Using the hidden Markov model (HMM) approach, operator behavior patterns and strategies from the experiment were modeled via hidden states and transitions among them. These models revealed two dominant hacking detection strategies. Statistical results and expert performer evaluations show no significant difference between different hacking detection strategies in terms of correct detection. The detection strategy model suggests areas of future research in decision support tool design for UAV hacking detection. Also, the development of HMMs presents the feasibility of quantitatively investigating operator behavior patterns and strategies in human supervisory control scenarios. © 2013 IEEE.</t>
  </si>
  <si>
    <t>Cyber-attack detection; hidden Markov model (HMM); human geo-location; human supervisory control; strategy classification; unmanned aerial vehicle (UAV); Aircraft control; Antennas; Control theory; Decision support systems; Global positioning system; Hidden Markov models; Man machine systems; Personal computing; Planning; Unmanned aerial vehicles (UAV); Behavior patterns; Collaborative approach; Cyber-attacks; Decision support tools; Existing problems; Geolocations; Human supervisory control; UAV control systems; Aircraft detection</t>
  </si>
  <si>
    <t>10.1109/THMS.2018.2888578</t>
  </si>
  <si>
    <t>https://www.scopus.com/inward/record.uri?eid=2-s2.0-85076470976&amp;doi=10.1109%2fTHMS.2018.2888578&amp;partnerID=40&amp;md5=fa497a04bf1f5845c8daa16442f3b7e3</t>
  </si>
  <si>
    <t>P562</t>
  </si>
  <si>
    <t>Thiha, K.; Soong, B.-H.; Vaiyapuri, V.; Nadarajan, S.</t>
  </si>
  <si>
    <t>A new method of defeating reactive jamming: Hardware Design Approach</t>
  </si>
  <si>
    <t>Wireless Sensor Network (WSN) is a physical bridge that connects the real world to the digital world. Due to recent advances in an Internet of things and Industrial 4.0, more extensive WSN devices are used in industries ranging from the aerospace system, smart grid, Unmanned Aerial Vehicle (UAV) and drone application to the military investigation. However, due to the nature of WSNs, attackers can easily deploy various security threats to make WSN network vulnerable and unstable. The easiest way to attack WSN network is through the jamming attack with a little bit knowledge of targeted communication system. Standardisation of wireless communications used in various industries makes the attackers easy to design a smart reactive jamming device. In this paper, a new method using a timing channel is proposed to defeat the reactive jammer. To validate the proposed method, a smart reactive jamming device, a transmitter and a receiver are implemented in hardware. Test results are presented, showing how the method can defeat the reactive jamming attack. © 2019 IEEE.</t>
  </si>
  <si>
    <t>Anti-jamming; Reactive jamming; Timing channel; Antennas; Industrial electronics; Jamming; Military vehicles; Security systems; Unmanned aerial vehicles (UAV); Aerospace systems; Anti-jamming; Hardware design; Jamming attacks; Jamming devices; Security threats; Timing channels; Wireless communications; Wireless sensor networks</t>
  </si>
  <si>
    <t>10.1109/ICIEA.2019.8834161</t>
  </si>
  <si>
    <t>https://www.scopus.com/inward/record.uri?eid=2-s2.0-85073056529&amp;doi=10.1109%2fICIEA.2019.8834161&amp;partnerID=40&amp;md5=69e1d266021400d5e198fce8bae2fb74</t>
  </si>
  <si>
    <t>P563</t>
  </si>
  <si>
    <t>Cyber-threat mitigation in an unmanned aircraft system (Uas) enabled airspace system: A multi-scale dynamical network approach</t>
  </si>
  <si>
    <t>– Impacts of potential cyber-threats in a future UAS-enabled airspace system are examined. In particular, a multi-resolution model is introduced, which dually captures: 1) cyber-attack impacts on aircraft trajectories within a region of interest and 2) consequent impacts on traffic flows across a wide area. In the paper, the model is motivated and described in detail. A small-scale simulation of the model is also presented, to illustrate its use in threat analysis and mitigation. © 2020, American Institute of Aeronautics and Astronautics Inc, AIAA. All rights reserved.</t>
  </si>
  <si>
    <t>Aviation; Image segmentation; Security of data; Aircraft trajectory; Airspace systems; Cyber-attacks; Dynamical networks; Multi-resolution Modeling; Region of interest; Threat analysis; Unmanned aircraft system; Unmanned aerial vehicles (UAV)</t>
  </si>
  <si>
    <t>10.2514/6.2020-2898</t>
  </si>
  <si>
    <t>https://www.scopus.com/inward/record.uri?eid=2-s2.0-85092770320&amp;doi=10.2514%2f6.2020-2898&amp;partnerID=40&amp;md5=197e93bfbc2e91713bf2da544e00cd86</t>
  </si>
  <si>
    <t>P564</t>
  </si>
  <si>
    <t>Kosuda, M.; Lipovsky, P.; Yang, W.; Bai, M.; Novotnak, J.; Szoke, Z.</t>
  </si>
  <si>
    <t>Discussion on blockchain applications in unmanned aerial systems domain</t>
  </si>
  <si>
    <t>A rise in usage of unmanned aerial systems (UAS) in commercial and civilian applications as a result of the recent advancement in manufacturing processes, communications, and networking technology led to the demand for access to non-segregated airspace. The steady development of UAS has created a dynamic environment moving at faster pace than manned aviation. In particular, there is an intense pressure on operations in very low altitudes where market is driven by new business models. Commercial UAS operators are expected to monitor weather, changes in airspace structure, avoid buildings and temporary obstacles, consider potential risks arising from the ground, and maintain separation from manned aviation. On the other hand, authorities are expected to monitor, and control unmanned aerial traffic as well as enforce the airspace rules. To address this arising requirements unmanned traffic management is being developed and deployed in numerous countries, which aims to enable safe and efficient operations of highly automated UAS in automated unmanned traffic management (UTM) system developed on foundations of modern technologies such as artificial intelligence, the Internet-of-Things, 5G networks while considering the need to address cybersecurity requirements. Among cybersecurity requirements a potential candidate with promising applications is blockchain technology, which is a distributed ledger of immutable records stored in a decentralized database. This paper discusses potential applications of blockchain technology that could support UAS operations and increase security in storing crucial flight data. © 2020 IEEE.</t>
  </si>
  <si>
    <t>Air traffic control; Antennas; Artificial intelligence; Blockchain; Security of data; Unmanned aerial vehicles (UAV); Decentralized database; Dynamic environments; Manufacturing process; Modern technologies; Networking technology; New business models; Traffic management; Unmanned aerial systems; 5G mobile communication systems</t>
  </si>
  <si>
    <t>10.1109/NTAD51447.2020.9379109</t>
  </si>
  <si>
    <t>https://www.scopus.com/inward/record.uri?eid=2-s2.0-85103856997&amp;doi=10.1109%2fNTAD51447.2020.9379109&amp;partnerID=40&amp;md5=6b06961b58d5b83274b9b0c314c86712</t>
  </si>
  <si>
    <t>P565</t>
  </si>
  <si>
    <t>Ouiazzane, S.; Barramou, F.; Addou, M.</t>
  </si>
  <si>
    <t>Towards a Multi-Agent based Network Intrusion Detection System for a Fleet of Drones</t>
  </si>
  <si>
    <t>The objective of this research work is to propose a new model of intrusion detection system for a fleet of UAVs deployed with an ad hoc communication architecture. The security of a drone fleet is rarely addressed by the scientific community, and most research has focused on routing protocols and battery autonomy, while ignoring the security aspect. The multi-agent paradigm is considered the most adequate and appropriate solution to model an effective intrusion detection system capable of detecting intrusions targeting a drone fleet. Multi-agent systems can perfectly address the security problem of a drone fleet, given the mobility, autonomy, cooperation and distribution characteristics present in the network linking the different nodes of the fleet. The proposed model consists of a set of cooperative, autonomous, communicating, learning and intelligent agents that collaborate with each other to carry out intrusion and suspicious activity detection missions that can target the network of a fleet of drones. Our system is autonomous and can detect known and unknown cyber attacks in real time without the need for human experts, who generally design the signatures of known attacks for conventional intrusion detection systems. © 2020 Science and Information Organization. All rights reserved.</t>
  </si>
  <si>
    <t>Autonomy; Distribution; Drone; Fleet of drones; Intrusion detection; Intrusion detection system; Known attacks; Multi agent system; Security; UAV; Unknown attacks; Unmanned aerial vehicle; Aircraft detection; Antennas; Autonomous agents; Computer crime; Cooperative communication; Cybersecurity; Drones; Fleet operations; Intelligent agents; Intrusion detection; Network security; Real time systems; Autonomy; Distribution; Drone; Fleet of drone; Intrusion Detection Systems; Intrusion-Detection; Known attack; Multiagent systems (MASs); Security; Unknown attacks; Multi agent systems</t>
  </si>
  <si>
    <t>10.14569/IJACSA.2020.0111044</t>
  </si>
  <si>
    <t>https://www.scopus.com/inward/record.uri?eid=2-s2.0-85101458462&amp;doi=10.14569%2fIJACSA.2020.0111044&amp;partnerID=40&amp;md5=773b8aa055c876aa4a9a5a07ae9695c6</t>
  </si>
  <si>
    <t>P566</t>
  </si>
  <si>
    <t>Arthur, M.P.</t>
  </si>
  <si>
    <t>Detecting signal spoofing and jamming attacks in UAV networks using a lightweight IDS</t>
  </si>
  <si>
    <t>In recent times, security issues pertaining to drones have received a great deal of attention from researchers in networking and communication circles, given their applications in the civilian and defence domains. Object collision avoidance over a trajectory is the only built-in security mechanism in the autopilot system of an unmanned aerial vehicle (UAV). This mechanism, however, cannot protect drones from signal spoofing and hacking attacks. Attacks on UAVs can be triggered from either the ground or flying vehicles in the transmission vicinity medium, by means of which attackers get to control flight operations or manipulate the UAV's autopilot system. An intermittent network connection that disrupts communication in UAVs exacerbates the problem. Hence, a deep learning-based, adaptive Intrusion Detection System is needed for a drone to identify its intruders and ensure its safe return-to-home (RTH). In the proposed IDS, Self-Taught Learning (STL) with a multiclass SVM is used to maintain the high true positive rate of the IDS, even in uncharted territory. A self-healing method in IDS recovery phase uses the Deep-Q Network, a deep reinforcement learning algorithm for dynamic route learning to facilitate the drone's safe return home. Simulation results show the efficiency of the proposed IDS against cyber security attacks on UAVs in terms of accuracy, sensitivity and specificity. © 2019 IEEE.</t>
  </si>
  <si>
    <t>Deep-Q network etc; Intrusion Detection System; Multiclass SVM; Self Taught Learning (STL); UAV; Air navigation; Antennas; Computer crime; Deep learning; Drones; Intrusion detection; Jamming; Learning algorithms; Network security; Personal computing; Reinforcement learning; Unmanned aerial vehicles (UAV); Vehicle transmissions; Deep-Q network etc; Intermittent networks; Intrusion Detection Systems; Multiclass SVM; Networking and communication; Self-taught learning; Sensitivity and specificity; True positive rates; Aircraft detection</t>
  </si>
  <si>
    <t>10.1109/CITS.2019.8862148</t>
  </si>
  <si>
    <t>https://www.scopus.com/inward/record.uri?eid=2-s2.0-85074137306&amp;doi=10.1109%2fCITS.2019.8862148&amp;partnerID=40&amp;md5=1a64a17ffd01d9033d86aad83323a3fc</t>
  </si>
  <si>
    <t>P567</t>
  </si>
  <si>
    <t>Bond, E.; Crowther, B.; Parslew, B.</t>
  </si>
  <si>
    <t>The Rise of High-Performance Multi-Rotor Unmanned Aerial Vehicles - How worried should we be?</t>
  </si>
  <si>
    <t>High-performance multirotor drones optimised for speed and agility present a significant and increasing challenge to current counter-drone systems based on jamming or physical interdiction. Existing jamming technology requires sustained visual line of sight targets and is most effective in countering threats from relatively slow and RF compliant videography drones. Physical interdiction using nets is again only suitable for low-speed interception. Small vehicles based on commercially available consumer drone technology with a mass of less than 1 kg and package size of 15 cm can achieve flight speeds in excess of 70 m/s and can accelerate at up to 15g, and are sufficiently inexpensive as to be considered disposable. Custom flight control systems bypass geofence restrictions and the wide availability of high power radio links greatly exceeding OFCOM limits significantly reduces the range over which commercial jamming systems are effective. Static acceleration performance is maximised simply by decreasing the power loading and decreasing the disc loading and is approximately independent of the size (mass) of the vehicle. Maximisation of top speed is more complex, requiring identification of an optimal disc loading that balances thrust against rotor drag. Top speed is also affected by area/volume scaling meaning that larger vehicles with the same power to weight ratio and disc loading generally have less drag and hence higher top speed. Consumer technology for very high thrust to weight ratio variants of larger multirotor drones is currently not readily available. However, 10 kg drones with a top speed of 100 m/s and static acceleration of 20 g are foreseeable in the next 5 years. © 2019 IEEE.</t>
  </si>
  <si>
    <t>Antennas; Drag; Drones; Flight control systems; Jamming; Radio links; Speed; Vehicle performance; Video recording; Acceleration performance; Drone system; Flight speed; High thrusts; Jamming systems; Power loading; Power-to-weight ratios; Small vehicle; Loading</t>
  </si>
  <si>
    <t>10.1109/REDUAS47371.2019.8999723</t>
  </si>
  <si>
    <t>https://www.scopus.com/inward/record.uri?eid=2-s2.0-85081278422&amp;doi=10.1109%2fREDUAS47371.2019.8999723&amp;partnerID=40&amp;md5=a0ecf997f2ea01b1f3786ecf236a6e99</t>
  </si>
  <si>
    <t>P568</t>
  </si>
  <si>
    <t>Herschfelt, A.; Yu, H.; Wu, S.; Srinivas, S.; Li, Y.; Sciammetta, N.; Smith, L.; Rueger, K.; Lee, H.; Chakrabarti, C.; Bliss, D.W.</t>
  </si>
  <si>
    <t>Joint Positioning-Communications System Design and Experimental Demonstration</t>
  </si>
  <si>
    <t>Modern radio systems must adapt to limited spectral access by reducing spectrum demand and increasing operational efficiency. We design and implement a hybrid communications, navigation, and surveillance (CNS) radio system, which simultaneously performs relative positioning and network communications in a distributed network of base-stations and unmanned aerial systems (UASs). Positioning and communications tasks are performed simultaneously with a single, co-use waveform, which efficiently utilizes a limited bandwidth allocation and limits spectrum demand of new entrants. The communications task enables applications such as distributed knowledge base, air traffic management (ATM), and distributed timing synchronization, while the positioning task enables applications such as collision avoidance and automated landing. The positioning task employs a novel time-of-flight (ToF) estimation algorithm that produces high precision (σ &lt; 5 cm) position estimates with limited bandwidth (10 MHz). The communications task provides an encrypted data link between network nodes which enables phase-accurate timing synchronization and secures the positioning system against cyberattacks such as spoofing. Multi-antenna platforms additionally enable orientation estimation and multiple-input, multiple output (MIMO) communications. We implement this system on a consumer-off-the-shelf (COTS) experimental testbed to demonstrate the functionality of the system and verify theoretical performance limits. The experimental results demonstrate that this technology is a viable alternative positioning, navigation, and timing (APNT) system which can support increasingly dense networks and numerous applications. © 2019 IEEE.</t>
  </si>
  <si>
    <t>Alternative Positioning Navigation and Timing; Autonomous Vehicles; Communications Navigation and Surveillance; Distributed Phase-Coherence; Hybrid Radio Architectures; RF Convergence; Spectrum Sharing; V2V Communications; Waveform Co-Use; Advanced traffic management systems; Air navigation; Air traffic control; Antennas; Bandwidth; Knowledge based systems; Network security; Radio navigation; Radio systems; Air Traffic Management; Distributed knowledge base; Experimental demonstrations; Network communications; Operational efficiencies; Theoretical performance; Time of flight estimation; Unmanned aerial systems; Digital avionics</t>
  </si>
  <si>
    <t>10.1109/DASC43569.2019.9081625</t>
  </si>
  <si>
    <t>https://www.scopus.com/inward/record.uri?eid=2-s2.0-85083304280&amp;doi=10.1109%2fDASC43569.2019.9081625&amp;partnerID=40&amp;md5=a19b16a19bd5755deff339c781a3b7e5</t>
  </si>
  <si>
    <t>P569</t>
  </si>
  <si>
    <t>Wingo, H.</t>
  </si>
  <si>
    <t>Smart city IoT: Co-designing trustworthy public safety drones for indoor flight missions</t>
  </si>
  <si>
    <t>This paper proposes a collaborative design (“co-design”) approach to accelerating public and political acceptance of the cyberspace and information risks, inherent to the development and deployment of indoor smart building unmanned aircraft systems (UAS) to provide immediate “visual access” to law enforcement and other armed first responders in the case of an active shooter incident inside of a building, including risks concerning (1) system safety and reliability; (2) supply chain security; (3) cybersecurity; and (4) privacy. The paper explores the potential to use a virtual world platform as part of a phased pilot at the U.S. Service Academies to build trust in the privacy, security and efficacy of a counter active shooter UAS (CAS-UAS), trust necessary to win public and political support for procuring, developing, and deploying such a system. By using a live-virtual-constructive approach similar to the U.S. military’s synthetic training environments (STE), to intentionally engage a cross-functional team in a pilot to field a prototype CAS-UAS, a co-created CAS-UAS could anticipate and address security and privacy concerns of the sort that slowed the roll-out of police body-worn cameras (BWC) and wide area motion imagery (WAMI), particularly in the context of privacy concerns over the use of facial recognition. The paper is intended to provide communities with a new approach to identify and address policy obstacles to deploying smart city IoT technology to save lives, here in the case of a CAS-UAS that can enhance situational awareness for first responders during active shootings inside of public buildings like shopping malls, corporate headquarters, houses of worship or schools. The paper draws on the author’s personal experience testifying before the U.S. Congress concerning recent questions about the supply chain security of small commercial drones. © 2020 Curran Associates Inc.. All rights reserved.</t>
  </si>
  <si>
    <t>Comprehensive Privacy Policy Systems; 3D Visualization Cyberspace: The New Battlefield Cyber Manoeuvre Warfare; Cyber-Security in Smart Cities; Privacy; Data Science; Public Safety; Cloud and Edge Computing; Artificial Intelligence; Transparent; Usable; Cybersecurity; Face recognition; Internet of things; Law enforcement; Smart city; Supply chains; Three dimensional computer graphics; 3D Visualization; 3d visualization cyberspace: the new battlefield cybe maneuver warfare;; Artificial intelligence;; Cloud and edge computing;; Cloud-computing; Comprehensive privacy policy system;; Cybe-security in smart city;; Cyber security; Cyberspaces; Data science;; Edge computing; Policy systems; Privacy; Privacy policies; Public safety; Public safety;; Transparent; Usable; Drones</t>
  </si>
  <si>
    <t>10.34190/EWS.20.509</t>
  </si>
  <si>
    <t>https://www.scopus.com/inward/record.uri?eid=2-s2.0-85094649320&amp;doi=10.34190%2fEWS.20.509&amp;partnerID=40&amp;md5=81a08ad45a42bcf0b4d1d8a1766db573</t>
  </si>
  <si>
    <t>P57</t>
  </si>
  <si>
    <t>Oracevic, A.; Salman, A.</t>
  </si>
  <si>
    <t>Unmanned Aerial Vehicles in Peril: Investigating and Addressing Cyber Threats to UAVs</t>
  </si>
  <si>
    <t>Unmanned Aerial Vehicles (UAVs), more commonly referred to as drones, are powered aircraft that are operated either remotely or via a pre-programmed flight plan. UAVs offer a cheaper alternative for acquiring high-resolution remote sensing data with increased operational flexibility. Lately, they have become prevalent for widespread use in search, rescue, or surveillance in remote, hazardous areas, or areas affected by natural disasters. However, significant cybersecurity threats to drones include a range of risks and vulnerabilities that can compromise the security, integrity, and functionality of unmanned aerial vehicles if protective measures are not implemented. Some of the common cybersecurity attacks on UAVs include GPS spoofing and jamming, remote control takeover, malware and software exploits, sensor spoofing, counter-drone attacks, and data tampering. The results of successful cybersecurity attacks can have radical repercussions on the safety of the mission, payload, structure, and human lives. In this paper, we will investigate the most common cyber threats and possible mitigations. © 2024 IEEE.</t>
  </si>
  <si>
    <t>counter-drone; cybersecurity threats; data tempering; GPS spoofing; UAV; vulnerabilities; Antennas; Cybersecurity; Disasters; Malware; Remote control; Remote sensing; Risk assessment; Aerial vehicle; Counter-drone; Cyber security; Cyber threats; Cybersecurity threat; Data tempering; GPS spoofing; Powered aircraft; Unmanned aerial vehicle; Vulnerability; Drones</t>
  </si>
  <si>
    <t>10.1109/SmartNets61466.2024.10577710</t>
  </si>
  <si>
    <t>https://www.scopus.com/inward/record.uri?eid=2-s2.0-85198906175&amp;doi=10.1109%2fSmartNets61466.2024.10577710&amp;partnerID=40&amp;md5=1421cd3163936eae592684750b2ff967</t>
  </si>
  <si>
    <t>P570</t>
  </si>
  <si>
    <t>Khan, N.A.; Jhanjhi, N.Z.; Brohi, S.N.; Nayyar, A.</t>
  </si>
  <si>
    <t>Emerging use of UAV’s: secure communication protocol issues and challenges</t>
  </si>
  <si>
    <t>In recent years, unmanned aerial vehicles (UAVs)/drones have gained popularity in many areas due to their widely used applications. They are used extensively in military and civil applications such as search and rescue, reconnaissance, monitoring of the environment and traffic, entertainment, and logistics. UAVs usually operate with the assistance of various communication protocols, such as MAVLink, UranusLink, UAVCan, from a remote control or a ground control station (GCS). These protocols of communication are used for messages exchange. These messages contain important UAV status information and control commands that are sent from GCS to the UAV and GCS to the UAV, although these protocols offer better communication. However, most of the messages are not subtle, and there is no delicate way to secure such messages and are vulnerable to several security threats, including man-in-the-middle attack, DoS attack, packet data injection attack, and eavesdropping. It can lead to severe consequences, for example, a UAV crash, stealing important military operation data, falsifying reports in a reconnaissance or search and rescue operation, and much more. A new secure communication protocol is therefore required to ensure that the necessary safety standards for the communication of UAVs are met. This chapter gives an overview of UAV, their working mechanism, types, different communication protocols which are used for communication among UAVs. It also discusses the issues related to these communication protocols and propose a new secure communication protocol for UAVs. © 2020 Elsevier Inc. All rights reserved.</t>
  </si>
  <si>
    <t>commination protocols; drones; security; UAVs</t>
  </si>
  <si>
    <t>10.1016/B978-0-12-819972-5.00003-3</t>
  </si>
  <si>
    <t>https://www.scopus.com/inward/record.uri?eid=2-s2.0-85143349767&amp;doi=10.1016%2fB978-0-12-819972-5.00003-3&amp;partnerID=40&amp;md5=722b7bc5eaef6c7192f5350bc64c7e84</t>
  </si>
  <si>
    <t>P571</t>
  </si>
  <si>
    <t>Borik, A.; Kallangodan, A.; Farhat, W.; Abougharib, A.; Jaradat, M.A.; Mukhopadhyay, S.; Abdel-Hafez, M.</t>
  </si>
  <si>
    <t>Caged Quadrotor Drone for Inspection of Central HVAC Ducts</t>
  </si>
  <si>
    <t>In this project, a 3D-printed, cost-effective caged drone was designed, manufactured and programmed such that it can move through industrial-sized HVAC ducts by rolling and hovering motion, and can switch between remote-control and autonomous navigation to detect thermal leaks and blockages. The 3D-printed cylindrical cage enables the rolling motion of the drone through straight ducts simply by pitching the drone forward, thus it provides an energy-efficient alternative to continuous hovering, prolongs operation time and protects the drone and the operators. The drone is equipped with both IR and ultrasound proximity sensors for navigation and crack detection, an RGB camera to record a video feed of the drone's expedition through the duct, a temperature sensor and thermal camera to detect thermal leaks. © 2019 IEEE.</t>
  </si>
  <si>
    <t>autonomous; drone; duct network; HVAC; inspection; leak detection; remote-control; rolling cage; UAV; 3D printers; Aircraft control; Aircraft detection; Cameras; Cost effectiveness; Crack detection; Drones; Energy efficiency; HVAC; Inspection; Leak detection; Remote control; Ultrasonic applications; Unmanned aerial vehicles (UAV); autonomous; Autonomous navigation; Cost effective; Energy efficient; Hovering motions; Operation time; Rolling motion; Thermal camera; Air conditioning ducts</t>
  </si>
  <si>
    <t>10.1109/ICASET.2019.8714539</t>
  </si>
  <si>
    <t>https://www.scopus.com/inward/record.uri?eid=2-s2.0-85066977160&amp;doi=10.1109%2fICASET.2019.8714539&amp;partnerID=40&amp;md5=77aeddc240eeb35c96c613585f85279f</t>
  </si>
  <si>
    <t>P572</t>
  </si>
  <si>
    <t>19th International Conference on Ad-Hoc Networks and Wireless, ADHOC-NOW 2020</t>
  </si>
  <si>
    <r>
      <rPr>
        <sz val="11"/>
        <color rgb="FF000000"/>
        <rFont val="Calibri"/>
        <family val="2"/>
        <scheme val="minor"/>
      </rPr>
      <t xml:space="preserve">The proceedings contain 23 papers. The special focus in this conference is on Ad-Hoc Networks and Wireless. The topics include: Energy Saving in TSCH Networks by Means of Proactive Reduction of Idle Listening; towards Long-Lasting Nanoscale Wireless Communications in the Terahertz Band for Biomedical Applications; New CAP Reduction Mechanisms for IEEE 802.15.4 DSME to Support Fluctuating Traffic in IoT Systems; testing and Evaluating a Security-Aware Pub and Sub Protocol in a Fog-Driven IoT Environment; </t>
    </r>
    <r>
      <rPr>
        <sz val="11"/>
        <color rgb="FFFF0000"/>
        <rFont val="Calibri"/>
        <family val="2"/>
        <scheme val="minor"/>
      </rPr>
      <t>XSS Attack Detection Model Based on Semi-supervised Learning Algorithm with Weighted Neighbor Purity</t>
    </r>
    <r>
      <rPr>
        <sz val="11"/>
        <color rgb="FF000000"/>
        <rFont val="Calibri"/>
        <family val="2"/>
        <scheme val="minor"/>
      </rPr>
      <t>; A Cross-Layer Intrusion Detection System for RPL-Based Internet of Things; secure Energy Constrained LoRa Mesh Network; CROSS City: Wi-Fi Location Proofs for Smart Tourism; total Transmission Time Minimization Through Relay Selection for Full-Duplex Wireless Powered Cooperative Communication Networks; Towards Named AI Networking: Unveiling the Potential of NDN for Edge AI; energy Aware Epidemic Strategies for Mobile Opportunistic Networks; Integrating an MQTT Proxy in a LoRa-Based Messaging System for Generic Sensor Data Collection; A Fault Tolerant LoRa/LoRaWAN Relay Protocol Using LoRaWAN Class A Devices; IETF Reliable and Available Wireless (RAW): Use Cases and Problem Statement; fast and Cost-Efficient Virtualized Network Function Placement Algorithm in Wireless Multi-hop Networks; Evaluation of DTN Routing Algorithms in Scheduled Public Transport Networks; geocaching-Inspired Navigation for Micro Aerial Vehicles with Fallible Place Recognition; a Dual-Stack Communication System for the Internet of Drones; consensus-Based Algorithms for Controlling Swarms of Unmanned Aerial Vehicles; STOP: A Location Spoofing Resistant Vehicle Inspection System; a Simulation Framework for QoE-Aware Real-Time Video Streaming in Multipath Scenarios.</t>
    </r>
  </si>
  <si>
    <t>https://www.scopus.com/inward/record.uri?eid=2-s2.0-85093831844&amp;partnerID=40&amp;md5=02b7af4a9f4f60838a1af8c5d57d16e5</t>
  </si>
  <si>
    <t>P573</t>
  </si>
  <si>
    <t>de Carvalho Bertoli, G.; Saotome, O.</t>
  </si>
  <si>
    <t>Security aspects of UAV and robot operating system</t>
  </si>
  <si>
    <t>Unmanned aerial vehicles (UAVs) are an enabling technology being used to improve typical tasks such as delivery, agriculture, inspection, rescue, catastrophe response, among others. Initially used on military applications, nowadays they are increasing its presence as the commercial platform and consumer electronics. Despite its benefits and being an evolving technology, it embraces aspects such as complex architecture and mission-critical applications that require a rigorous development process to guarantee operational success during its whole life cycle. News about security-related events is becoming commonplace, compromising systems aspects such as confidentiality, integrity, and availability (i.e., security pillars), resulting in operational disruption, financial losses and safety incidents. This chapter preliminary presents typical, published and ongoing researches on security flaws on UAV domain and possible scenarios that can arise from them. The following security strategies to the resilient operation is presented to support new UAV designs based on typical security approaches (e.g., authentication, cryptography), current researches, and insights derived from aircraft design guidelines, which relates to intentional unauthorized interaction (cyber-threat) and its effects to safety. Finally, deployment of the robot operating system on consumer UAV (parrot AR.Drone 2) is performed, and a cybersecurity assessment is presented containing its findings, mitigations, and proposals to strengthen its operation (resiliency). © The Institution of Engineering and Technology 2020.</t>
  </si>
  <si>
    <t>Aerospace control; Autonomous aerial vehicles; Catastrophe response; Chapter preliminary presents; Commercial platform; Complex architecture; Computer communications; Computer network security; Consumer electronics; Consumer UAV; Data security; Evolving technology; Life cycle; Military applications; Mission-critical applications; Mobile robots; Ongoing researches; Operational disruption; Operational success; Remotely operated vehicles; Resilient operation; Rigorous development process; Robot operating system; Safety; Security aspects; Security flaws; Security of data; Security pillars; Security strategies; Security-related events; Systems aspects; Typical security approaches; Typical tasks; UAV designs; UAV domain; Unmanned aerial vehicles</t>
  </si>
  <si>
    <t>10.1049/PBCE120F_ch10</t>
  </si>
  <si>
    <t>https://www.scopus.com/inward/record.uri?eid=2-s2.0-85118080976&amp;doi=10.1049%2fPBCE120F_ch10&amp;partnerID=40&amp;md5=63d8a68fa674566f9812ca92e1d9851c</t>
  </si>
  <si>
    <t>P574</t>
  </si>
  <si>
    <t>Razali, S.N.M.; Kaamin, M.; Razak, S.N.A.; Hamid, N.B.; Ahmad, N.F.A.; Mokhtar, M.; Ngadiman, N.; Sahat, S.</t>
  </si>
  <si>
    <t>Application of UAV and Csp1 matrix for building inspection at muzium negeri, seremban</t>
  </si>
  <si>
    <t>Building inspection is really essential to determine the condition of a building and one of the key components of building maintenance. To determine the defect, visual inspection will be conducted as early phase of building inspection. Usually, binocular and camera will be used as main devices in visual inspection. This research aims to study Museum Negeri defects at exterior structure especially the roof structure by using the Unmanned Aerial Vehicles (UAV) or as known as Drone. The data collected will be analyzed using Condition Survey Protocol 1 Matrix to obtain an overall rating of the building’s condition. The process involved in this study are site visit, planning and preparation before the flight, data collection using UAV, image processing and analyzing data from image. The results of analysis, a total numbers of 53 locations have been identified and documented suffer from defects or faults such as cracking, corrosion and wall perforated. All defects information obtained using UAV visual inspection can help the museum maintenance to do maintenance work. The overall condition of this building structure is 5, where the overall performance of the building is fair. © Blue Eyes Intelligence Engineering &amp; Sciences Publication.</t>
  </si>
  <si>
    <t>Building inspection; CSP1; Drone</t>
  </si>
  <si>
    <t>10.35940/ijitee.I3293.0789S319</t>
  </si>
  <si>
    <t>https://www.scopus.com/inward/record.uri?eid=2-s2.0-85072124473&amp;doi=10.35940%2fijitee.I3293.0789S319&amp;partnerID=40&amp;md5=41af28420de8950b9d12807998f6e4b5</t>
  </si>
  <si>
    <t>P575</t>
  </si>
  <si>
    <t>Wazid, M.; Bera, B.; Mitra, A.; Das, A.K.; Ali, R.</t>
  </si>
  <si>
    <t>Private blockchain-envisioned security framework for AI-enabled IoT-based drone-aided healthcare services</t>
  </si>
  <si>
    <t>Internet of Drones (IoD) architecture is designed to support a coordinated access for the airspace using the unmanned aerial vehicles (UAVs) known as drones. Recently, IoD communication environment is extremely useful for various applications in our daily activities. Artificial intelligence (AI)-enabled Internet of Things (IoT)-based drone-aided healthcare service is a specialized environment which can be used for different types of tasks, for instance, blood and urine samples collections, medicine delivery and for the delivery of other medical needs including the current pandemic of COVID-19. Due to wireless nature of communication among the deployed drones and their ground station server, several attacks (for example, replay, man-in-the-middle, impersonation and privileged-insider attacks) can be easily mounted by malicious attackers. To protect such attacks, the deployment of effective authentication, access control and key management schemes are extremely important in the IoD environment. Furthermore, combining the blockchain mechanism with deployed authentication make it more robust against various types of attacks. To mitigate such issues, we propose a private-blockchain based framework for secure communication in an IoT-enabled drone-aided healthcare environment. The blockchain-based simulation of the proposed framework has been carried out to measure its impact on various performance parameters. © 2020 Association for Computing Machinery.</t>
  </si>
  <si>
    <t>Authentication; Blockchain; Healthcare; Internet of Drones (IoD); Privacy; Security; 5G mobile communication systems; Antennas; Artificial intelligence; Authentication; Blockchain; Drones; Health care; Blood and urine samples; Communication environments; Healthcare environments; Healthcare services; Internet of Things (IOT); Key management schemes; Performance parameters; Security frameworks; Internet of things</t>
  </si>
  <si>
    <t>10.1145/3414045.3415941</t>
  </si>
  <si>
    <t>https://www.scopus.com/inward/record.uri?eid=2-s2.0-85097188500&amp;doi=10.1145%2f3414045.3415941&amp;partnerID=40&amp;md5=218cf37e900d3635d8c9fa3b2a7cf113</t>
  </si>
  <si>
    <t>P576</t>
  </si>
  <si>
    <t>Li-Destri, G.; Menta, D.; Menta, C.; Tuccitto, N.</t>
  </si>
  <si>
    <t>Effect of unmanned aerial vehicles on the spatial distribution of analytes from point source</t>
  </si>
  <si>
    <t>We investigated and overcame the limitations associated with the use of unmanned aerial vehicles (UAVs) in the chemical mapping of pollutants coming from point source, as in the case of leaks' detection. In particular, by simulating the pollutant spatial distribution in the absence and presence of a flying drone, we demonstrated that turbulent flows generated by UAVs can significantly limit the spatial accuracy of the mapping and the pollutant source detection. Finally, as this effect markedly depends on the proximity of the UAV to the pollutant source, we experimentally demonstrated that it is possible to overcome it by employing a sufficiently long probe equipped with an aspiration apparatus transporting the sample from the ground to the detector-equipped UAV. © 2020 by the authors.</t>
  </si>
  <si>
    <t>Chemical mapping; Drone; Long probe; Aircraft detection; Chemical detection; Drones; Aerial vehicle; Analytes; Chemical mapping; Leaks detections; Long probe; Point-sources; Pollutant sources; Source detection; Spatial accuracy; Probes</t>
  </si>
  <si>
    <t>10.3390/CHEMOSENSORS8030077</t>
  </si>
  <si>
    <t>https://www.scopus.com/inward/record.uri?eid=2-s2.0-85090503594&amp;doi=10.3390%2fCHEMOSENSORS8030077&amp;partnerID=40&amp;md5=ef7b327baa3e384f0c8011f85028ce9b</t>
  </si>
  <si>
    <t>P577</t>
  </si>
  <si>
    <t>Mielke, D.M.</t>
  </si>
  <si>
    <t>Circumventing the Random Access Channel: New Concepts for Accessing a Command Control Link for Unmanned Aircraft</t>
  </si>
  <si>
    <t>Unmanned Aircraft (UA) are expected to considerably grow in importance for global aviation during the next years. Although a comparatively high level of autonomy is anticipated for UA, a reliable data link ('Command and Control', C2-link) will be mandatory for their operation. The C2 link is used to exchange all information between UA and remote pilot, immediately required for operating the UA. This data is called non-payload data; examples are positioning information, telemetry data or flight trajectories, respectively. None of the currently available aeronautical communication standards can fulfill the requirements for such a multi-user, multi-point datalink in terms of reliability, flexibility, data integrity, robustness and latency. The C-Band Digital Aeronautical Communication System (CDACS) is a possible candidate for such a C2 link making use of modern communication techniques like Orthogonal Frequency Division Multiplex (OFDM) and SC-FDMA, [1], [2]. While CDACS development has so far focused on the general requirements and the waveform design, physical layer robustness also known as PHY layer security, e.g. against jamming/spoofing, has not yet been considered yet. One aspect of making CDACS more robust is hardening the login process of a user, in the case of CDACS a UA, into the network against such attacks. This login process is often realized using a Random Access Channel (RACH), that enables users not known to the base station access to the network. In this paper we discuss several concepts that try to avoid the traditional RACH, thus closing one potential vulnerability of the system. © 2019 IEEE.</t>
  </si>
  <si>
    <t>Digital avionics; Physical layer; Robustness (control systems); Unmanned aerial vehicles (UAV); Aeronautical communications; Command and control; Communication techniques; Level of autonomies; Orthogonal frequency division multiplexes (OFDM); PHY-layer security; Positioning information; Random access channel; Frequency division multiple access</t>
  </si>
  <si>
    <t>10.1109/DASC43569.2019.9081684</t>
  </si>
  <si>
    <t>https://www.scopus.com/inward/record.uri?eid=2-s2.0-85084730709&amp;doi=10.1109%2fDASC43569.2019.9081684&amp;partnerID=40&amp;md5=2f24c7e671618124b5a3b3ddd479c9ac</t>
  </si>
  <si>
    <t>P578</t>
  </si>
  <si>
    <t>Bowman, J.; Brooks, J.; Lopez, C.; Marcos-Martinez, A.; Salman, A.</t>
  </si>
  <si>
    <t>Secure Data Collection Using Autonomous Unmanned Aerial Vehicles</t>
  </si>
  <si>
    <t>In recent years, drones have become a practical solution for data collection in both academic and commercial fields. The use of drones allows users to collect data without disrupting the environment and keep safe from dangerous areas such as: military operations and surveillance in locations where maneuverability is difficult. The different data collected via unmanned aerial vehicles include field work GPS coordinates, environmental quality measurements, photographs/video and much more. The data collected by unmanned aerial vehicles may contain sensitive information, leading to an increased value on the security of that data. Without proper security services, information may be used in unforeseen, or even malicious ways, such as planting false information or leaking particularly sensitive data. In this paper we introduce a secure data collection method from wireless sensor nodes using autonomous unmanned aerial vehicles. We built a sensor node with multiple sensors designed to collect data for rainfall, temperature, humidity, ultra violet index, and soil moisture. Along with another sensor node with sensors used to collect data from water, we created a wireless sensor network where the sensor data was collected using an unmanned aerial vehicle. The sensor nodes collected environmental data through several sensors which are securely stored in the sensor node itself. The collected data was then transferred securely to a central node mounted on a DJI F450 Flamewheel quad-copter, which was loaded with a predetermined flight path via Mission Planner to perform the autonomous flight. Aside from previous environmental focus, technical improvements were made such as adding a solar battery to the sensor node and implementing energy efficiency in the nodes' systems while the drone collected data autonomously during a predetermined flight path. This project served as a proof-of-concept that communication with a wireless sensor node has the capability to be deployed for data collection in remote areas efficiently and effectively while maintaining a low power and energy consumption. © 2020 IEEE.</t>
  </si>
  <si>
    <t>Autonomous Flight; Data Collection; Drone; Security; Sensor Nodes; Unmanned Aerial Vehicles (UAVs); Antennas; Drones; Energy efficiency; Energy utilization; Flight paths; Maneuverability; Military operations; Sensor nodes; Soil moisture; Thermoelectricity; Autonomous flight; Autonomous unmanned aerial vehicles; Environmental data; Environmental quality; Practical solutions; Sensitive informations; Technical improvement; Wireless sensor node; Data acquisition</t>
  </si>
  <si>
    <t>10.1109/SIEDS49339.2020.9106687</t>
  </si>
  <si>
    <t>https://www.scopus.com/inward/record.uri?eid=2-s2.0-85087062240&amp;doi=10.1109%2fSIEDS49339.2020.9106687&amp;partnerID=40&amp;md5=fa3e94750d7074e9933b81ede29dfccb</t>
  </si>
  <si>
    <t>P579</t>
  </si>
  <si>
    <t>Liu, Y.; Wang, J.; Niu, S.; Song, H.</t>
  </si>
  <si>
    <t>Deep Learning Enabled Reliable Identity Verification and Spoofing Detection</t>
  </si>
  <si>
    <t>Identity spoofing is one of the severe threats in Cyber-Physical Systems (CPS). These attacks can cause hazardous issues if they occur in Air Traffic Control (ATC) or other safety-critical systems. For example, a malicious UAV (Unmanned Aerial Vehicle) could easily impersonate a legitimate aircraft’s identifier to trespass controlled airspace or broadcast falsified information to disable the airspace operation. In this paper, we propose a joint solution of identity verification and spoofing detection in ATC with assured performances. First, we use an enhanced Deep Neural Network with a zero-bias dense layer with an interpretable mechanism. Second, based on the enhanced Deep Neural Network, we reliably verify airborne targets’ identity with the capability of detecting spoofing attacks. Third, we provide a continual learning paradigm to enable the dynamic evolution of the Deep Neural Network. Our approaches are validated using real Automatic dependent surveillance–broadcast (ADS–B) signals and can be generalized to secure other safety-critical CPS. © 2020, Springer Nature Switzerland AG.</t>
  </si>
  <si>
    <t>Continual learning; Deep learning; Quickest detection; Air traffic control; Antennas; Deep neural networks; Embedded systems; Multilayer neural networks; Safety engineering; Unmanned aerial vehicles (UAV); Air traffic control (ATC); Automatic dependent surveillance; Continual learning; Cyber-physical systems (CPS); Dynamic evolution; Identity verification; Safety critical systems; UAV (unmanned aerial vehicle); Deep learning</t>
  </si>
  <si>
    <t>10.1007/978-3-030-59016-1_28</t>
  </si>
  <si>
    <t>https://www.scopus.com/inward/record.uri?eid=2-s2.0-85091498910&amp;doi=10.1007%2f978-3-030-59016-1_28&amp;partnerID=40&amp;md5=9db87634b07b2fd734cf117d32988782</t>
  </si>
  <si>
    <t>P58</t>
  </si>
  <si>
    <t>Ejiyeh, A.M.</t>
  </si>
  <si>
    <t>Secure, Robust, and Energy-Efficient Authenticated Data Sharing in Drone to Vehicles Communications</t>
  </si>
  <si>
    <t>In response to the need for reliable and secure communication systems to ensure public safety in sixth-generation (6G) wireless networks, this paper addresses the challenges of utilizing drones (Unmanned Aerial Vehicles or UAV) for vehicle-to-vehicle (V2V) communication. While 6G networks promise rapid data delivery with minimal latency, ensuring consistent connectivity poses a significant challenge, particularly in scenarios vital for public safety. To mitigate these challenges, we propose integrating drones into the communication infrastructure. Our novel approach in-volves drones collaboratively retrieving content from service providers and establishing secure connections with vehicles to facilitate secuer and efficient data exchange. We propose two innovative protocols: SeGDS for coordinated group data retrieval among drones, and SeDDS for secure direct data sharing with vehicles. These protocols offer lightweight, certificate-free solutions with features such as vehicle revocation, non-repudiation, and mutual authentication. Empha-sizing high availability, our protocols effectively detect and mitigate Denial of Service (DoS) and free riding attacks. This ensures robust security for UAV swarm deployments and public safety. Furthermore, we evaluate the energy efficiency of our proposed protocols, demonstrating their effectiveness in reducing energy consumption compared to existing methods. Specifically, SeDDS reduces computation overhead by 1.5x, while SeGDS decreases communication costs by 2.5x. Leveraging certificateless signcryption and certificateless multi-receiver encryption, our protocols for the first time provide a comprehensive solution for securing and enhancing communication in 6G networks, critical for public safety and mission-critical services.  © 2024 IEEE.</t>
  </si>
  <si>
    <t>6G; Certificateless; Group data downloading; Signcryption; Unmanned Aerial Vehicle (UAV); V2X; VANET; Zero-Trust; Aircraft communication; Authentication; Data communication systems; Data privacy; Fading channels; Formal concept analysis; Network security; Secure communication; Signaling; Steganography; 6g; Aerial vehicle; Certificateless; Data downloading; Group data downloading; Signcryption; Unmanned aerial vehicle; V2X; VANET; Zero-trust; Drones</t>
  </si>
  <si>
    <t>10.1109/EuroSPW61312.2024.00049</t>
  </si>
  <si>
    <t>https://www.scopus.com/inward/record.uri?eid=2-s2.0-85203013961&amp;doi=10.1109%2fEuroSPW61312.2024.00049&amp;partnerID=40&amp;md5=650ae34aa66b9578a03bdfee06571382</t>
  </si>
  <si>
    <t>P580</t>
  </si>
  <si>
    <t>Abughalwa, M.; Hasna, M.O.</t>
  </si>
  <si>
    <t>A Comparative Secrecy Study of Flying and Ground Eavesdropping in UAV Based Communication Systems</t>
  </si>
  <si>
    <t>In this paper, we study the strictly positive secrecy outage probability (SOP) and the ergodic secrecy capacity of a wiretap unmanned aerial vehicle (UAV) system where a UAV transmitter (Alice) is trying to send a message to a ground receiver (Bob) while an eavesdropper (Eve) is attempting to eavesdrop on the legitimate communication link. We study the performance of the system in two cases, first, when Eve is on the ground and an Air-to-Ground channel model is adopted between Alice, Bob and Eve. In the second case, Eve is a UAV drone that is located at the same altitude as Alice and the channel between Alice and Eve follows an Air-to-Air channel model. We derive closed form expressions of the SOP and ergodic secrecy capacity for the two scenarios. Simulation results verify the analytical derivations, where the results highlight the importance of the derived secrecy metrics, especially the impact of the distance between Alice and Eve on the overall performance. © 2019 IEEE.</t>
  </si>
  <si>
    <t>Air-to-Air Channel Model; Airto-Ground Channel Model; Ergodic Secrecy Capacity; Rayleigh Fading Channel; Rician Fading Channels; Strictly Positive Secrecy Outage Probability; Wiretap Channels; Antennas; Fading channels; Rayleigh fading; Security systems; Unmanned aerial vehicles (UAV); Air channels; Channel model; Ergodics; Rician fading channel; Secrecy outage probabilities; Wire-tap channels; Vehicle to vehicle communications</t>
  </si>
  <si>
    <t>10.1109/ICTC46691.2019.8939911</t>
  </si>
  <si>
    <t>https://www.scopus.com/inward/record.uri?eid=2-s2.0-85078252140&amp;doi=10.1109%2fICTC46691.2019.8939911&amp;partnerID=40&amp;md5=376eb3ec310a93a014745892b928117b</t>
  </si>
  <si>
    <t>P581</t>
  </si>
  <si>
    <t>Morales-Ferre, R.; Richter, P.; Falletti, E.; De La Fuente, A.; Lohan, E.S.</t>
  </si>
  <si>
    <t>A survey on coping with intentional interference in satellite navigation for manned and unmanned aircraft</t>
  </si>
  <si>
    <t>Intentional interference in satellite navigation is becoming an increasing threat for modern systems relying on Global Navigation Satellite Systems (GNSS). In particular, critical applications such as aviation can be severely affected by un-detected and un-mitigated interference and therefore interference management solutions are crucial to be employed. Methods to cope with such intentional interference enclose interference detection, interference mitigation, interference classification, and interference localization. This paper offers a comprehensive survey of interference management methods developed in the last four decades by the research community. After reviewing the main concepts of GNSS-based navigation, the interference and interference management solutions are classified, with a particular focus on the two major threats in GNSS navigation, namely jamming and spoofing. Mathematical models, comparative tables for various interference management solutions, such as detection, localization, mitigation, and classification, as well as comparative numerical results based on several selected algorithms are also presented. We especially focus on algorithms relying on omni-directional antennas, which do not require additional specific antennas to be installed on the aircraft and thus reduce the costs of retrofit and installation. © 1998-2012 IEEE.</t>
  </si>
  <si>
    <t>Aviation; drones; GNSS; interference; jamming; meaconing; SatNav; spoofing; Air navigation; Aviation; Drones; Global positioning system; Jamming; Navigation; Omnidirectional antennas; Satellites; Surveys; Unmanned aerial vehicles (UAV); Wave interference; Global Navigation Satellite Systems; GNSS; Interference localization; Interference management; meaconing; Omni-directional antenna; SatNav; spoofing; Satellite antennas</t>
  </si>
  <si>
    <t>10.1109/COMST.2019.2949178</t>
  </si>
  <si>
    <t>https://www.scopus.com/inward/record.uri?eid=2-s2.0-85081750917&amp;doi=10.1109%2fCOMST.2019.2949178&amp;partnerID=40&amp;md5=6e907c4ac910c40ac980ee65c17e05d6</t>
  </si>
  <si>
    <t>P582</t>
  </si>
  <si>
    <t>Jahan, F.; Sun, W.; Niyaz, Q.; Alam, M.</t>
  </si>
  <si>
    <t>Security modeling of autonomous systems: A survey</t>
  </si>
  <si>
    <t>Autonomous systems will soon be integrating into our lives as home assistants, delivery drones, and driverless cars. The implementation of the level of automation in these systems from being manually controlled to fully autonomous would depend upon the autonomy approach chosen to design these systems. This article reviews the historical evolution of autonomy, its approaches, and the current trends in related fields to build robust autonomous systems. Toward such a goal and with the increased number of cyberattacks, the security of these systems needs special attention from the research community. To gauge the extent to which research has been done in this area, we discuss the cybersecurity of these systems. It is essential to model the system from a security perspective, identify the threats and vulnerabilities, and then model the attacks. A survey in this direction explores the theoretical/analytical system and attack models that have been proposed over the years and identifies the research gap that needs to be addressed by the research community. © 2019 Association for Computing Machinery.</t>
  </si>
  <si>
    <t>Autonomous system (AS); Cybersecurity; Driverless car; Modeling; Robots; Unmanned Aerial Vehicles (UAVs); Antennas; Robotics; Surveys; Unmanned aerial vehicles (UAV); Aerial vehicle; Autonomous system; Cyber security; Driverless cars; Historical evolutions; Levels of automation; Modeling; Research communities; Security modeling; Unmanned aerial vehicle; Cybersecurity</t>
  </si>
  <si>
    <t>10.1145/3337791</t>
  </si>
  <si>
    <t>https://www.scopus.com/inward/record.uri?eid=2-s2.0-85072371557&amp;doi=10.1145%2f3337791&amp;partnerID=40&amp;md5=4672ed6199bb3a3f569702b23901d494</t>
  </si>
  <si>
    <t>P583</t>
  </si>
  <si>
    <t>Rozlosnik, A.E.</t>
  </si>
  <si>
    <t>Reimagining infrared industry with artificial intelligence and IoT/IIoT</t>
  </si>
  <si>
    <t>In this paper we explore the impact that interconnection devices could have or are having on the new emerging IoT / IIoT network as well as on AI-artificial intelligence. The new digital era (Fourth Industrial Revolution) presents challenges, risks, and opportunities for both industries and many social and commercial activities. Infrared Industry devices and sensors (+ Non-Contact Temperature Measurement) Involving Bands: NIR-SWIR-MWIR- LWIR and Hyperspectral / Multispectral Imaging are also part of this move. Infrared imaging and sensors could either stand alone in a system, be integrated with other sensors from various technologies, and/or unified in a robot, drone, and unmanned aerial vehicle, in ADAS (Advanced driver-assistance systems) and with other emerging technologies. On the other hand, the world is going through a hyper-connectivity network process with a noticeable improvement in speed data transfer and virtually instantaneous latency (LTE- 5G and Wi-Fi 6- IEEE 802.11ax) in which the potential autonomy of the systems with AI- artificial intelligence should also be included (Big data/ Data analytics / Machine learning / Deep learning). © 2020 SPIE.</t>
  </si>
  <si>
    <t>Artificial Intelligence (AI): Machine Learning- Deep Learning; Big Data; Cybersecurity; Embedded Processors; Fourth Industrial Revolution; Infrared Industry; Internet of Things (IoT); IPv6; LTG-5G; 5G mobile communication systems; Advanced Analytics; Advanced driver assistance systems; Antennas; Artificial intelligence; Automobile drivers; Data Analytics; Data transfer; Hyperspectral imaging; IEEE Standards; Infrared devices; Internet of things; Temperature measurement; Thermography (imaging); Unmanned aerial vehicles (UAV); Wi-Fi; Emerging technologies; HyperSpectral; Industrial revolutions; Interconnection devices; Network process; Non contact temperatures; Stand -alone; Various technologies; Infrared radiation</t>
  </si>
  <si>
    <t>10.1117/12.2560466</t>
  </si>
  <si>
    <t>https://www.scopus.com/inward/record.uri?eid=2-s2.0-85089593403&amp;doi=10.1117%2f12.2560466&amp;partnerID=40&amp;md5=e438824db388990655ec687a67723c86</t>
  </si>
  <si>
    <t>P584</t>
  </si>
  <si>
    <t>Bel Hadj Ali, N.; Abichou, T.; Green, R.</t>
  </si>
  <si>
    <t>Comparing estimates of fugitive landfill methane emissions using inverse plume modeling obtained with Surface Emission Monitoring (SEM), Drone Emission Monitoring (DEM), and Downwind Plume Emission Monitoring (DWPEM)</t>
  </si>
  <si>
    <t>As part of the global effort to quantify and manage anthropogenic greenhouse gas emissions, there is considerable interest in quantifying methane emissions in municipal solid waste landfills. A variety of analytical and experimental methods are currently in use for this task. In this paper, an optimization-based estimation method is employed to assess fugitive landfill methane emissions. The method combines inverse plume modeling with ambient air methane concentration measurements. Three different measurement approaches are tested and compared. The method is combined with surface emission monitoring (SEM), above ground drone emission monitoring (DEM), and downwind plume emission monitoring (DWPEM). The methodology is first trialed and validated using synthetic datasets in a hand-generated case study. A field study is also presented where SEM, DEM and DWPEM are tested and compared. Methane flux during two-days measurement campaign was estimated to be between 228 and 350 g/s depending on the type of measurements used. Compared to SEM, using unmanned aerial systems (UAS) allows for a rapid and comprehensive coverage of the site. However, as showed through this work, advancement of DEM-based methane sampling is governed by the advances that could be made in UAS-compatible measurement instrumentations. Downwind plume emission monitoring led to a smaller estimated flux compared with SEM and DEM without information about positions of major leak points in the landfill. Even though, the method is simple and rapid for landfill methane screening. Finally, the optimization-based methodology originally developed for SEM, shows promising results when it is combined with the drone-based collected data and downwind concentration measurements. The studied cases also discovered the limitations of the studied sampling strategies which is exploited to identify improvement strategies and recommendations for a more efficient assessment of fugitive landfill methane emissions. Implications: Fugitive landfill methane emission estimation is tackled in the present study. An optimization-based method combined with inverse plume modeling is employed to treat data from surface emission monitoring, drone-based emission monitoring and downwind plume emission monitoring. The study helped revealing the advantages and the limitations of the studied sampling strategies. Recommendations for an efficient assessment of landfill methane emissions are formulated. The method trialed in this study for fugitive landfill methane emission could also be appropriate for rapid screening of analogous greenhouse gas emission hotspots. © 2020, © 2020 A&amp;WMA.</t>
  </si>
  <si>
    <t>Air Pollutants; Environmental Monitoring; Methane; Models, Theoretical; Waste Disposal Facilities; Antennas; Drones; Gas emissions; Greenhouse gases; Inverse problems; Methane; Monitoring; Municipal solid waste; methane; methane; Anthropogenic greenhouse gas emissions; Concentration Measurement; Improvement strategies; Measurement instrumentation; Methane concentrations; Municipal solid waste landfills; Optimization based methods; Unmanned aerial systems; air monitoring; concentration (parameter); environmental temperature; field study; landfill; meteorology; plume; priority journal; unmanned aerial vehicle; wind speed; air pollutant; comparative study; environmental monitoring; procedures; theoretical model; waste disposal facility; Land fill</t>
  </si>
  <si>
    <t>10.1080/10962247.2020.1728423</t>
  </si>
  <si>
    <t>https://www.scopus.com/inward/record.uri?eid=2-s2.0-85081315844&amp;doi=10.1080%2f10962247.2020.1728423&amp;partnerID=40&amp;md5=3198d2f16f163af9c8cd00dd7eefd136</t>
  </si>
  <si>
    <t>P585</t>
  </si>
  <si>
    <t>2019 1st International Conference on Unmanned Vehicle Systems-Oman, UVS 2019</t>
  </si>
  <si>
    <r>
      <rPr>
        <sz val="11"/>
        <color rgb="FF000000"/>
        <rFont val="Calibri"/>
        <family val="2"/>
        <scheme val="minor"/>
      </rPr>
      <t xml:space="preserve">The proceedings contain 17 papers. The topics discussed include: design and implementation of an unmanned surface vehicle for oil spill handling; development of magnetostrictive harvester for unmanned aerial vehicles (UAV); </t>
    </r>
    <r>
      <rPr>
        <sz val="11"/>
        <color rgb="FFFF0000"/>
        <rFont val="Calibri"/>
        <family val="2"/>
        <scheme val="minor"/>
      </rPr>
      <t>drone hacking with raspberry-Pi 3 and WiFi pineapple: security and privacy threats for the internet-of-things</t>
    </r>
    <r>
      <rPr>
        <sz val="11"/>
        <color rgb="FF000000"/>
        <rFont val="Calibri"/>
        <family val="2"/>
        <scheme val="minor"/>
      </rPr>
      <t>; automatic fault detection of power lines using unmanned aerial vehicle (UAV); an integrated web-based approach for near real-time mission monitoring; tracking control of quadrotor using generalized dynamic inversion with constant-proportional rate reaching law; car detection using unmanned aerial vehicles: comparison between faster R-CNN and YOLOv3; and ethical design perspectives of intelligent UAVs.</t>
    </r>
  </si>
  <si>
    <t>https://www.scopus.com/inward/record.uri?eid=2-s2.0-85063956139&amp;partnerID=40&amp;md5=a743c6cf791f52e19d9c33b37e06488d</t>
  </si>
  <si>
    <t>P586</t>
  </si>
  <si>
    <t>Putranto, D.S.C.; Aji, A.K.; Wahyudono, B.</t>
  </si>
  <si>
    <t>Design and Implementation of Secure Transmission on Internet of Drones</t>
  </si>
  <si>
    <t>Unmanned Aerial Vehicle (UAV) or commonly referred as drone, is a commercial product that is very wellknown to be used in various application, has led scientists to examine the function of drones to maximize their function. Therefore, the architecture of the Internet of Drones (IoD) was created. However, there have been several attacks on the communication protocol so it can be said that these deficiencies can be detrimental to many parties. Authentication and encryption are used to secure transmissions on IoD. In this research, a transmission system that is secure from eavesdropping, hijacking, and DDoS was built. The research was conducted using the SDLC methodology using a prototyping approach. Based on the tests conducted, the system built is resistant to eavesdropping, hijacking, and DDoS attacks with 100% result of security tests. © 2019 IEEE.</t>
  </si>
  <si>
    <t>4g; drone; internet of drones; raspberry pi; secure transmission; Antennas; Authentication; Commercial vehicles; Denial-of-service attack; Drones; Network security; Security systems; Commercial products; DDoS Attack; Design and implementations; Secure transmission; Security tests; Transmission systems; Cryptography</t>
  </si>
  <si>
    <t>10.1109/ACDT47198.2019.9072714</t>
  </si>
  <si>
    <t>https://www.scopus.com/inward/record.uri?eid=2-s2.0-85084681721&amp;doi=10.1109%2fACDT47198.2019.9072714&amp;partnerID=40&amp;md5=9a3322765e00206086e96c2d86e51115</t>
  </si>
  <si>
    <t>P587</t>
  </si>
  <si>
    <t>Cognitive computing intelligence to assist avionics analytics</t>
  </si>
  <si>
    <t>Safety aviation assessment is an increasing concern in Air and Unmanned Aerial System Traffic Management (ATM/UTM). For ATM/UTM situations, there is a need to investigate methodologies and tools to assist air personnel in making decisions. This paper discusses a cognitive model for a Decision-Support System (DSS) to facilitate ATM/UTM. The knowledge-intensive modeling is meant to be the foundation of the comprehension needed for situation awareness about the surroundings of the operation context of the DSS. This paper presents results from dependability verification (logical consistency) of an Avionics Analytics Ontology (AAO). The verification process involves airspace situations including weather conditions and drones. Concluding remarks and further steps for this research work are also discussed. © 2020 IEEE.</t>
  </si>
  <si>
    <t>Avionics analytics; Decision-making support; Drone cybersecurity; Knowledge engineering; Multi-sensor fusion; Advanced traffic management systems; Air traffic control; Antennas; Decision support systems; Cognitive Computing; Decision support system (dss); Logical consistency; Making decision; Situation awareness; Traffic management; Unmanned aerial systems; Verification process; Digital avionics</t>
  </si>
  <si>
    <t>10.1109/DASC50938.2020.9256796</t>
  </si>
  <si>
    <t>https://www.scopus.com/inward/record.uri?eid=2-s2.0-85097976668&amp;doi=10.1109%2fDASC50938.2020.9256796&amp;partnerID=40&amp;md5=3089de2b0783f691a0144081a19bd0ac</t>
  </si>
  <si>
    <t>P588</t>
  </si>
  <si>
    <t>Manesh, M.R.; Velashani, M.S.; Ghribi, E.; Kaabouch, N.</t>
  </si>
  <si>
    <t>Performance comparison of machine learning algorithms in detecting jamming attacks on ADS-B0 devices</t>
  </si>
  <si>
    <t>Aviation communities are nowadays deploying automatic dependent surveillance-broadcast (ADS-B) systems on aircraft to have more accurate and reliable air traffic control. This system broadcasts some of the aircraft telemetry data in the form of plaintext messages over unencrypted datalinks, which makes this system vulnerable to several cyber-attacks including jamming. To mitigate these attacks, the first step to take is to detect them. A few techniques have been proposed in the literature, but these techniques suffer from several limitations. This paper presents a comprehensive study highlighting the efficiency of machine learning based classifiers towards jamming attacks detection. Several supervised machine learning algorithms including support vector machine, k-nearest neighbor, artificial neural network, and decision tree are used and their performance is compared. Features such as bit error rate, bad packet ratio, and energy statistic are utilized to train these models and to distinguish the received jamming signals from legitimate ones. The results show that the two-hidden-layer neural network with 15 neurons outperforms all the other algorithms. © 2019 IEEE.</t>
  </si>
  <si>
    <t>ADS-B; Automatic Dependent Surveillance-Broadcast; Cyberattacks; Jamming; Logistic Regression; Machine Learning; Neural Networks; Support Vector Machine (SVM); UAS; UAV; Air traffic control; Bit error rate; Decision trees; Jamming; Learning systems; Machine learning; Multilayer neural networks; Nearest neighbor search; Network layers; Network security; Neural networks; Supervised learning; Support vector machines; Unmanned aerial vehicles (UAV); Automatic dependent surveillance - broadcasts; Automatic dependent surveillance-broadcast systems; Cyber-attacks; Energy statistics; K-nearest neighbors; Logistic regressions; Performance comparison; Supervised machine learning; Learning algorithms</t>
  </si>
  <si>
    <t>10.1109/EIT.2019.8833789</t>
  </si>
  <si>
    <t>https://www.scopus.com/inward/record.uri?eid=2-s2.0-85072836073&amp;doi=10.1109%2fEIT.2019.8833789&amp;partnerID=40&amp;md5=64aa033fa424456b91c3006dbe02e8e6</t>
  </si>
  <si>
    <t>P589</t>
  </si>
  <si>
    <t>Eldosouky, A.; Ferdowsi, A.; Saad, W.</t>
  </si>
  <si>
    <t>Drones in Distress: A Game-Theoretic Countermeasure for Protecting UAVs Against GPS Spoofing</t>
  </si>
  <si>
    <t>One prominent security threat that targets unmanned aerial vehicles (UAVs) is the capture via global positioning system (GPS) spoofing in which an attacker manipulates a UAV's GPS signals in order to capture it. Given the anticipated widespread deployment of UAVs for various purposes, it is imperative to develop new security solutions against such attacks. In this article, a mathematical framework is introduced for analyzing and mitigating the effects of GPS spoofing attacks on UAVs. In particular, system dynamics are used to model the optimal routes that the UAVs will adopt to reach their destinations. The GPS spoofer's effect on each UAV's route is also captured by the model. To this end, the spoofer's optimal imposed locations on the UAVs, are analytically derived; allowing the UAVs to predict their traveling routes under attack. Then, a countermeasure mechanism is developed to mitigate the effect of the GPS spoofing attack. The countermeasure is built on the premise of cooperative localization, in which a UAV can determine its location using nearby UAVs instead of the possibly compromised GPS locations. To better utilize the proposed defense mechanism, a dynamic Stackelberg game is formulated to model the interactions between a GPS spoofer and a drone operator. In particular, the drone operator acts as the leader that determines its optimal strategy in light of the spoofer's expected response strategy. The equilibrium strategies of the game are then analytically characterized and studied through a novel proposed algorithm. The simulation results show that, when combined with the Stackelberg strategies, the proposed defense mechanism will outperform baseline strategy selection techniques in terms of reducing the possibility of UAV capture. © 2014 IEEE.</t>
  </si>
  <si>
    <t>Cooperative localization; dynamic Stackelberg equilibrium; game theory; global positioning system (GPS) spoofing; unmanned aerial vehicles (UAVs); Antennas; Drones; Game theory; Location; Network security; Cooperative localization; Defense mechanism; Equilibrium strategy; Mathematical frameworks; Optimal strategies; Response strategies; Security solutions; Strategy selection; Global positioning system</t>
  </si>
  <si>
    <t>10.1109/JIOT.2019.2963337</t>
  </si>
  <si>
    <t>https://www.scopus.com/inward/record.uri?eid=2-s2.0-85083719294&amp;doi=10.1109%2fJIOT.2019.2963337&amp;partnerID=40&amp;md5=58bc4263f887669ac2fde6d30ab6d1d4</t>
  </si>
  <si>
    <t>P59</t>
  </si>
  <si>
    <t>Finn, A.; Jia, M.; Li, Y.; Yuan, J.</t>
  </si>
  <si>
    <t>Detecting Stealthy GPS Spoofing Attack Against UAVs Using Onboard Sensors</t>
  </si>
  <si>
    <t>Unmanned aerial vehicles (UAVs), known as drones, have gained significant popularity across various military, civilian, and commercial applications. Given the fact that many UAV operations rely on the Global Positioning System (GPS), they inevitably become susceptible to GPS spoofing attacks. In recent years, AI-enabled detection approaches toward UAV GPS spoofing attacks have increasingly received research attention. Therefore, it is crucial to have a systematical understanding of GPS spoofing attacks and collect a comprehensive and quality data set in the construction of effective AI-enabled detection. This paper aims to collect a large dataset of UAV flights under normal and attack scenarios and design an effective detection approach for stealthy UAV GPS spoofing attacks using onboard sensors and machine learning. 30 different features from 4 onboard UAV sensors are extracted in constructing effective AI models. On top of that, we examined different deep learning and machine learning models by fusing important features from our analysis. Our evaluation results in different flight scenarios demonstrated the effectiveness of our proposed approach, in which a high detection accuracy up to 98.7% and a fast detection time of 0.5 second can be achieved using the XGBoost model. © 2024 IEEE.</t>
  </si>
  <si>
    <t>AI-enabled detection; GPS spoofing; machine learning; onboard sensors; stealthy attack; UAV security; Aircraft detection; Deep learning; Military vehicles; Unmanned aerial vehicles (UAV); Aerial vehicle; AI-enabled detection; Global positioning; Global positioning system spoofing; Machine-learning; On-board sensors; Positioning system; Stealthy attack; Unmanned aerial vehicle security; Vehicle security; Global positioning system</t>
  </si>
  <si>
    <t>10.1109/INFOCOMWKSHPS61880.2024.10620818</t>
  </si>
  <si>
    <t>https://www.scopus.com/inward/record.uri?eid=2-s2.0-85202349324&amp;doi=10.1109%2fINFOCOMWKSHPS61880.2024.10620818&amp;partnerID=40&amp;md5=68812a56f94888c6084cbe8080d96dda</t>
  </si>
  <si>
    <t>P590</t>
  </si>
  <si>
    <t>Ippolito, C.A.; Krishnakumar, K.</t>
  </si>
  <si>
    <t>An interface-based cybersecurity subsystem analysis on a small unmanned aerial systems</t>
  </si>
  <si>
    <t>The small Unmanned Aerial System (sUAS) industry continues to make rapid advances in technology, features, and capabilities, with an associated increase in complexity and sophistication. The rapid emergence of sUAS as complex information technology (IT) system-of-systems (SoS) and the increasing connectivity of sUAS components has placed renewed emphasis on the need to establish formal cybersecurity analysis methods for this domain. A common issues has arisen where new and previously unanalyzed vulnerabilities are reported on a system within an existing and previously-certified UAS SoS architecture, which may require UAS to be taken out of operation until the new cybersecurity vulnerabilities are analyzed, mitigated, verified, then recertified for return to flight operational status. Unfortunately this is a time-consuming and resource-intensive process, and is hindered by the lack of formal methods for cybersecurity analysis on UAS in general, and particularly methods that can be applied to address issues of SoS component-level vulnerabilities. In this paper, we present an interface-based analysis methodology for analyzing cybersecurity vulnerabilities for subsystem components within an established UAS system architecture. This methodology provides a risk-based assessment through analysis of data and information movement across interfaces within a SoS architecture model. We present an information theoretic formalization of the models used for analysis then present the methodology on these models to assess cybersecurity vulnerablilies. Finally, we apply this framework to a NASA sUAS system where a potential vulnerability was identified and this process was applied. We present a summary of the issue, the UAS SoS models, the resulting analysis of vulnerabilities, describe mitigations, and present final risk assessmement used towards recertification of the aircraft. � 2019 by German Aerospace Center (DLR). Published by the American Institute of Aeronautics and Astronautics, Inc.</t>
  </si>
  <si>
    <t>Antennas; Architecture; Aviation; Computer architecture; Formal methods; Information theory; NASA; System of systems; Unmanned aerial vehicles (UAV); American Institute of Aeronautics and Astronautics; Architecture modeling; German aerospace centers; Return to flight; Risk-based assessments; Subsystem analysis; System architectures; Unmanned aerial systems; Risk assessment</t>
  </si>
  <si>
    <t>10.2514/6.2019-1459</t>
  </si>
  <si>
    <t>https://www.scopus.com/inward/record.uri?eid=2-s2.0-85083944118&amp;doi=10.2514%2f6.2019-1459&amp;partnerID=40&amp;md5=1b1aaad962fff98b7bef68b636bcd61c</t>
  </si>
  <si>
    <t>P591</t>
  </si>
  <si>
    <t>Crespo, A.</t>
  </si>
  <si>
    <t>A self-flying airplane, who is ready for it?</t>
  </si>
  <si>
    <t>The unmanned flying objects advent is a global challenging phenomenon surrounded by several uncertainties, issues and concerns related to safety, security, technology and ethics. Governments, industry and Academia are frantically dealing with various facets of the phenomenon, such as urban mobility, logistical support and integration with manned aviation. The integration of these objects into our reality involves technological and regulatory challenges, which in turn refers us to the Industry 4.0 resources and potentialities. Within such context, the present article is intended to provide a comprehensive overview of the current scenario regarding the unmanned flying objects phenomenon. © 2019 Associazione Italiana per l'Informatica e il Calcolo Automatico. All rights reserved.</t>
  </si>
  <si>
    <t>AI; Automation; Autonomy; Cybersecurity; Drone; IoT; Regulation; RPAS; Technology; UAS; UAV; Unmanned Flying Objects; Artificial intelligence; Automation; Drones; Autonomy; Cyber security; Flying objects; Regulation; RPAS; Unmanned aerial vehicles (UAV)</t>
  </si>
  <si>
    <t>https://www.scopus.com/inward/record.uri?eid=2-s2.0-85068005218&amp;partnerID=40&amp;md5=f538452adb1b0fef088ae57a25f33ab1</t>
  </si>
  <si>
    <t>P592</t>
  </si>
  <si>
    <t>Condomines, J.-P.; Zhang, R.; Larrieu, N.</t>
  </si>
  <si>
    <t>Network intrusion detection system for UAV ad-hoc communication: From methodology design to real test validation</t>
  </si>
  <si>
    <t>The use of a swarm of low-cost, mission-specific drones to form a Flying Ad-hoc Network (FANET) has literally become a ’hotspot’ in the drone community. A number of studies have been conducted on how to achieve a FANET, but few have considered the security perspectives of this subject. FANET's unique features have made it difficult to strengthen its defense against ever-changing security threats. Today, more and more FANET applications are implemented into civil airspace, but the development of FANET security has remained unsatisfactory. In this paper, we try to address this issue by proposing a new Intrusion Detection System (IDS), an hybrid method based on both spectral traffic analysis and a robust controller / observer for anomaly estimation inside UAV networks. The proposed hybrid method considers, as a preliminary step, a statistical signature of the traffic exchanged in the network. By examining the resulted signatures, the differences are used to select the accurate model for accurate estimation of that abnormal traffic. The proposed IDS design has been successfully applied to some relevant practical problems such as ad hoc networks for aerial vehicles, and the effectiveness is illustrated by using real traffic traces including Distributed Denial of Service (DDoS) attacks. Our first results show promising perspectives for Intrusion Detection System (IDS) in UAV communication networks. Indeed, different types of anomaly have been considered and they are all accurately detected by the intrusion detection process we propose in this paper. Finally, both simulation-based validation and real-time real-world based implementation of our IDS are described in this article. © 2018 Elsevier B.V.</t>
  </si>
  <si>
    <t>Drone ad hoc network; FANET; Intrusion detection system; Robust estimator; Spectral analysis; UAV; Aircraft detection; Antennas; Denial-of-service attack; Drones; Intrusion detection; Network security; Spectrum analysis; Unmanned aerial vehicles (UAV); Distributed denial of service attack; FANET; Intrusion Detection Systems; Network intrusion detection systems; Robust estimators; Simulation-based validation; Statistical signatures; UAV communication networks; Vehicular ad hoc networks</t>
  </si>
  <si>
    <t>10.1016/j.adhoc.2018.09.004</t>
  </si>
  <si>
    <t>https://www.scopus.com/inward/record.uri?eid=2-s2.0-85053703036&amp;doi=10.1016%2fj.adhoc.2018.09.004&amp;partnerID=40&amp;md5=269926ea69d9b1b798bc54cb28c095de</t>
  </si>
  <si>
    <t>P593</t>
  </si>
  <si>
    <t>Shibli, A.</t>
  </si>
  <si>
    <t>Development of a drone-robot hybrid system for industrial plant inspection</t>
  </si>
  <si>
    <t>Unmanned Aerial Vehicles (UAVs or drones) and robots are being investigated and used for the inspection of power, process and other industrial plants and civil structures. Drones are excellent for overview type visual inspection and identifying location(s) where damage, cracking or failure may have occurred or is imminent. They can also perform other tasks such as, for example, identify sources and locations of thermal leaks using thermal imaging cameras. UAVs can save major costs for the inspection of tall structures where otherwise large scaffolding has to be erected and made safe before use. However, because of the lack of stability drones may not be suitable for non-destructive examination (NDE). On the other hand robots can be excellent for closer inspection, UT wall thickness measurement and crack sizing type work but getting them to climb tall, and sometimes unclean or uneven structures can be difficult, if not impossible. In view of the above a new international industry supported project has just completed an Exploratory Phase study on the development of a hybrid system for power plant inspection and ultrasonic testing (UT) which will initially include surface cleaning, wall thickness measurement and crack detection and sizing. The next Phase (Development Phase) of this project is now being launched for international industry sponsorship. This will be aimed at developing a prototype to inspect, at the first instance, power and process plant which can then be used or further developed, as the need be, for the inspection of other industrial and civil structures. Copyright © British Institute of Non-Destructive Testing, NDT 2019. All rights reserved.</t>
  </si>
  <si>
    <t>Automated Inspection; Drones; Power and Process Plant Inspection; Robots; Antennas; Bridge decks; Crack detection; Drones; Hybrid systems; Industrial plants; Infrared imaging; Nondestructive examination; Robots; Surface cleaning; Thickness gages; Thickness measurement; Automated inspection; Civil structure; Development phase; Process plant inspection; Process plants; Tall structures; Thermal imaging cameras; Visual inspection; Ultrasonic testing</t>
  </si>
  <si>
    <t>https://www.scopus.com/inward/record.uri?eid=2-s2.0-85084023955&amp;partnerID=40&amp;md5=9dad1292df3baab6fe12f06ca8c08d8d</t>
  </si>
  <si>
    <t>P594</t>
  </si>
  <si>
    <t>Ahmed, S.S.; Hulme, K.F.; Fountas, G.; Eker, U.; Benedyk, I.V.; Still, S.E.; Anastasopoulos, P.C.</t>
  </si>
  <si>
    <t>The Flying Car—Challenges and Strategies Toward Future Adoption</t>
  </si>
  <si>
    <t>In recent years, our surface transportation infrastructure is suffering from overuse, extreme traffic congestion, and roadway disrepair. Instead of following the traditional infrastructure expansion policy, current transportation research focuses on developing innovative and novel solutions to the aforementioned issues. Current pathways to overcoming these issues include the gradual transition toward a number of emerging transportation technologies, such as, autonomous motor vehicles for human transport, as well as unmanned aerial vehicles (UAV's) and “drone” technologies for surveillance, and package deliveries. However, as a long-term solution, transportation scientists are also investigating the once-seemingly futuristic notion of flying car technology—a convergent form of ground/air vehicle transportation, and assessing associated regulations. In this paper, an extensive review of current literature is conducted to explore the technological capabilities of flying cars—each requiring appropriate regulations and governance—to become fully sustainable. Specifically, issues pertinent to training, safety, environment, navigation, infrastructure, logistics/sustainability, and cybersecurity and human factors are explored. This paper concludes with a preliminary quantitative analysis exploring the public perceptions associated with flying cars—including anticipated benefits, concerns, and willingness to both hire and acquire the technology once available to consumers. Insights offered by this data will help inform next-generation policies and standards associated with the gradual advancement of flying cars. © Copyright © 2020 Ahmed, Hulme, Fountas, Eker, Benedyk, Still and Anastasopoulos.</t>
  </si>
  <si>
    <t>challenges; concerns; emerging technology; flying car; Urban air mobility; willingness to pay; willingness to use</t>
  </si>
  <si>
    <t>10.3389/fbuil.2020.00106</t>
  </si>
  <si>
    <t>https://www.scopus.com/inward/record.uri?eid=2-s2.0-85088936131&amp;doi=10.3389%2ffbuil.2020.00106&amp;partnerID=40&amp;md5=935c99870e3b2790f4eed8843ad11d06</t>
  </si>
  <si>
    <t>P595</t>
  </si>
  <si>
    <t>Pelton, J.N.</t>
  </si>
  <si>
    <t>Radio-Frequency Geo-location and Small Satellite Constellations</t>
  </si>
  <si>
    <t>The worldwide responsibility for the allocation of radio frequencies and the coordination of their use is assigned to the International Telecommunication Union (ITU), headquartered in Geneva, Switzerland. The ITU plenary assembly known as theWorld Radiocommunication Conference meets every few years and agrees on the global radio-frequency allocations to be used globally. The spectrum allocations are divided into three regions globally as follows: region 1, Europe and Africa; region 2, the Americas; and region 3, Asia and Australasia. The usage for radio-frequency spectra has grown enormously in recent years for terrestrial wireless usage (i.e., the of 5G broadband cellular services, emergency and first responder services, law enforcement and defense-related applications, radio and television broadcasting, non-licensed industrial and scientific usage, and microwave relay). There has been parallel growth of non-terrestrial uses such as for aviation communications and safety, high-altitude platform systems and UAVs, plus satellites of various types. The complexity of the global frequency a allocation tables has increased enormously as well as the problem of frequency interference and jamming. More and more types of shared usages have emerged, and higher and higher frequencies in the electromagnetic spectrum have been allocated to these many and growing applications. As this increase in usage and types of applications has emerged, there has been growing concerns and difficulties of unintended and intended interference, jamming, and disagreements between nations and other groups and commercial interests about how to coordinate spectrum use. There are increasingly challenging discussions globally about the best processes related to frequency allocations, frequency allotments, and frequency assignments (or national licensing practices). Terrestrial systems for monitoring the usage of radio-frequency spectra are increasingly inadequate to the task of accurately and precisely determining the nature and exact location this usage. Further the deployment of a significant number of new small satellite constellations will likely increase the problem of monitoring of spectrum use and interference in coming years. It has been decided that one way to monitor radio-frequency spectrum use much more effectively on a global scale is the deployment of satellites that can consistently monitor frequency use around the world and also identify spectrum that is not being used or underutilized in various parts of the world. The first such satellite-based commercial system to seek to provide comprehensive and near real-time monitoring of frequency use - or misuse - on a global scale is the small satellite constellation known as Hawkeye 360. This low Earth orbit satellite constellation and its types of service offerings are described below. This chapter reports on the issue of increasing need for global frequency use and monitoring and the latest efforts to monitor spectrum usage using satellite networks designed and operated for this purpose. The Hawkeye 360 system and its intended special ability to deliver actionable data to national administrations, commercial interests, and perhaps even defenserelated interests around the world on a near real-time basis are also discussed. This rapid delivery of monitoring results is to be accomplished by making arrangements with new commercial data relay constellations designed to provide near real-time information to ground stations deployed around the world that can then connect to users of this data. This arrangement avoids the need to wait to download results until the LEO-based satellite is over a particular accessible ground antenna system. This type of commercially based frequency monitoring service, of course, could be performed by other entities in the future, but currently the Hawkeye 360 is uniquely providing this type of service on a commercial basis. Currently the greatest problem of frequency interference and jamming typically occurs with regard to terrestrial radio and television broadcasts and other types of interference and jamming problems near the ground. Nevertheless the deployment of more and more satellites, high-altitude platforms, and the use of space planes and hypersonic transportation will increasingly bring these problems to near-space (i.e., Protospace) and outer space. There is increasing concern about the issue of space debris; congestion of Earth orbits, especially low Earth orbit; and space traffic management or space traffic control. The problem often focuses on the issue of physical collisions, but frequency interference or jamming or cyberattack could also lead to accidents in space and the disabling of satellites or lead to physical collisions. Thus frequency monitoring and control in space are also going to be increasingly important as these future trends develop. © Springer Nature Switzerland AG 2020.</t>
  </si>
  <si>
    <t>Audacy satellite constellation; Cyber security; Deep Space Industries; Frequency interference; Frequency monitoring; GomSpace; Hawkeye 360 satellite constellation; International Telecommunication Union (ITU); Jamming; Radio frequency (RF); Space Flight Laboratories; Space traffic control; Spectrum allocation; Spectrum allotment; Spectrum assignment; Theia; University of Toronto</t>
  </si>
  <si>
    <t>10.1007/978-3-030-36308-6_46</t>
  </si>
  <si>
    <t>https://www.scopus.com/inward/record.uri?eid=2-s2.0-85113363931&amp;doi=10.1007%2f978-3-030-36308-6_46&amp;partnerID=40&amp;md5=4ac52437073dd70d116c98dec783fc76</t>
  </si>
  <si>
    <t>P596</t>
  </si>
  <si>
    <t>Hermosilla, A.; Zarca, A.M.; Bernabe, J.B.; Ortiz, J.; Skarmeta, A.</t>
  </si>
  <si>
    <t>Security Orchestration and Enforcement in NFV/SDN-Aware UAV Deployments</t>
  </si>
  <si>
    <t>Software Defined Network (SDN) and Network Function Virtualization (NFV) are bringing many advantages to optimize and automatize security management at the network edge, enabling the deployment of virtual network security functions (VSFs) in MEC nodes, to strengthen the end-to-end security in IoT environments. The benefits could exploit in mobile MEC nodes on-boarded in Unmanned Aerial Vehicles (UAV), as the UAVs would carry on-demand VSFs to particular physical locations. To that aim, this paper proposes a novel NFV/SDN-based zero-touch security management framework for automatic orchestration, configuration and deployment of lightweight VSF in MEC-UAVs, that considers diverse contextual factors, related to both physical and virtual conditions, to optimize the security orchestration. Our solution aims to deploy on-demand VSFs, such as virtual Firewalls (vFirewalls), vProxies, vIDS (Intrusion Detection Systems) and vAAA, to assist during emerging situations in particular physical locations, protecting and optimizing the managed IoT network, as well as replacing or supporting compromised physical devices like IoT gateways. The proposed solution has been implemented, deployed and evaluated in a real testbed with real drones, showing its feasibility and performance. © 2013 IEEE.</t>
  </si>
  <si>
    <t>architecture; cybersecurity; IoT; SDN/NFV; Antennas; Computer system firewalls; Industrial management; Internet of things; Intrusion detection; Mobile telecommunication systems; Network function virtualization; Unmanned aerial vehicles (UAV); Contextual factors; End-to-end security; Intrusion Detection Systems; Physical devices; Physical locations; Security functions; Security management; Virtual networks; Network security</t>
  </si>
  <si>
    <t>10.1109/ACCESS.2020.3010209</t>
  </si>
  <si>
    <t>https://www.scopus.com/inward/record.uri?eid=2-s2.0-85089306173&amp;doi=10.1109%2fACCESS.2020.3010209&amp;partnerID=40&amp;md5=0627b29d402092ba3613a2a7cb832c66</t>
  </si>
  <si>
    <t>P597</t>
  </si>
  <si>
    <t>Ossamah, A.</t>
  </si>
  <si>
    <t>Blockchain as a solution to Drone Cybersecurity</t>
  </si>
  <si>
    <t>Industry 4.0 has revolutionized industrial processes. The use of Unmanned Aerial Vehicles (UAVs) has increased due to the need to facilitate automation. Initially, drone usage was confined to military usage and other institutions that required high-level government clearance. Back then, the number of operating drones was few who made it easier to regulate and secure. However, with the emergence of Industry 4.0, the need for drone usage has increased in various industries. These industries include insurance, health, e-commerce, learning institutions, conducting and coordinating military airstrikes, and performing weather monitoring, among other crucial functionalities. The increased use and adoption of drones has resulted in the Internet of Drones. As more industries continue to adopt drone usage, the issue of securing them arises. The need for organizations to ensure and coordinate thousands of drones has necessitated the adoption of a security mechanism that guarantees the security of these devices. We explore the use of Blockchain technology as a means of enhancing drone cybersecurity. We research how industrial players perceive Blockchain and its contribution to cybersecurity. © 2020 IEEE.</t>
  </si>
  <si>
    <t>Blockchain; Cybersecurity; Data Security; Drone Security; Drones; Internet of Things; Unmanned Aerial Vehicles; Antennas; Blockchain; Drones; Industrial research; Industry 4.0; Network security; Cyber security; Industrial processs; Security mechanism; Weather monitoring; Internet of things</t>
  </si>
  <si>
    <t>10.1109/WF-IoT48130.2020.9221466</t>
  </si>
  <si>
    <t>https://www.scopus.com/inward/record.uri?eid=2-s2.0-85095570365&amp;doi=10.1109%2fWF-IoT48130.2020.9221466&amp;partnerID=40&amp;md5=e5e464c4cd08eaed57b50bd3ecb223da</t>
  </si>
  <si>
    <t>P598</t>
  </si>
  <si>
    <t>Khan, N.A.; Brohi, S.N.; Jhanjhi, N.</t>
  </si>
  <si>
    <t>UAV’s Applications, Architecture, Security Issues and Attack Scenarios: A Survey</t>
  </si>
  <si>
    <t>Unmanned aerial vehicles (UAVs)/drones have become very popular in recent years as they are widely used in several domains. They are widely used in both military and civilian applications such as aerial photography, entertainment, search and rescue missions, reconnaissance, traffic monitoring, and logistics. Typically, UAVs are operated from a controller or a ground control station (GCS) with the help of different communication protocols such as MAVLink, UranusLink, UAVCAN. These communication protocols are used to exchange messages. The messages contain considerable information about the UAV and certain control commands sent from GCS to UAV or UAV to GCS. Though these protocols provide better communication along with secure aspects, however, mostly there is no subtle mechanism for securing these messages and are prone to many security attacks such as man-in-the-middle (MITM) attack, denial-of-services (DoS) attack, packet data injection attack, and eavesdropping. This can result in serious consequences, for instance, crash land of a military or civilian UAV, steal important data of a military operation, false injection of reports in a reconnaissance or search and rescue operation, and many more. So, there is a need for a secure communication protocol which can ensure the required security standard sets for communication of UAVs. This survey presents the applications, general architecture, attacks on UAVs, and an insight into the security issues of UAV’s communication protocols and proposes a new secure communication protocol for the stated issues of UAVs. © Springer Nature Singapore Pte Ltd. 2020.</t>
  </si>
  <si>
    <t>Communication protocols; Drones; Security; UAVs</t>
  </si>
  <si>
    <t>10.1007/978-981-15-3284-9_86</t>
  </si>
  <si>
    <t>https://www.scopus.com/inward/record.uri?eid=2-s2.0-85085180727&amp;doi=10.1007%2f978-981-15-3284-9_86&amp;partnerID=40&amp;md5=7264bed5d47dc9e25ea3477145829e87</t>
  </si>
  <si>
    <t>P599</t>
  </si>
  <si>
    <t>Gordon, J.; Kraj, V.; Hwang, J.H.; Raja, A.</t>
  </si>
  <si>
    <t>A security assessment for consumer WiFi drones</t>
  </si>
  <si>
    <t>Small-scale unmanned aerial vehicles (UAVs) have become an increased presence in recent years due to their decreasing price and ease of use. Similarly, ways to detect drones through easily accessible programs like WireShark have raised more potential threats, including an increase in ease of jamming and spoofing drones utilizing commercially of the shelf (COTS) equipment like software defined radio (SDR). Given these advancements, an active area of research is drone security. Recent research has focused on using a HackRF SDR to perform eavesdropping or jamming attacks; however, most have failed to show a proposed remediation. Similarly, many research papers show post analysis of communications, but seem to lack a conclusive demonstration of command manipulation. Our security assessment shows clear steps in the manipulation of a WiFi drone using the aircrack-ng suite without the need for additional equipment like a SDR. This shows that anyone with access to a computer could potentially take down a drone. Alarmingly, we found that the COTS WiFi drone in our experiment still lacked the simple security measure of a password, and were very easily able to take over the drone in a deauthorization attack. We include a proposed remediation to mitigate the preformed attack and assess the entire process using the STRIDE and DREAD models. In doing so, we demonstrate a full attack process and provide a resolution to said attack. © 2019 IEEE.</t>
  </si>
  <si>
    <t>Cybersecurity; Deauthentication; Deauthorization; Denial-of-service; UAS; Antennas; Commercial off-the-shelf; Drones; Jamming; Software radio; Wireless local area networks (WLAN); Additional equipment; Jamming attacks; Potential threats; Recent researches; Research papers; Security assessment; Security measure; Software-defined radios; Mobile security</t>
  </si>
  <si>
    <t>10.1109/ICII.2019.00011</t>
  </si>
  <si>
    <t>https://www.scopus.com/inward/record.uri?eid=2-s2.0-85085919844&amp;doi=10.1109%2fICII.2019.00011&amp;partnerID=40&amp;md5=772abadb1dc27647ea6fac049b3a992e</t>
  </si>
  <si>
    <t>P6</t>
  </si>
  <si>
    <t>Basak, S.; Rajendran, S.; Pollin, S.; Scheers, B.</t>
  </si>
  <si>
    <t>Spectrum Prediction for Protocol-Aware RF Jamming</t>
  </si>
  <si>
    <t>Neutralizing a drone using a protocol-aware RF jammer requires precise knowledge of the occupied spectrum in the time and frequency domains. This paper aims to develop an automatic spectrum prediction framework utilizing the Convolutional Neural Network (CNN) and Long Short Term Memory (LSTM) models. We generate a synthetic dataset using the commonly used drone signal properties and parameters, and evaluate the prediction performance under several realistic scenarios. Our experiment shows that the CNN-LSTM model can accurately predict future time and frequency sequences by using the spectrogram matrix as the input. We obtained better prediction performance with lower computational costs with our framework compared to the existing frameworks. Furthermore, we show that the CNN-LSTM model can predict future time-frequency sequences of unseen hopping rates and patterns when using transfer learning. The performance validation is also performed using real drone RF signals. Furthermore, we present a two-stage spectrum prediction approach that achieves excellent performance by offering higher frequency resolutions while maintaining a lower computational cost.  © 2015 IEEE.</t>
  </si>
  <si>
    <t>Deep learning; spectrum prediction; UAVs; Convolution; Drones; Hidden Markov models; Jamming; Long short-term memory; Spectrographs; Convolutional neural network; Deep learning; Hidden-Markov models; Jamming; Memory modeling; Predictive models; Spectra's; Spectrograms; Spectrum prediction; Time-frequency Analysis; Forecasting</t>
  </si>
  <si>
    <t>10.1109/TCCN.2023.3327538</t>
  </si>
  <si>
    <t>https://www.scopus.com/inward/record.uri?eid=2-s2.0-85176301898&amp;doi=10.1109%2fTCCN.2023.3327538&amp;partnerID=40&amp;md5=7fa595e799408171cafd4d9ba0cf5e40</t>
  </si>
  <si>
    <t>P60</t>
  </si>
  <si>
    <t>Suomalainen, J.; Ahola, K.; Sailio, M.; Kiss, G.; Megyaszai, G.; Asif, R.; Jehkonen, P.; Rivalan, J.</t>
  </si>
  <si>
    <t>Tactical Orchestration Network, Security, and Drone Intelligence for Mission-Critical Operations</t>
  </si>
  <si>
    <t>The next-generation operational ICT services for public safety users, such as police and first responders, rely on commercial 5G/6G infrastructure and rapidly deployable networks. Mission-critical intelligent applications - such as autonomous unmanned vehicles and cyber situational awareness - can be deployed to private or to trustworthy public cloud-edge continuum. They can also be dynamically reorchestrated based on operational requirements. We analyze requirements and present orchestration concepts or rapid and autonomous configuring and deployment of network core, cybersecurity operations center, and drone navigation functions. The prototyped concepts enable us to research the potential and trade-offs of different architectural alternatives and highlight the future research directions.  © 2024 IEEE.</t>
  </si>
  <si>
    <t>5G; cloud; edge; FPGA; mission-critical systems; orchestration; security; trusted execution; UAV navigation; 5G mobile communication systems; Cybersecurity; Economic and social effects; Field programmable gate arrays (FPGA); Trusted computing; 5g; Edge; Mission critical systems; Mission-critical operations; Networks security; Orchestration; Security; Tacticals; Trusted execution; UAV navigation; Drones</t>
  </si>
  <si>
    <t>10.1109/EuCNC/6GSummit60053.2024.10597035</t>
  </si>
  <si>
    <t>https://www.scopus.com/inward/record.uri?eid=2-s2.0-85199879118&amp;doi=10.1109%2fEuCNC%2f6GSummit60053.2024.10597035&amp;partnerID=40&amp;md5=91aa677333044ce4ba53f2c6f62a8b52</t>
  </si>
  <si>
    <t>P600</t>
  </si>
  <si>
    <t>Moonen, A.J.W.; Sufian, B.A.M.</t>
  </si>
  <si>
    <t>Introducing new drone-based inspection technologies to safely and consistently deliver high value results</t>
  </si>
  <si>
    <t>Over the past few years ‘Drones’ (or Unmanned Aerial Systems as they are offcially called) have become an accepted part of the inspection ‘toolkit’ in upstream and downstream oil &amp; gas. Yet, at the moment, their application in the oil &amp; gas industry is still largely limited to pure visual inspection of tall structures (e.g., flares, communication towers and offshore jacket structures) or visual surveying of pipelines and construction sites with some occasional use of thermography as well. As drone technology is becoming more and more common, the call to expand their use with other inspection and surveying techniques is also becoming louder. Fortunately, developments are now underway to add capabilities, e.g. (i) ultrasonic thickness gauging (UTG), (ii) ultrasonic defect detection, (iii) detection of hydrocarbon leaks by Optical Gas Imaging (OGI), (iv) internal inspection of membrane LNG cargo tanks, (v) 3D mapping of structures through either LiDAR or photogrammetry, and (iv) ultra long range operations (5 hours flight time and above) to survey unmanned offshore facilities. By definition the oil &amp; gas environment is challenging and high-risk. Thus, to introduce these technologies, it is not sufficient to ‘slap a new probe or sensor on a drone’ or to buy a new, more capable drone and then perform a few proof-of-concept flights for a successful operational introduction. The successful ‘hardening’ of new technologies for drone inspections or surveillance in a real-life operational environment requires the integration of equipment, crew capabilities, procedures and data management. Therefore, for every new step, a full development cycle has to be organised and managed. A bespoke safety case underpins cycle by generating the key elements from which (additional) training as well as operational procedures and data management tools/processes can be developed. Extensive trialing and milestone reviews are part of the process. Only if the young but growing ‘drone services’ industry and asset owners follow such a systematic development approach in a disciplined manner will it be possible to ensure the safety, consistency and quality of ‘drone-based inspections’. Without this, the outcomes will at best be disappointing. This paper presents the first comprehensive description of such an approach. Drone-based ultrasonic inspections are used as a real-life example. Copyright 2020, Offshore Technology Conference</t>
  </si>
  <si>
    <t>Accident prevention; Antennas; Drones; Gas industry; Information management; Inspection; Marine communication; Offshore gas wells; Offshore oil well production; Offshore pipelines; Offshore technology; Optical radar; Service industry; Surveys; Thermography (imaging); Ultrasonic testing; Visual communication; Data management tools; Inspection technology; Offshore jacket structures; Operational environments; Operational procedures; Ultrasonic inspections; Ultrasonic thickness; Unmanned aerial systems; Offshore oil wells</t>
  </si>
  <si>
    <t>https://www.scopus.com/inward/record.uri?eid=2-s2.0-85097605165&amp;partnerID=40&amp;md5=b38799500b5a51dcdad48b2e7a2e18f5</t>
  </si>
  <si>
    <t>P601</t>
  </si>
  <si>
    <t>Parlin, K.; Alam, M.M.; Le Moullec, Y.</t>
  </si>
  <si>
    <t>Jamming of UAV remote control systems using software defined radio</t>
  </si>
  <si>
    <t>Unmanned aerial vehicles (UAVs) have become widely available and their potential unlawful usage introduces new security risks. It has therefore become highly desirable to restrict the unauthorized usage of UAVs in certain areas such as airports, nuclear power plants, etc. Most commercially available UAVs rely on spread spectrum techniques, such as direct sequencing and frequency hopping, in the remote control systems to reduce the impact of interference from neighboring communication systems (including e.g. other remotely controlled UAVs), to increase resistance to jamming and to prevent detection. In this paper, an efficient protocol-aware UAV remote control jamming system is proposed and implemented using an open-source software defined radio (SDR) platform. Experimental results show that for FASST and ACCST remote control systems, the proposed jammer achieves successful jamming at relatively low jam-to-signal ratios (JSRs) as compared to a sweep jammer, therefore requiring less transmitted power to achieve similar results. Furthermore, the proposed jammer impacts other communication systems significantly less than the sweep jammer. © 2018 IEEE.</t>
  </si>
  <si>
    <t>Jamming; Software defined radio; Spread spectrum; Unmanned aerial vehicle; Aircraft control; Aircraft detection; Analog circuits; Antennas; Control systems; Data communication systems; Information systems; Information use; Jamming; Military communications; Nuclear fuels; Nuclear power plants; Open source software; Open systems; Radio; Radio receivers; Remote control; Spectroscopy; Spread spectrum communication; Unmanned aerial vehicles (UAV); Direct sequencing; Efficient protocols; Jamming systems; Security risks; Software-defined radios; Spread spectra; Spread spectrum techniques; Transmitted power; Software radio</t>
  </si>
  <si>
    <t>10.1109/ICMCIS.2018.8398711</t>
  </si>
  <si>
    <t>https://www.scopus.com/inward/record.uri?eid=2-s2.0-85050271228&amp;doi=10.1109%2fICMCIS.2018.8398711&amp;partnerID=40&amp;md5=99ccc2fc37ef9a63b4ebe9a955c469db</t>
  </si>
  <si>
    <t>P602</t>
  </si>
  <si>
    <t>Pasic, A.; Martinez-Salio, J.-R.; Zarzosa, S.G.; Diaz, R.</t>
  </si>
  <si>
    <t>ZONESEC: Built-in cyber-security for wide area surveillance system</t>
  </si>
  <si>
    <t>The emergence of new type of sensors and surveillance devices, such as drones (unmanned aerial vehicles - UAV), combined with the need to migrate to interoperable and cross-border solutions for wide area surveillance (WAS), represents an opportunity to rethink previously separated cyber and physical security systems and to built-in cybersecurity capabilities into WAS. In this paper we present a preliminary ideas on how the multi-agent architecture originaly proposed for ZONeSEC project can be extended and applied also to cyber-security components in order to address challenges such as cost, complexity or difficulty to coordinate activities in distributed settings, such as cross-border surveillance operations. © 2017 Association for Computing Machinery.</t>
  </si>
  <si>
    <t>Critical infrastructure protection; Cyber security; Cyber-physical systems; Secure architecture design; Security event management; Systems safety; Cyber Physical System; Embedded systems; Monitoring; Multi agent systems; Security systems; Unmanned aerial vehicles (UAV); Critical infrastructure protection; Cyber security; Secure architecture designs; Security event managements; Systems safety; Interoperability</t>
  </si>
  <si>
    <t>10.1145/3098954.3103167</t>
  </si>
  <si>
    <t>https://www.scopus.com/inward/record.uri?eid=2-s2.0-85030331734&amp;doi=10.1145%2f3098954.3103167&amp;partnerID=40&amp;md5=80bba72ade34889c32cbffd22494747b</t>
  </si>
  <si>
    <t>P603</t>
  </si>
  <si>
    <t>Ferreira, R.; Gaspar, J.; Souto, N.; Sebastiao, P.</t>
  </si>
  <si>
    <t>Lately, a rising number of incidents between unmanned aerial vehicles (UAVs) and planes have been reported in airports and airfields. In order to help cope with this problem, in this paper we evaluated the use of low cost SDR platforms (Software Defined Radio) for the implementation of a jammer able to generate an effective interfering signal aimed at the GPS navigation system. Using a programmable BladeRF x40 platform from Nuand and the GNU Radio software development toolkit, several interference techniques were studied and evaluated, considering the spectral efficiency, energy efficiency and complexity. It was shown that the tested approaches are capable of stopping the reception of the radionavigation signal in real-life scenarios, neutralizing the capacity for autonomous operation of the vehicle. © 2018 IEEE.</t>
  </si>
  <si>
    <t>GPS; Jamming; Radionavigation; SDR; Unmanned Aerial Vehicles; Aircraft accidents; Antennas; Autonomous vehicles; Costs; Energy efficiency; Global positioning system; Jamming; Navigation systems; Open source software; Radio navigation; Software design; Unmanned aerial vehicles (UAV); Airports and airfields; Autonomous operations; Gnu radio softwares; Interfering signals; Jamming technique; Sdr platforms; Software-defined radios; Spectral efficiencies; Software radio</t>
  </si>
  <si>
    <t>10.1109/GWS.2018.8686672</t>
  </si>
  <si>
    <t>https://www.scopus.com/inward/record.uri?eid=2-s2.0-85064748728&amp;doi=10.1109%2fGWS.2018.8686672&amp;partnerID=40&amp;md5=69aeeaae82d64239df4209c72355260c</t>
  </si>
  <si>
    <t>P604</t>
  </si>
  <si>
    <t>Pu, C.</t>
  </si>
  <si>
    <t>Jamming-Resilient Multipath Routing Protocol for Flying Ad Hoc Networks</t>
  </si>
  <si>
    <t>As a result of the rapid technological advances on electronic, sensors and communication technologies, and increasingly popular multi-sized unmanned aerial vehicles, also referred to as drones, flying ad hoc networks (FANETs) are rapidly proliferating and leading the emergence of Internet of Drones and its applications. Because of the versatility, flexibility, easy installation, and relatively small operating expenses of drones, FANETs have enormous potential in the public and civil domains. However, due to unique characteristics of FANETs, routing demands of FANETs go beyond the needs of mobile ad hoc networks and vehicular ad hoc networks. In this paper, we propose a jamming-resilient multipath routing protocol, also called JarmRout, so that intentional jamming and disruption or isolated and localized failures do not interrupt the overall network performance of FANETs. To achieve this goal, the JarmRout relies on a combination of three major schemes that are link quality scheme, traffic load scheme, and spatial distance scheme. We present a simple analytical model and its numerical result in terms of RREP packet reception rate of source node. We also evaluate the proposed routing protocol through extensive simulation experiments using the OMNeT++ and compare its performance with three representative routing protocols that are dynamic source routing, optimized link state routing, and split multipath routing. Simulation results show that the JarmRout can not only improve packet delivery ratio and packet delivery latency but also can reduce end-to-end communication outage rate without introducing extra communication overhead, indicating a viable approach to improve network resiliency in the presence of malicious jammers in FANETs. © 2013 IEEE.</t>
  </si>
  <si>
    <t>flying ad hoc networks; intentional jamming; Internet-of-Drones (IoD); multipath routing; routing protocol; Antennas; Drones; Internet protocols; Jamming; Network routing; Network security; Routing protocols; Vehicle to vehicle communications; Communication overheads; Communication technologies; End-to-End communication; Mobile ad-hoc network (MANETs); Multi path routing; Multipath routing protocols; Optimized Link State Routing; Vehicular Adhoc Networks (VANETs); Vehicular ad hoc networks</t>
  </si>
  <si>
    <t>10.1109/ACCESS.2018.2879758</t>
  </si>
  <si>
    <t>https://www.scopus.com/inward/record.uri?eid=2-s2.0-85056184922&amp;doi=10.1109%2fACCESS.2018.2879758&amp;partnerID=40&amp;md5=c85c0c5a0dc20ee3e0ce7e242888ce2b</t>
  </si>
  <si>
    <t>P605</t>
  </si>
  <si>
    <t>Dung, N.D.; Rohacs, J.</t>
  </si>
  <si>
    <t>The drone-following models in smart cities</t>
  </si>
  <si>
    <t>Drones are estimated to play a critical role in the smart city, assisting with a variety of use cases: Medical, transportation and agriculture. The applications of drones in the smart city will involve multiple drone platforms that operate simultaneously to run missions. Therefore, the safe and secure environment for drones' operational quality and stability is necessary. It is also essential for governments to implement regulations to enforce safe security standards and disallow the implementation of weak cybersecurity measures in live environments. The Federal Aviation Administration (FAA) predicted that 30,000 drones could be flying in U.S. skies in less than 20 years.The investigation of the drone traffic safety and development of the intelligent transportation system needs drone-following models, which describes the one-by-one following process of drones in the traffic flow. There are two types of drone-following models that are proposed and discussed in this paper. The first models based on the principle that keeps a safe distance according to relative velocity, which based on the determining of the drone acceleration depending on the differences in speeds and gaps between the given drone and its leading drone. Another model is the Markov drone-following model which is improved model based on the approximation of the stochastic diffusion process of speed decision. The simulation results show that the changes in velocities of the following drones are nearly the same as leading one. © 2018 IEEE.</t>
  </si>
  <si>
    <t>drone models; drones; following-drone models; traffic flow; UAV; unmanned aerial vehicle; Intelligent systems; Smart city; Stochastic models; Stochastic systems; Traffic control; Unmanned aerial vehicles (UAV); Cyber security; Federal Aviation Administration; Intelligent transportation systems; Operational quality; Relative velocity; Security standards; Stochastic diffusion process; Traffic flow; Drones</t>
  </si>
  <si>
    <t>10.1109/RTUCON.2018.8659813</t>
  </si>
  <si>
    <t>https://www.scopus.com/inward/record.uri?eid=2-s2.0-85063491880&amp;doi=10.1109%2fRTUCON.2018.8659813&amp;partnerID=40&amp;md5=92ecc30734fc3e48d178f75711289c33</t>
  </si>
  <si>
    <t>P606</t>
  </si>
  <si>
    <t>Kwon, Y.-M.; Yu, J.; Cho, B.-M.; Eun, Y.; Park, K.-J.</t>
  </si>
  <si>
    <t>Empirical Analysis of MAVLink Protocol Vulnerability for Attacking Unmanned Aerial Vehicles</t>
  </si>
  <si>
    <t>Recently, unmanned aerial vehicles (UAVs), or the so-called drones, have been used in various applications. In particular, UAVs are used for rescue systems, disaster detection, and military purposes, as well as for leisure and commercial purposes. UAVs that are controlled over networks by ground control stations (GCS) can provide various services with expanded activity area. It is thus of critical importance to investigate the vulnerability of the drone system. In this paper, we focus on UAVs controlled by GCS over networks. We analyze the vulnerability of the micro-air-vehicle communication (MAVLink) protocol, which is one of the most widely adopted communication protocols for GCS-based control of UAVs. Then, by exploiting the vulnerability of the MAVLink protocol, we propose an attack methodology that can disable an ongoing mission of a UAV. Our empirical study confirms that the proposed attack can stop the attacked UAV and disable the mission. © 2018 IEEE.</t>
  </si>
  <si>
    <t>DoS; drones; flooding attack; MAVLink; network attack; packet injection; UAS; UAV; Antennas; Cryptography; DOS; Drones; Micro air vehicle (MAV); Network protocols; Rock mechanics; Sensors; Unmanned aerial vehicles (UAV); Eavesdropping; Flooding attacks; MAVLink; Network attack; Packet injection; Payloads; Aircraft detection</t>
  </si>
  <si>
    <t>10.1109/ACCESS.2018.2863237</t>
  </si>
  <si>
    <t>https://www.scopus.com/inward/record.uri?eid=2-s2.0-85051018551&amp;doi=10.1109%2fACCESS.2018.2863237&amp;partnerID=40&amp;md5=89412d3278fe594c7e4a047b6fe779fc</t>
  </si>
  <si>
    <t>P607</t>
  </si>
  <si>
    <t>Ture, E.; Musser, M.; Hülsmann, A.; Quay, R.; Ambacher, O.</t>
  </si>
  <si>
    <t>Demonstration of an RF front-end based on GaN HEMT technology</t>
  </si>
  <si>
    <t>The effectiveness of the developed front-end on blocking the communication link of a commercial drone vehicle has been demonstrated in this work. A jamming approach has been taken in a broadband fashion by using GaN HEMT technology. Equipped with a modulated-signal generator, a broadband power amplifier, and an omni-directional antenna, the proposed system is capable of producing jamming signals in a very wide frequency range between 0.1 - 3 GHz. The maximum RF output power of the amplifier module has been software-limited to 27 dBm (500 mW), complying to the legal spectral regulations of the 2.4 GHz ISM band. In order to test the proof of concept, a real-world scenario has been prepared in which a commercially-available quadcopter UAV is flown in a controlled environment while the jammer system has been placed in a distance of about 10 m from the drone. It has been proven that the drone of interest can be neutralized as soon as it falls within the range of coverage (∼3 m) which endorses the promising potential of the broadband jamming approach. © 2017 SPIE.</t>
  </si>
  <si>
    <t>Broadband jammer; counter-UAV; gallium nitride; high-electron-mobility transistor (HEMT); Broadband amplifiers; Commercial vehicles; Drones; Gallium nitride; Jamming; Law enforcement; Laws and legislation; Microwave antennas; National security; Network security; Omnidirectional antennas; Power amplifiers; Security systems; Unmanned aerial vehicles (UAV); 2.4 ghz ism bands; Broadband jammer; Broadband power amplifier; Controlled environment; High electron mobility transistor (HEMT); Omni-directional antenna; Real-world scenario; Wide frequency range; High electron mobility transistors</t>
  </si>
  <si>
    <t>10.1117/12.2262433</t>
  </si>
  <si>
    <t>https://www.scopus.com/inward/record.uri?eid=2-s2.0-85025148059&amp;doi=10.1117%2f12.2262433&amp;partnerID=40&amp;md5=4ed046a27a5fa883fd0e36d0b668bc5f</t>
  </si>
  <si>
    <t>P608</t>
  </si>
  <si>
    <t>Shijith, N.; Poornachandran, P.; Sujadevi, V.G.; Dharmana, M.M.</t>
  </si>
  <si>
    <t>Breach detection and mitigation of UAVs using deep neural network</t>
  </si>
  <si>
    <t>Unmanned Aerial Vehicles (UAV) has become ubiquitous. While there are several applications for UAV, it is also considered as a threat to the privacy and physical security. In this work we attempt to detect the invading UAV's with a goal of disabling them when they are invading a physical space. Identification of the UAV is performed by analyzing the live video feeds from cameras that are from Fixed CCTV cameras and surveillance drones. We propose to use image processing using convolutional neural network (CNN) for detecting the presence of the drones. Once the invading drone is identified, the information is sent to the Signal Jammer system. Our prototype shows very promising results that encourages us to pursue in building a real-world system. © 2017 IEEE.</t>
  </si>
  <si>
    <t>Artificial Intelligence; CNN; Convolutional Neural Network; Deep Learning; Object detection; Signal jamming; UAV; Antennas; Artificial intelligence; Cameras; Convolution; Deep learning; Deep neural networks; Drones; Image processing; Jamming; Neural networks; Object detection; Power control; Security systems; Unmanned aerial vehicles (UAV); Convolutional neural network; Convolutional Neural Networks (CNN); In-buildings; Live video; Physical security; Real-world system; Aircraft detection</t>
  </si>
  <si>
    <t>10.1109/RDCAPE.2017.8358297</t>
  </si>
  <si>
    <t>https://www.scopus.com/inward/record.uri?eid=2-s2.0-85048044363&amp;doi=10.1109%2fRDCAPE.2017.8358297&amp;partnerID=40&amp;md5=9fb7652ad84c691faf08ab061d4c4bbf</t>
  </si>
  <si>
    <t>P609</t>
  </si>
  <si>
    <t>Muzzi, F.A.G.; Cardoso, P.R.D.M.; Pigatto, D.F.; Branco, K.R.L.J.C.</t>
  </si>
  <si>
    <t>Using Botnets to provide security for safety critical embedded systems - A case study focused on UAVs</t>
  </si>
  <si>
    <t>The use of unmanned aerial vehicles (UAV s) has been growing not only in military applications, but also in civilian. UAVs have enormous potential for use, which mostly still are unexplored. For the use of UAV s in the airspace, not only Brazilian new studies on methods of analysis and technologies should be incorporated into navigation systems, control among others, promoting security mechanisms for these aircraft. Implement security mechanisms using a platform with operating systems and botnet to simulate such attack Distributed Denial of Service (DDoS) in UAVs is an important task when it is aimed at containment and mitigation of attacks on this type of platform. © Published under licence by IOP Publishing Ltd.</t>
  </si>
  <si>
    <t>Air navigation; Air traffic control; Embedded systems; Hardware security; Malware; Military applications; Military vehicles; Navigation systems; Network security; Unmanned aerial vehicles (UAV); Botnets; Distributed denial of service; Methods of analysis; New study; Safety-critical embedded systems; Security mechanism; Denial-of-service attack</t>
  </si>
  <si>
    <t>10.1088/1742-6596/633/1/012053</t>
  </si>
  <si>
    <t>https://www.scopus.com/inward/record.uri?eid=2-s2.0-84947284365&amp;doi=10.1088%2f1742-6596%2f633%2f1%2f012053&amp;partnerID=40&amp;md5=1b345ffd50b66d9671a966ab628f1ac7</t>
  </si>
  <si>
    <t>P61</t>
  </si>
  <si>
    <t>Hassler, S.C.; Mughal, U.A.; Ismail, M.</t>
  </si>
  <si>
    <t>Cyber-Physical Intrusion Detection System for Unmanned Aerial Vehicles</t>
  </si>
  <si>
    <t>The increasing reliance on unmanned aerial vehicles (UAVs) has escalated the associated cyber risks. While machine learning has enabled intrusion detection systems (IDSs), current IDSs do not incorporate cyber-physical UAV features, which limits their detection performance. Additionally, the lack of public UAV's cyber and physical datasets to develop IDS hinders further research. Therefore, this paper proposes a novel IDS fusing UAV cyber and physical features to improve detection capabilities. First, we developed a testbed that includes UAV, controller, and data collection tools to execute cyber-attacks and gather cyber and physical data under normal and attack conditions. We made this dataset publicly available. The dataset covers a range of cyber-attacks including denial-of-service, replay, evil twin, and false data injection attacks. Then, machine learning-based IDSs fusing cyber and physical features were trained to detect cyber-attacks using support vector machines, feedforward neural networks, recurrent neural networks with long short-term memory cells, and convolutional neural networks. Extensive experiments were conducted on varying complexity and range of attack training data to explore whether (a) fusion of cyber and physical features enhances detection performance compared to cyber or physical features alone, (b) fusion enhances detection when IDS is trained on a single attack type and tested on unseen attacks of varying complexity, (c) fusion enhances performance when the range of attack training data increases and models are tested on unseen attacks. Answering these research questions provides insights into IDS capabilities using cyber, physical, and cyber-physical features under different conditions. © 2000-2011 IEEE.</t>
  </si>
  <si>
    <t>and machine learning; cyber-physical systems; intrusion detection systems; UAVs; Aircraft detection; Antennas; Complex networks; Cyber attacks; Cyber Physical System; Denial-of-service attack; Drones; Embedded systems; Feedforward neural networks; Intrusion detection; Network security; Recurrent neural networks; Support vector machines; Aerial vehicle; And machine learning; Complexity theory; Cybe-physical systems; Cyber-attacks; Cyber-physical systems; Features extraction; Intrusion Detection Systems; Intrusion-Detection; Machine-learning; Support vectors machine; Training data; Unmanned aerial vehicle; Feature extraction</t>
  </si>
  <si>
    <t>10.1109/TITS.2023.3339728</t>
  </si>
  <si>
    <t>https://www.scopus.com/inward/record.uri?eid=2-s2.0-85181566533&amp;doi=10.1109%2fTITS.2023.3339728&amp;partnerID=40&amp;md5=424a8abab1318b7d2dfb7fce4bd57057</t>
  </si>
  <si>
    <t>P610</t>
  </si>
  <si>
    <t>Efficient drone hijacking detection using onboard motion sensors</t>
  </si>
  <si>
    <t>The fast growth of civil drones raises significant security challenges. A legitimate drone may be hijacked by GPS spoofing for illegal activities, such as terrorist attacks. The target of this paper is to develop techniques to let drones detect whether they have been hijacked using onboard motion sensors (accelerometers and gyroscopes). Ideally, the linear acceleration and angular velocity measured by motion sensors can be used to estimate the position of a drone, which can be compared with the position reported by GPS to detect whether the drone has been hijacked. However, the position estimation by motion sensors is very inaccurate due to the significant error accumulation over time. In this paper, we propose a novel method to detect hijacking based on motion sensors measurements and GPS, which overcomes the accumulative error problem. The computational complexity of our method is very low, and thus is suitable to be implemented in the micro-controllers of drones. Experiments with a quad-rotor drone are conducted to show the effectiveness of the proposed method. © 2017 IEEE.</t>
  </si>
  <si>
    <t>Drones; Global positioning system; Motion analysis; Unmanned aerial vehicles (UAV); Accumulative errors; Error accumulation; Illegal activities; Linear accelerations; Motion sensors; Position estimation; Security challenges; Terrorist attacks; Aircraft detection</t>
  </si>
  <si>
    <t>10.23919/DATE.2017.7927214</t>
  </si>
  <si>
    <t>https://www.scopus.com/inward/record.uri?eid=2-s2.0-85020231050&amp;doi=10.23919%2fDATE.2017.7927214&amp;partnerID=40&amp;md5=15f7b3af78fcfa222264f5909f69766c</t>
  </si>
  <si>
    <t>P611</t>
  </si>
  <si>
    <t>Leccadito, M.; Yemaneberhane, B.; Nimo, C.; Bakker, T.; Klenke, R.H.</t>
  </si>
  <si>
    <t>Investigating encrypted IEEE 802.15.4 and DigiMesh communications for small unmanned systems</t>
  </si>
  <si>
    <t>The integration of autonomous unmanned aerial vehicles into both civilian and military applications creates a potential risk for cyber-attacks. The wireless communication link used to monitor and control the UAV may be vulnerable to attacks in the absence of encryption. With publicly available information regarding the communications protocol, autopilot, and ground control station software, obtaining the necessary knowledge to perform a malicious cyber-attack can be relatively easy. In the past it has been an uncommon practice to use encryption to secure communication in non-military UAV applications, due to the increased latency. This paper presents an investigation on the increase in latency due to encryption using the Digi 2.4 GHz XBEE-PRO 802.15.4 and 900MHz XBEE-PRO 900HP DigiMesh which are commonly used for command and control communication in low cost UAVs. © 2017, American Institute of Aeronautics and Astronautics Inc, AIAA. All rights reserved.</t>
  </si>
  <si>
    <t>Antennas; Aviation; Computer crime; Crime; Cryptography; Information systems; Information use; Military applications; Military vehicles; Network security; Rock mechanics; Unmanned aerial vehicles (UAV); Autonomous unmanned aerial vehicles; Command and control; Communications protocols; Ground control stations; Monitor and control; Potential risks; Unmanned system; Wireless communication links; IEEE Standards</t>
  </si>
  <si>
    <t>10.2514/6.2017-0061</t>
  </si>
  <si>
    <t>https://www.scopus.com/inward/record.uri?eid=2-s2.0-85085848397&amp;doi=10.2514%2f6.2017-0061&amp;partnerID=40&amp;md5=9ad94438cbb1640362b4c971f1400e1e</t>
  </si>
  <si>
    <t>P612</t>
  </si>
  <si>
    <t>Kang, J.-H.; Kwon, Y.-M.; Park, K.-J.</t>
  </si>
  <si>
    <t>Cooperative spatial retreat for resilient drone networks</t>
  </si>
  <si>
    <t>Drones are broadening their scope to various applications such as networking, package delivery, agriculture, rescue, and many more. For proper operation of drones, reliable communication should be guaranteed because drones are remotely controlled. When drones experience communication failure due to bad channel condition, interference, or jamming in a certain area, one existing solution is to exploit mobility or so-called spatial retreat to evacuate them from the communication failure area. However, the conventional spatial retreat scheme moves drones in random directions, which results in inefficient movement with significant evacuation time and waste of battery lifetime. In this paper, we propose a novel spatial retreat technique that takes advantage of cooperation between drones for resilient networking, which is called cooperative spatial retreat (CSR). Our performance evaluation shows that the proposed CSR significantly outperforms existing schemes. © 2017 by the authors. Licensee MDPI, Basel, Switzerland.</t>
  </si>
  <si>
    <t>Aerial networks; Drones; Spatial retreat; Unmanned aerial vehicles; Drones; Aerial networks; Battery lifetime; Channel conditions; Communication failure; Evacuation time; Package delivery; Reliable communication; Spatial retreat; article; drone; male; Unmanned aerial vehicles (UAV)</t>
  </si>
  <si>
    <t>10.3390/s17051018</t>
  </si>
  <si>
    <t>https://www.scopus.com/inward/record.uri?eid=2-s2.0-85018378555&amp;doi=10.3390%2fs17051018&amp;partnerID=40&amp;md5=6368072896e04dd2b794a9b7582394ad</t>
  </si>
  <si>
    <t>P613a</t>
  </si>
  <si>
    <t>ICNS 2018 - Integrated Communications, Navigation, Surveillance Conference</t>
  </si>
  <si>
    <r>
      <rPr>
        <sz val="11"/>
        <color rgb="FF000000"/>
        <rFont val="Calibri"/>
        <family val="2"/>
        <scheme val="minor"/>
      </rPr>
      <t xml:space="preserve">The proceedings contain 197 papers. The topics discussed include: AeroMACS delivering secure networks through PKI policy and certificate; paving the way for an IT security architecture for LDACS: a Datalink security threat and risk analysis; on the security of aeronautical Datalink communications: problems and solutions; trustworthiness requirements and models for aviation and aerospace systems; </t>
    </r>
    <r>
      <rPr>
        <sz val="11"/>
        <color rgb="FFFF0000"/>
        <rFont val="Calibri"/>
        <family val="2"/>
        <scheme val="minor"/>
      </rPr>
      <t>cyber security of unmanned aircraft system traffic management (UTM)</t>
    </r>
    <r>
      <rPr>
        <sz val="11"/>
        <color rgb="FF000000"/>
        <rFont val="Calibri"/>
        <family val="2"/>
        <scheme val="minor"/>
      </rPr>
      <t xml:space="preserve">; an enterprise cybersecurity strategy for federal critical infrastructure modernization; commercial space vehicle tracking using ADS-B; ADS-B mixed sUAS and NAS system capacity analysis and DAA performance; UAS CNS architectures for uncontrolled airspace; wide band channel characterization for low altitude unmanned aerial system communication using software defined radios; narrowband propagation statistics of aeronautical mobile-ground links in the L- and C-bands; phased array antenna for the mitigation of UAS interference; integration of fixed air-routes into UAS traffic management system; rapid assessment of air traffic impact of blocking airspaces; </t>
    </r>
    <r>
      <rPr>
        <sz val="11"/>
        <color rgb="FFFF0000"/>
        <rFont val="Calibri"/>
        <family val="2"/>
        <scheme val="minor"/>
      </rPr>
      <t>integration of UAS in existing air traffic management systems connotations and consequences</t>
    </r>
    <r>
      <rPr>
        <sz val="11"/>
        <color rgb="FF000000"/>
        <rFont val="Calibri"/>
        <family val="2"/>
        <scheme val="minor"/>
      </rPr>
      <t>; technical feasibility and impacts of reducing standard separation minima in final approach; and multi-objective integrated arrival &amp; departure aircraft sequencing under the influence of sequential flights.</t>
    </r>
  </si>
  <si>
    <t>https://www.scopus.com/inward/record.uri?eid=2-s2.0-85050006124&amp;partnerID=40&amp;md5=5b80439d520bf19b94d52041dd876a7b</t>
  </si>
  <si>
    <t>P613b</t>
  </si>
  <si>
    <t xml:space="preserve"> integration of UAS in existing air traffic management systems connotations and consequences</t>
  </si>
  <si>
    <t>Vedi sopra</t>
  </si>
  <si>
    <t>P614</t>
  </si>
  <si>
    <t>Koval, A.; Irigoyen, E.; Koval, T.</t>
  </si>
  <si>
    <t>AR.Drone as a platform for measurements</t>
  </si>
  <si>
    <t>The number of civil applications that utilize unmanned aerial vehicles (UAVs) nowadays is continuously growing. Detection of gas leaks is one of the most promising directions. Using UAVs in this area is of great interest cause they are more flexible than ground systems. In this paper authors present integration of a custom sensor into AR.Drone quadrotor on the example of Figaro catalytic gas sensor. This will allow to conduct outdoor air quality monitoring and to prevent environmental pollution. Main focus of this work is to propose a challenging monitoring system capable to detect dangerous gases in the immediate vicinity to the gas source and is controlled via Robot Operating System. First laboratory experiments proved viability of proposed system and serve as a basis for further research. © 2017 IEEE.</t>
  </si>
  <si>
    <t>AR.Drone; gas; pollution; ROS; Air quality; Gallium; Nanotechnology; Pollution; AR.Drone; Catalytic gas sensors; Civil applications; Environmental pollutions; Laboratory experiments; Monitoring system; Outdoor air qualities; Robot operating system; Gases</t>
  </si>
  <si>
    <t>10.1109/ELNANO.2017.7939812</t>
  </si>
  <si>
    <t>https://www.scopus.com/inward/record.uri?eid=2-s2.0-85021302034&amp;doi=10.1109%2fELNANO.2017.7939812&amp;partnerID=40&amp;md5=4d575e61facf6ab072b1f48361fb9e9c</t>
  </si>
  <si>
    <t>P615</t>
  </si>
  <si>
    <t>Samsó, L.; Atkinson, J.</t>
  </si>
  <si>
    <t>Adding complexity to sense &amp; avoid: Economic feasibility, autonomy and cybersecurity</t>
  </si>
  <si>
    <t>The purpose of this research is to further develop a future vision of the use of Remotely Piloted Aircraft (RPA) and how they will safely operate in a manner required for economical replacement of existing methods and perhaps more importantly their social acceptance across multiple cultures. A primary finding from previous research indicates more robust and reliable autonomy of the RPA is the backbone of these machines realizing their full potential. Major roadblocks to obtaining the necessary level of autonomy to include reliable and integrated communications, cybersecurity and fail-safe "sense and avoid" methodology. Our research has further developed the technical, safety and operational goals that must be met for RPAs of the future to become economically feasible and take their place in everyday society. First we developed a more robust and up-to-date basis of technology for each of these areas of interest. Comparing these updated data to our earlier findings related to multi-sensor "sense and avoid (S&amp;A)" capability as well as projected operational scenarios we developed an algorithm for a generic RPA to utilize integrated sensors to detect, localize and make response decisions to ensure necessary machine maneuvers are performed in time to avoid the detected object. Simultaneous notification of control authorities are a function triggered as a part of the decision/response logic. Using a well defined decision/ response algorithm we next looked for specific system functions and hardware interfaces to off-board sensors to identify possible cybersecurity attack vulnerabilities. Both NextGen and SESAR plan to implement new operational concepts and make use of surveillance sources such the Automatic Dependent Surveillance - Broadcast (ADS-B) and the new systems such Automatic Collision Avoidance System (ACAS -X). The results will be a multiplicity of useful information that could be fed into the airspace. Final conclusions of this research are presented to show concentrated areas of concern that must be considered by RPA system designers as well as control system developers and remote air traffic controllers.</t>
  </si>
  <si>
    <t>Air traffic control; Aircraft accidents; Control theory; Flight control systems; Reconfigurable hardware; Unmanned aerial vehicles (UAV); Air traffic controller; Automatic dependent surveillance - broadcasts; Collision avoidance systems; Control authorities; Economic feasibilities; Operational concepts; Operational scenario; Remotely piloted aircraft; Fighter aircraft</t>
  </si>
  <si>
    <t>https://www.scopus.com/inward/record.uri?eid=2-s2.0-84989945827&amp;partnerID=40&amp;md5=0dab6cb51afd0994a2577a28ef68b2af</t>
  </si>
  <si>
    <t>P616</t>
  </si>
  <si>
    <t>Carter, W.E.; Glennie, C.L.; Shrestha, R.L.</t>
  </si>
  <si>
    <t>Geodetic imaging by airborne LiDAR: A golden age in geodesy – A bonanza for related sciences</t>
  </si>
  <si>
    <t>One and a half centuries after the founding of the IAG, geodetic imaging (GI) represents a golden age in geodesy, and a bonanza of never-before-available quantitative information for research in related fields of science. Airborne LiDAR (light detection and ranging) observations, and such derived products as ‘bare earth’ digital elevation models, are being used to study: earthquake deformation fields, fault slip rates, folding mechanisms, landslide dynamics, channel network evolution, soil mantle development, bedrock surface cracking, landscape response to tectonics, lava flow fluxes, marsh evolution, salmon habitat, beach erosion, forestry, and archaeological sites. LiDAR technology is still developing rapidly, with high priority being given to multi-color systems, and miniaturization that will enable the deployment of LiDAR in remotely piloted aircraft, a.k.a., drones. As such technological improvements become operational new scientific problems will be brought within reach of an increasingly diverse community of researchers. © Springer International Publishing Switzerland 2015.</t>
  </si>
  <si>
    <t>Geodetic imaging; LiDAR; Unmanned aerial vehicle; Fault slips; Fighter aircraft; Geodesy; Surface defects; Unmanned aerial vehicles (UAV); Archaeological site; Deformation field; Digital elevation model; Folding mechanism; Landslide dynamics; Quantitative information; Remotely piloted aircraft; Technological improvements; Optical radar</t>
  </si>
  <si>
    <t>10.1007/1345_2015_121</t>
  </si>
  <si>
    <t>https://www.scopus.com/inward/record.uri?eid=2-s2.0-84984876274&amp;doi=10.1007%2f1345_2015_121&amp;partnerID=40&amp;md5=3bf3a72732dd0d8323c24b881385f550</t>
  </si>
  <si>
    <t>P617</t>
  </si>
  <si>
    <t>Cheon, J.H.; Han, K.; Hong, S.-M.; Kim, H.J.; Kim, J.; Kim, S.; Seo, H.; Shim, H.; Song, Y.</t>
  </si>
  <si>
    <t>Toward a Secure Drone System: Flying with Real-Time Homomorphic Authenticated Encryption</t>
  </si>
  <si>
    <t>Controlling or accessing remotely has become a prevalent form of operating numerous types of platforms and infrastructure. An exploding number of vehicles such as drones or cars, in particular, are being controlled wirelessly or connected through networks. This has brought unanimous concern that today's networked vehicle systems are vulnerable to attacks and the results could be fatal. Unfortunately, in contrast to active investigation on the security of the vehicles themselves, sensors, or communication channels, existing approaches for these real-time, safety-critical systems do not take controllers into enough consideration. In order to protect the controller that performs the arithmetic operations using sensor measurements and generates command signals, we adopt homomorphic cryptography for the controller. It removes risks associated with the management of the secret key inside the controller, by eliminating the need to encrypt and decrypt the data for the mathematical operation within the controller. Specifically, we propose an efficient linearly homomorphic authenticated encryption (LinHAE) scheme for the ground control center of a multi-rotor drone, in a manner that enables real-time operation for safe autonomous flight. To facilitate the linear scheme, we design the ground controller targeted to allow state update using additions and multiplications by a system-specific constant. The proposed LinHAE guarantees the security against eavesdropping and forgery attacks, unlike homomorphic encryption alone that does not provide means to check whether the received signal at the drone side is authentic or compromised. We introduce a LinHAE with security and computational tractability, and describe how it can fit into the standard architecture for drone systems and how the specific controller is implemented. Building on these ingredients, we report the first successful operation of a multi-rotor flying robot that autonomously flies under the ground controller with real-time homomorphic authenticated encryption. © 2013 IEEE.</t>
  </si>
  <si>
    <t>control design; Cryptography; cyber-physical systems; encryption; unmanned aerial vehicles; Aircraft control; Authentication; Control systems; Controllers; Drones; Flight control systems; Interactive computer systems; Real time systems; Rock mechanics; Safety engineering; Security systems; Sensors; Vehicle to vehicle communications; Arithmetic operations; Authenticated encryption; Computational tractability; Ho-momorphic encryptions; Homomorphic cryptography; Mathematical operations; Safety critical systems; Standard architecture; Cryptography</t>
  </si>
  <si>
    <t>10.1109/ACCESS.2018.2819189</t>
  </si>
  <si>
    <t>https://www.scopus.com/inward/record.uri?eid=2-s2.0-85044380148&amp;doi=10.1109%2fACCESS.2018.2819189&amp;partnerID=40&amp;md5=f89a6a9f93d3d8e193f0227fc6a3362d</t>
  </si>
  <si>
    <t>P618</t>
  </si>
  <si>
    <t>Mead, J.; Bobda, C.; Whitaker, T.J.L.</t>
  </si>
  <si>
    <t>Defeating drone jamming with hardware sandboxing</t>
  </si>
  <si>
    <t>In this work, we concern ourselves with the security of drone systems under jamming-based attacks. The focus is on design and synthesis structure with the anti-jamming security needs of drone systems. We explore a relatively new concept known as hardware sandboxing, to provide runtime monitoring of boundary signals and isolation through resource virtualization for non-trusted system-on-chip (SoC) components. We utilize Field Programmable Gate Array (FPGA) based development and target embedded Linux for our drone hardware/software system containing the hardware sandbox. We design and implement our working concept on the Digilent Zybo FPGA, which uses the Xilinx Zynq system. Our design is validated via simulation-based tests to mimic jamming attacks and standalone, stationary tests with commercial transmitter and receiver equipment. In both cases, we are successful in detecting and isolating unwanted behavior. © 2016 IEEE.</t>
  </si>
  <si>
    <t>Computer operating systems; Drones; Field programmable gate arrays (FPGA); Hardware; Jamming; Network security; Programmable logic controllers; System-on-chip; Target drones; Unmanned aerial vehicles (UAV); Design and implements; Embedded Linux; Hardware/software systems; Jamming attacks; Resource Virtualization; Runtime Monitoring; Transmitter and receiver; Trusted systems; Integrated circuit design</t>
  </si>
  <si>
    <t>10.1109/AsianHOST.2016.7835557</t>
  </si>
  <si>
    <t>https://www.scopus.com/inward/record.uri?eid=2-s2.0-85015149436&amp;doi=10.1109%2fAsianHOST.2016.7835557&amp;partnerID=40&amp;md5=6a9f78624eae21163ca0ab4ffb97fb72</t>
  </si>
  <si>
    <t>P619</t>
  </si>
  <si>
    <t>Williams, R.</t>
  </si>
  <si>
    <t>Discovery Lab Global: Accelerating innovations⋯ growing innovators</t>
  </si>
  <si>
    <t>Discovery Lab Global (DLG) is a not-for-profit Entrepreneurial STEM Lab and Concepts Accelerator for strategic workforce development that focuses primarily on bridging the last 2 years of high school &amp; first 2 years of college. It builds on the insights and lessons-learned gained in the 10-year operation of the original Air Force Research Laboratory's (AFRL) Discovery Lab workforce development program (2005-2015). AFRL Discovery Lab ended in 2015 when the founding director retired to start up Discovery Lab Global as a not-for-profit STEM and strategic workforce development initiative. The presentation will focus on the crucial role that collaboration technologies will play in scaling up from a 100-student program into a 1,000-plus student program with global reach. A. 100-Student AFRL Discovery Lab (2005-2015) The Air Force Research Laboratory's (AFRL) Discovery Lab focused on workforce development across a broad spectrum of Science, Technology, Engineering, and Math (STEM) disciplines in project areas of interest to the Air Force. It averaged over 100 students recruited from across the country to participate in team-based technology projects. Notable project areas include but were not limited to virtual reality, autonomy, mobile apps, cybersecurity, additive manufacturing, small unmanned aerial vehicle (SUAV) engineering, data analytics, and computing electronics to name a few. B. 200-Student Discovery Lab Global (2016+) As mentioned earlier, Discovery Lab Global (DLG) is a not-for-profit Entrepreneurial STEM Lab and Concepts Accelerator with the purpose of accelerating innovations while growing innovators through the formation of team-based student projects. As a not-for-profit, DLG has the freedom to greatly expand its reach to global while still maintaining its focus on giving high school students and undergraduate students early hands on experience designed to strengthen their resume and accelerate their development as entrepreneurial innovators. We've establish a long-term strategic goal of a 1,000 student program to quantify our efforts for global reach. Our initial steps will begin with an interim 200-student goal. C. Deep HoriXons - 200 Avatar Virtual STEM Campus DLG has invested in virtual reality as a technology and tool for large scale collaboration for STEM, Research, and Entrepreneurship with the goal of establishing a 200-avatar virtual campus. However, in the spirit of a Grand Challenge, Discovery Lab Global proposes to combine the programmatic structure of Discovery Lab Global (DLG), the global reach of Deep HoriXons (DHX) virtual campus, and the multiplicative potential of collaboration technology systems for a 1,000 student avatar Collaboration Technologies Grand Challenge. D. 1,000 Avatar Collaboration Technologies Grand Challenge The emergence of virtual reality (VR) technologies is more than an attention grabbing way to make video games more immersive and realistic. It is more than a marketing strategy for business to pull customers across the distances into their show rooms. Virtual reality when combined with a system of collaboration technologies has the potential to create new paradigms in student-driven defense and commercial research for "pennies on the dollar" through crowd-source approaches. A Grand Challenge approach is detailed in the presentation. © 2016 IEEE.</t>
  </si>
  <si>
    <t>Collaboration technologies; Education; Entrepreneurship; STEM; Virtual reality; Education; Engineering education; Innovation; Interactive computer graphics; Laboratories; Marketing; Military aviation; Profitability; Research laboratories; Students; Virtual reality; Air Force Research Laboratory; Collaboration technology; Entrepreneurship; Large-scale collaboration; Science , technology , engineering , and maths; Small unmanned aerial vehicles; Undergraduate students; Workforce development; STEM (science, technology, engineering and mathematics)</t>
  </si>
  <si>
    <t>10.1109/CTS.2016.41</t>
  </si>
  <si>
    <t>https://www.scopus.com/inward/record.uri?eid=2-s2.0-85017003435&amp;doi=10.1109%2fCTS.2016.41&amp;partnerID=40&amp;md5=986015cb017693444f2b801a5758ba31</t>
  </si>
  <si>
    <t>P62</t>
  </si>
  <si>
    <t>Dai, Z.</t>
  </si>
  <si>
    <t>Image acquisition technology for unmanned aerial vehicles based on YOLO - Illustrated by the case of wind turbine blade inspection</t>
  </si>
  <si>
    <t>Wind energy, as a renewable energy source, is becoming increasingly important. The maintenance and damage detection of wind turbine blades are particularly crucial. For this purpose, the study aims to optimize the You Only Look Once (YOLO) processing algorithm for drone images to improve the detection efficiency. Firstly, the damage images captured by drones are preprocessed and optimized, including deblurring, noise reduction, and image enhancement. Subsequently, the YOLOv5 model is improved in terms of structure and regression function, and a novel damage detection model is proposed. The research results indicated that the minimum loss function value of the improved model was 2.75, the average accuracy was 95 %, and the highest intersection over union was 91 %. After simulation testing, the detection effect of this model on abrasion, crackle, edge cracking, and coating peeling images was significantly better than other models in the same series. Its average time was as short as 2.43 s, reaching a maximum frame rate of 35.46. From this, the combination of drone image technology and improved image processing algorithm has a positive impact on improving the operational efficiency and safety of wind turbine blades. Compared with the traditional methods, the proposed model has significant advantages in terms of accuracy and real-time performance of damage detection, providing a new technical means for efficient maintenance of wind turbines. Meanwhile, the method shows high robustness and reliability in different types of damage detection, demonstrating the extensive potential in practical applications. © 2024</t>
  </si>
  <si>
    <t>Image detection; Intersection over union; Preprocessing; Wind turbine blade; YOLO; Aircraft detection; Antennas; Drones; Image enhancement; Noise abatement; Technology transfer; Turbine components; Turbomachine blades; Wind power; Wind turbine blades; Aerial vehicle; Damage images; Detection efficiency; Image detection; Intersection over union; Preprocessing; Processing algorithms; Renewable energy source; Wind turbine blades; You only look once; Damage detection</t>
  </si>
  <si>
    <t>10.1016/j.sasc.2024.200126</t>
  </si>
  <si>
    <t>https://www.scopus.com/inward/record.uri?eid=2-s2.0-85200637466&amp;doi=10.1016%2fj.sasc.2024.200126&amp;partnerID=40&amp;md5=5e97f9586c0dd1b9b744ffae00a1cd64</t>
  </si>
  <si>
    <t>P620</t>
  </si>
  <si>
    <t>Driscoll, K.R.; Roy, A.; Ponchak, D.S.; Downey, A.N.</t>
  </si>
  <si>
    <t>Cyber safety and security for reduced crew operations (RCO)</t>
  </si>
  <si>
    <t>NASA and the Aviation Industry is looking into "reduced crew operations" (RCO) that would cut today's required two-person flight crews down to a single pilot with support from ground-based crews. Shared responsibility across air and ground personnel will require highly reliable and secure data communication and supporting automation, which will be safety-critical for passenger and cargo aircraft. This paper looks at the different types and degrees of authority delegation given from the air to the ground and the ramifications of each, including the safety and security hazards introduced, the mitigation mechanisms for these hazards, and other demands on an RCO system architecture which would be highly invasive into (almost) all safety-critical avionics. The adjacent fields of unmanned aerial systems and autonomous ground vehicles are viewed to find problems that RCO may face and related aviation accident scenarios are described. The paper explores possible data communication architectures to meet stringent performance and information security (INFOSEC) requirements of RCO. Subsequently, potential challenges for RCO data communication authentication, encryption and non-repudiation are identified. The approach includes a comprehensive safety-hazard analysis of the RCO system to determine top level INFOSEC requirements for RCO and proposes an option for effective RCO implementation. This paper concludes with questioning the economic viability of RCO in light of the expense of overcoming the operational safety and security hazards it would introduce. © 2017 IEEE.</t>
  </si>
  <si>
    <t>Accidents; Aircraft communication; Authentication; Cargo aircraft; Convolutional codes; Cryptography; Ground vehicles; Hazards; NASA; Safety engineering; Security of data; Accident scenarios; Autonomous ground vehicles; Data-communication; Operational safety; Safety and securities; Shared responsibility; System architectures; Unmanned aerial systems; Aircraft accidents</t>
  </si>
  <si>
    <t>10.1109/AERO.2017.7943785</t>
  </si>
  <si>
    <t>https://www.scopus.com/inward/record.uri?eid=2-s2.0-85021235722&amp;doi=10.1109%2fAERO.2017.7943785&amp;partnerID=40&amp;md5=6a1c082a0c5ae946bf53d9ea1fd90f46</t>
  </si>
  <si>
    <t>P621</t>
  </si>
  <si>
    <t>De Cubber, G.</t>
  </si>
  <si>
    <t>Opportunities and security threats posed by new technologies</t>
  </si>
  <si>
    <t>The technological evolution is introducing in a fast pace new technologies in our everyday lives. As always, these new technologies can be applied for good causes and thereby give us the opportunity to do many interesting new things. Think for example about drones transporting blood samples between hospitals. However, like always, new technologies can also be applied for bad causes. Think for example about the same drones, but this time transporting bomb parcels instead of blood. In this paper, we will focus on a number of novel technologies and discuss how security actors are currently doing their best to maximize the “good” use of these tools, while minimizing the “bad” use. We will focus on research actions taken by Belgian Royal Military Academy in the domains of: Augmented reality, and showcase how this technology can be used to improve surveillance operations. Unmanned Aerial Systems (Drones), and showcase how the potential security threats posed by these systems can be mitigated by novel drone detection systems. Unmanned Maritime Systems, and showcase how this technology can be used to increase the safety at sea. Unmanned Ground Systems, and more specifically the autonomous cars, showcasing how to prevent potential cyber-attacks on these future transportation tools. © 2019 3rd Annual Science Fiction Prototyping Conference 2019: Designing Your Future With Science Fiction, SciFi-It 2019. All rights reserved.</t>
  </si>
  <si>
    <t>Augmented reality; Drones; Societal acceptance; Unmanned aerial systems; Unmanned ground systems; Unmanned maritime systems; Antennas; Augmented reality; Blood; Drones; Network security; Security systems; Detection system; Ground systems; Maritime systems; Security threats; Societal acceptance; Surveillance operations; Technological evolution; Unmanned aerial systems; Aircraft detection</t>
  </si>
  <si>
    <t>https://www.scopus.com/inward/record.uri?eid=2-s2.0-85072337604&amp;partnerID=40&amp;md5=a642c04c4d4c0bc4b7af3f38d2a009af</t>
  </si>
  <si>
    <t>P622</t>
  </si>
  <si>
    <t>Xiao, F.; Zhou, M.; Liye, Y.; Yang, J.; Wang, Q.</t>
  </si>
  <si>
    <t>Poster: Enabling secure location authentication in drone</t>
  </si>
  <si>
    <t>With the popularity of commodity drones in a wide variety of applications, significant security issues have been raised. One of the major problems is that a legal drone may be illegally hijacked by GPS spoofing attacks. Though some GPS anti-spoofing techniques have been proposed, no effective technique has been implemented in commodity drones yet due to practical limitations. Motivated by the ubiquitous WiFi signals around us, we propose WiDrone, a WiFi fingerprint location cross-check based anti-hijacking system on commodity drones in this poster. WiDrone still relies on GPS for navigation but it will authenticate the destination by comparing current WiFi fingerprint (CWF) with the destination WiFi fingerprint (DWF) when the drone receives a landing order. Furthermore, we propose a WiFi fingerprint authentication algorithm to decide whether CWF matches DWF. We have designed and implemented the prototype of WiDrone on DJI Matrice 100 to ascertain the practicability of proposed system. © 2017 Copyright held by the owner/author(s).</t>
  </si>
  <si>
    <t>Drone; Secure location authentication; WiFi; Authentication; Cryptography; Drones; Location; Mobile computing; Mobile security; Wi-Fi; Wireless local area networks (WLAN); Anti-spoofing; Cross check; Fingerprint authentication; Secure location; Security issues; Spoofing attacks; Wi-Fi signals; Unmanned aerial vehicles (UAV)</t>
  </si>
  <si>
    <t>10.1145/3117811.3131259</t>
  </si>
  <si>
    <t>https://www.scopus.com/inward/record.uri?eid=2-s2.0-85034085817&amp;doi=10.1145%2f3117811.3131259&amp;partnerID=40&amp;md5=f4df6ea849fa3225b622a0d9c7cda09b</t>
  </si>
  <si>
    <t>P623</t>
  </si>
  <si>
    <t>Baldwin, R.; Hofecker, T.; Carter, G.</t>
  </si>
  <si>
    <t>Who's in control? Securing commercial unmanned aerial systems command and control a methodology and way ahead</t>
  </si>
  <si>
    <t>While advanced militaries around the world have put significant effort into cybersecurity for their most important Unmanned Aerial Systems (UAS), it appears that non-military systems are proliferating internationally with nearly no thought given to the dangers inherent in their unsecured command and control links. Just as extant commercial airliner technology was used in the September 2001 terrorist attacks in the United States, a proliferation of unmanned aerial systems that do not have appropriate security systems, protocols, and structures built-in could provide terrorists, criminals and foreign antagonists with vulnerabilities that could be exploited to the detriment of public safety and national security. This white paper presents an overview of the commercial command and control security issues and a reasoned deliberate approach to mitigating cybersecurity risks for commercial unmanned aerial systems in the National Air Space.</t>
  </si>
  <si>
    <t>Air navigation; Air traffic control; Control towers; Military applications; National security; Structures (built objects); Terrorism; Traffic control; Command and control; Commercial airliner; Cyber security; Military systems; National air spaces; Public safety; Terrorist attacks; Unmanned aerial systems; Command and control systems</t>
  </si>
  <si>
    <t>https://www.scopus.com/inward/record.uri?eid=2-s2.0-84983401685&amp;partnerID=40&amp;md5=7712ef39d101c24fe1215feaf16a8f14</t>
  </si>
  <si>
    <t>P624</t>
  </si>
  <si>
    <t>Proceedings - 9th ACM/IEEE International Conference on Cyber-Physical Systems, ICCPS 2018</t>
  </si>
  <si>
    <r>
      <rPr>
        <sz val="11"/>
        <color rgb="FF000000"/>
        <rFont val="Calibri"/>
        <family val="2"/>
        <scheme val="minor"/>
      </rPr>
      <t xml:space="preserve">The proceedings contain 42 papers. The topics discussed include: </t>
    </r>
    <r>
      <rPr>
        <sz val="11"/>
        <color rgb="FFFF0000"/>
        <rFont val="Calibri"/>
        <family val="2"/>
        <scheme val="minor"/>
      </rPr>
      <t>SAT-based synthesis of spoofing attacks in cyber-physical control systems</t>
    </r>
    <r>
      <rPr>
        <sz val="11"/>
        <color rgb="FF000000"/>
        <rFont val="Calibri"/>
        <family val="2"/>
        <scheme val="minor"/>
      </rPr>
      <t>; guaranteed physical security with restart-based design for cyber-physical systems;</t>
    </r>
    <r>
      <rPr>
        <sz val="11"/>
        <rFont val="Calibri"/>
        <family val="2"/>
        <scheme val="minor"/>
      </rPr>
      <t xml:space="preserve"> cyber-physical system checkpointing and recovery</t>
    </r>
    <r>
      <rPr>
        <sz val="11"/>
        <color rgb="FF000000"/>
        <rFont val="Calibri"/>
        <family val="2"/>
        <scheme val="minor"/>
      </rPr>
      <t>; cloaking the clock: emulating clock skew in controller area networks; CityResolver: a decision support system for conflict resolution in smart cities; dynamic integration of heterogeneous transportation modes under disruptive events; impact driven sensor placement for leak detection in community water networks; SDCWorks: a formal framework for software defined control of smart manufacturing systems; towards a framework for realizable safety critical control through active set invariance; co-regulation of computational and physical effectors in a quadrotor unmanned aircraft system; OpenUAV: a UAV testbed for the CPs and robotics community; learning and control using Gaussian processes; distributed optimal control synthesis for multi-robot systems under global temporal tasks; fly-by-logic: control of multi-drone fleets with temporal logic objectives; context-aware detection in medical cyber-physical systems; a data-driven approach to artificial pancreas verification and synthesis; platform for model-based design and testing for deep brain stimulation; and autoware on board: enabling autonomous vehicles with embedded systems.</t>
    </r>
  </si>
  <si>
    <t>https://www.scopus.com/inward/record.uri?eid=2-s2.0-85053516090&amp;partnerID=40&amp;md5=d3c015c4303ca09aea8094cc0f742ad2</t>
  </si>
  <si>
    <t>P625</t>
  </si>
  <si>
    <t>Barchyn, T.E.; Hugenholtz, C.H.; Myshak, S.; Bauer, J.</t>
  </si>
  <si>
    <t>A uav-based system for detecting natural gas leaks</t>
  </si>
  <si>
    <t>We describe an integrated system combining an unmanned aerial vehicle (UAV) and open path methane instrument for detecting leaks in natural gas infrastructure. Reducing methane emissions from the natural gas supply chain is a focus of industry and government initiatives to reduce greenhouse gas emissions. UAVs may provide a more cost-effective, accurate, and safe approach to finding leaks than existing technology. The base UAV is a 2.3 m wingspan fixed-wing, battery powered autonomous UAV, capable of 90 min flight time. The methane instrument consists of a tuneable laser diode absorption spectrometer, mounted with a transceiver unit on one winglet, a retro-reflector on the other winglet (path length = 4.6 m), and measurement control boards in the main fuselage. Operationally, the aircraft flies a predetermined sequence of waypoints downwind of the pipeline or infrastructure. Measured methane concentrations are passed to the UAV flight computer, geotagged, and stored for analysis upon landing. If measured concentrations exceed a certain threshold, a “loopback routine” in the flight computer directs the UAV to turn around and fly over the methane anomaly to collect additional data. We demonstrate the operation of the system for commercial leak detection in upstream natural gas pipeline networks. © 2018, Canadian Science Publishing. All rights reserved.</t>
  </si>
  <si>
    <t>Drone; Leaks; Methane; Natural gas; UAV; Antennas; Cost effectiveness; Fixed wings; Gas emissions; Gas supply; Greenhouse gases; Leak detection; Methane; Natural gas pipelines; Natural gas vehicles; Supply chains; Unmanned aerial vehicles (UAV); Absorption spectrometers; Gas pipeline networks; Government initiatives; Integrated systems; Measurement control; Methane concentrations; Natural gas infrastructure; Tuneable laser diodes; Aircraft detection</t>
  </si>
  <si>
    <t>10.1139/juvs-2017-0018</t>
  </si>
  <si>
    <t>https://www.scopus.com/inward/record.uri?eid=2-s2.0-85053931159&amp;doi=10.1139%2fjuvs-2017-0018&amp;partnerID=40&amp;md5=8e284fee494d097e2a63c2c1f29bf7da</t>
  </si>
  <si>
    <t>P626</t>
  </si>
  <si>
    <t>Bunse, C.; Plotz, S.</t>
  </si>
  <si>
    <t>Security analysis of drone communication protocols</t>
  </si>
  <si>
    <t>Unmanned aerial vehicles (UAV) are increasingly used by hobbyists, companies, and the public sector [1] for a number of purposes. Although this is good, UAVs bear the physical risks of aircrafts as well as those of unmanned systems. Taken into account the exponentially increasing number of UAVs (i.e., there will be approximately 1.26 million UAVs in Germany by 2018), these risks are becoming more likely to occur. In addition to operational risks, there are also security related risks. UAVs are typically remotely controlled, which, in turn, opens ways for cyber-attacks (e.g., denial of service or taking over control). In this paper we demonstrate that taking over control of commercially available UAVs is feasible and simple. In detail, we examine and analyze a standard UAV communication and control protocol (i.e., the DSM protocol family by Spektrum Inc.). We discuss common approaches for attacks, minor observations, and associated security vulnerabilities of this protocol. Since the number of commercially available communication components is small, these findings can easily be ported to other protocols such as (HOTT, S-FHSS, FrSky, and others). Finally, we make some recommendations which, if implemented, will significantly improve the security of UAV operations. © Springer International Publishing AG, part of Springer Nature 2018.</t>
  </si>
  <si>
    <t>Drone; Radio protocol; Reverse engineering; Security; UAV; Wireless; Antennas; Drones; Network security; Radio; Reverse engineering; Risks; Unmanned aerial vehicles (UAV); Communication and control; Communication components; Denial of Service; Operational risks; Radio protocols; Security; Security analysis; Security vulnerabilities; Denial-of-service attack</t>
  </si>
  <si>
    <t>10.1007/978-3-319-94496-8_7</t>
  </si>
  <si>
    <t>https://www.scopus.com/inward/record.uri?eid=2-s2.0-85049363174&amp;doi=10.1007%2f978-3-319-94496-8_7&amp;partnerID=40&amp;md5=1dc5e0364f624de1726210dd9448f033</t>
  </si>
  <si>
    <t>P627</t>
  </si>
  <si>
    <t>Viet, H.N.; Kwon, K.-R.; Kwon, S.-K.; Lee, E.-J.; Lee, S.-H.; Kim, C.-Y.</t>
  </si>
  <si>
    <t>Implementation of GPS signal simulation for drone security using Matlab/Simulink</t>
  </si>
  <si>
    <t>In this paper, a simulation model of digital intermediate frequency (IF) GPS signal is presented. This design is developed based on mathematical model representing the digitized IF GPS signal. In details, C/A code, navigation data and P code, and the noise models are configured some initial settings simultaneously. Simulation results show that the simulated signals share the same properties with real signals (e.g. C/A code correlation properties, and the spread spectrum). The simulated GPS IF signal data can work as input for various signal processing algorithm of GPS receivers, such as acquisition, tracking, carrier-to-noise ratio (C/No) estimation, and GPS spoofing signal generation. Particularly, the simulated GPS signal can conduct scenarios by adjust SNR values of the noise generator during simulation (e.g. signal outages, sudden changes of GPS signal power), which can be used as setup experiments of spoofing/jamming interference to UAVs for drone security applications. © 2017 IEEE.</t>
  </si>
  <si>
    <t>Drone security; GPS signal generator; IF (intermediate frequency) signals; Signal-to-noise ratio (SNR); C (programming language); Codes (symbols); Drones; Global positioning system; MATLAB; Signal generators; Signal processing; Signal to noise ratio; Unmanned aerial vehicles (UAV); Carrier to noise ratio; Correlation properties; Digital intermediate frequency; GPS signal generators; Intermediate frequencies; Security application; Signal generation; Signal processing algorithms; Signal receivers</t>
  </si>
  <si>
    <t>10.1109/INTERCON.2017.8079647</t>
  </si>
  <si>
    <t>https://www.scopus.com/inward/record.uri?eid=2-s2.0-85039980317&amp;doi=10.1109%2fINTERCON.2017.8079647&amp;partnerID=40&amp;md5=019aa472bbdba5a622adf3dd79c09443</t>
  </si>
  <si>
    <t>P628</t>
  </si>
  <si>
    <t>Smith, B.; John, G.; Stark, B.; Christensen, L.E.; Chen, Y.Q.</t>
  </si>
  <si>
    <t>Applicability of unmanned aerial systems for leak detection</t>
  </si>
  <si>
    <t>In light of recent U.S. Federal Aviation Administration (FAA) notices, there is a surge in the research and development of the 'micro' class sUAS for commercial purposes. Natural gas production and distribution companies in particular are making an effort to develop aerial leak detection methods with sUAS. These efforts require a comprehensive evaluation of sUAS capabilities and the environmental disturbances introduced by the sUAS in order to accurately utilize data collected via onboard in situ methane gas sensors. Though many commercially available sUAS are on the market, the shape and arrangement of any system has significant impact on the aircraft's ability to accurately sense gas leaks. This paper explores using a 3DRobotics Iris+ quadcopter for gas sensing, paying particular attention to propeller disturbances introduced by the sUAS. The paper defines certain operating conditions in which the influence of propellers can be ignored. These results can be used in gas leak applications by examining the overall airflow dynamics of a commercially available rotary sUAS. © 2016 IEEE.</t>
  </si>
  <si>
    <t>methane leak detection; propeller wash; remote sensing; small-unmanned aerial systems; Gas detectors; Gases; Leak detection; Methane; Natural gas; Natural gas well production; Propellers; Remote sensing; Unmanned aerial vehicles (UAV); Comprehensive evaluation; Distribution companies; Environmental disturbances; Federal Aviation Administration; Methane leaks; Natural-gas production; Research and development; Unmanned aerial systems; Fighter aircraft</t>
  </si>
  <si>
    <t>10.1109/ICUAS.2016.7502635</t>
  </si>
  <si>
    <t>https://www.scopus.com/inward/record.uri?eid=2-s2.0-84979784231&amp;doi=10.1109%2fICUAS.2016.7502635&amp;partnerID=40&amp;md5=6ff597e35d3f3dd3529cf4fdb239e071</t>
  </si>
  <si>
    <t>P629</t>
  </si>
  <si>
    <t>Gaspar, J.; Ferreira, R.; Sebastiao, P.; Souto, N.</t>
  </si>
  <si>
    <t>Capture of UAVs Through GPS Spoofing</t>
  </si>
  <si>
    <t>The increased use of Unmanned Aerial Vehicles (UAVs), better known as drones, by civilians has grown exponentially and its autonomous flight control systems have improved significantly, which has resulted in a greater number of accidents and dangerous situations. In this paper, we address the use of low-cost programmable Software Defined Radio (SDR) platforms for simulating a Global Navigation Satellite System (GNSS), more specifically Global Positioning System (GPS) signals, in order to transmit false signals and induce a location error on the targeted GPS receiver. Using this approach, a defensive system was implemented which can divert, or even take control of unauthorized UAVs whose flight path depends on the information obtained by the GPS system. © 2018 IEEE.</t>
  </si>
  <si>
    <t>GNSS; GPS; SDR; SPOOFING; UAV; Accidents; Antennas; Autonomous vehicles; Flight control systems; Radio navigation; Software radio; Unmanned aerial vehicles (UAV); Autonomous flight control; Dangerous situations; Defensive systems; Global Navigation Satellite Systems; GNSS; Location errors; Programmable software; SPOOFING; Global positioning system</t>
  </si>
  <si>
    <t>10.1109/GWS.2018.8686727</t>
  </si>
  <si>
    <t>https://www.scopus.com/inward/record.uri?eid=2-s2.0-85064748596&amp;doi=10.1109%2fGWS.2018.8686727&amp;partnerID=40&amp;md5=f53c16a57a338a01a358cb37a671bd9a</t>
  </si>
  <si>
    <t>P63</t>
  </si>
  <si>
    <t>Rajiv Gandhi, N.; Kumar, D.; Arunkumar, E.; Parameshwari, S.; Sadim, M.; Al-Fatlawy, R.R.</t>
  </si>
  <si>
    <t>A Detailed Review Analysis of GPS used in Drone Technology and its Challenges</t>
  </si>
  <si>
    <t>In the current environment, the rise in robotic aerial vehicles (UAVs) has made a significant position in the business market, finding uses in various industries, trade, and pleasure activities for people of all ages. Each UAV is built with specific functions, leveraging advanced technologies suited to its meant tasks. However, the aspect of security regularly tends to be ignored, especially in the case of cheap UAVs missing strong security systems. This mistake poses a risk to the data communicated during their operation, possibly endangering the communication systems or the basic control of flight functions, which includes takeoff and landing. In many instances, these weaknesses subject UAVs to prospective cybersecurity risks, leading to illegal access and influence. Such safety hazards could result in physical or ethical harm, as bad players may abuse the vulnerable UAVs to steal private information, receive pictures, or conduct illegal activities. This paper throws light on the usage of a GPS flaw found in the industrial drones made by 3D Robotics. This specific weakness opens the door for evil users to gain authority over the UAV's autonomy, allowing them to carry out illegal activities, such as flying in limited spaces as airports or as private areas. The discovery of this weakness shows that it's urgent for Robots to adopt more powerful security systems. Emphasizing the safe functioning of GPS systems is crucial, given that, currently, military the Global Positioning System remains the single choice with a secure framework. It also serves as an encouragement to action for improving the overall security framework of business UAVs, protecting against possible dangers and ensuring appropriate utilization in various environments. © 2024 IEEE.</t>
  </si>
  <si>
    <t>3D Robotics; attacks; cybersecurity risks; drone classification; drone technology; GPS analysis; GPS flaw; GPS spoofing; literature review; popular drones; security; UAVs; vulnerabilities; weaknesses in drones; Air navigation; Aircraft communication; Airport security; Cyber attacks; Global positioning system; Industrial robots; Military airports; Motion planning; 3d robotic; Attack; Cyber security; Cybersecurity risk; Drone classification; Drone technology; GPS analyze; GPS flaw; GPS spoofing; Literature reviews; Popular drone; Security; Vulnerability; Weakness in drone; Drones</t>
  </si>
  <si>
    <t>10.1109/ICACITE60783.2024.10616508</t>
  </si>
  <si>
    <t>https://www.scopus.com/inward/record.uri?eid=2-s2.0-85201801370&amp;doi=10.1109%2fICACITE60783.2024.10616508&amp;partnerID=40&amp;md5=3720b88490b3c164edfaf1363045853b</t>
  </si>
  <si>
    <t>P630</t>
  </si>
  <si>
    <t>5th International Conference on Future Network Systems and Security, FNSS 2019</t>
  </si>
  <si>
    <t>The proceedings contain 18 papers. The special focus in this conference is on Future Network Systems and Security. The topics include: System usage profiling metrics for notifications on abnormal user behavior; a new lightweight encryption approach for correlated content exchange in internet of things; digital forensics for drone data – Intelligent clustering using self organising maps; An investigation of using time and ambient conditions to sense the unexpected removal of RFID tag; analysis of in-vehicle security system of smart vehicles; quorum chain-based malware detection in android smart devices; asymmetric information in high-value low-frequency transactions: Mitigation in real estate using blockchain; Critical evaluation of RFID applications in healthcare; Ad-hoc framework for efficient network security for unmanned aerial vehicles (UAV); Performance evaluation of loraWAN for mission-critical IOT networks; an efficient dynamic group-based batch verification scheme for vehicular sensor networks; metacom: Profiling meta data to detect compromised accounts in online social networks; ameliorating depression anxiety and stress caused by social media among young women: Procedural and technological responses; attainable hacks on keystore files in ethereum wallets—A systematic analysis; cancelable palmprint feature generation method based on minimum signature; Thermal distribution change of optical fiber terminal based NG-PON2 link security monitoring technology.</t>
  </si>
  <si>
    <t>https://www.scopus.com/inward/record.uri?eid=2-s2.0-85076293464&amp;partnerID=40&amp;md5=6af51d6378f456d3615ba6f7e0154b7a</t>
  </si>
  <si>
    <t>P631</t>
  </si>
  <si>
    <t>AIAA/IEEE Digital Avionics Systems Conference - Proceedings</t>
  </si>
  <si>
    <r>
      <rPr>
        <sz val="11"/>
        <color rgb="FF000000"/>
        <rFont val="Calibri"/>
        <family val="2"/>
        <scheme val="minor"/>
      </rPr>
      <t xml:space="preserve">The proceedings contain 160 papers. The topics discussed include: a what-if analysis tool for planning airport traffic; evaluation of approval request/call for release coordination procedures for Charlotte Douglas International Airport; security, privacy and safety evaluation of dynamic and static fleets of drones; optimization of the interfering device for use of interference communication UAV; </t>
    </r>
    <r>
      <rPr>
        <sz val="11"/>
        <color rgb="FFFF0000"/>
        <rFont val="Calibri"/>
        <family val="2"/>
        <scheme val="minor"/>
      </rPr>
      <t>cyber safety and security for reduced crew operations (RCO)</t>
    </r>
    <r>
      <rPr>
        <sz val="11"/>
        <color rgb="FF000000"/>
        <rFont val="Calibri"/>
        <family val="2"/>
        <scheme val="minor"/>
      </rPr>
      <t>; examination of pilot benefits from cognitive assistance for single-pilot general aviation operations; quantifying pilot contribution to flight safety during drive shaft failure; and dynamic interference quantification for multicore processors.</t>
    </r>
  </si>
  <si>
    <t>https://www.scopus.com/inward/record.uri?eid=2-s2.0-85040986230&amp;partnerID=40&amp;md5=2170c3f6d7c36025f4446fa8d4d57ac0</t>
  </si>
  <si>
    <t>P632</t>
  </si>
  <si>
    <t>Iqbal, F.; Yankson, B.; AlYammahi, M.A.; AlMansoori, N.; Qayed, S.M.; Shah, B.; Baker, T.</t>
  </si>
  <si>
    <t>Drone forensics: Examination and analysis</t>
  </si>
  <si>
    <r>
      <rPr>
        <sz val="11"/>
        <color rgb="FF000000"/>
        <rFont val="Calibri"/>
        <family val="2"/>
        <scheme val="minor"/>
      </rPr>
      <t xml:space="preserve">Unmanned aerial vehicles (UAVs), also known as drones, provides unique functionalities, which allows area surveillance, inspection, surveying, unarmed cargo, armed attack machines, and aerial photography. </t>
    </r>
    <r>
      <rPr>
        <sz val="11"/>
        <color rgb="FFFF0000"/>
        <rFont val="Calibri"/>
        <family val="2"/>
        <scheme val="minor"/>
      </rPr>
      <t>Drones are susceptible to GPS spoofing attacks</t>
    </r>
    <r>
      <rPr>
        <sz val="11"/>
        <color rgb="FF000000"/>
        <rFont val="Calibri"/>
        <family val="2"/>
        <scheme val="minor"/>
      </rPr>
      <t>,</t>
    </r>
    <r>
      <rPr>
        <sz val="11"/>
        <color rgb="FFFF0000"/>
        <rFont val="Calibri"/>
        <family val="2"/>
        <scheme val="minor"/>
      </rPr>
      <t xml:space="preserve"> integrity attacks and de-authentication attacks, which can allow criminals to access data</t>
    </r>
    <r>
      <rPr>
        <sz val="11"/>
        <color rgb="FF000000"/>
        <rFont val="Calibri"/>
        <family val="2"/>
        <scheme val="minor"/>
      </rPr>
      <t xml:space="preserve">, </t>
    </r>
    <r>
      <rPr>
        <sz val="11"/>
        <color rgb="FFFF0000"/>
        <rFont val="Calibri"/>
        <family val="2"/>
        <scheme val="minor"/>
      </rPr>
      <t>intercept the drone and use it commit a crime</t>
    </r>
    <r>
      <rPr>
        <sz val="11"/>
        <color rgb="FF000000"/>
        <rFont val="Calibri"/>
        <family val="2"/>
        <scheme val="minor"/>
      </rPr>
      <t>. Thus, this paper is presented to report on potential attacks against the Parrot Bebop 2 drone, and the ability for an investigator to collect evidence about the attacks on the drone. This paper aims at examining the possibility of establishing ownership and collecting data to reconstruct events, linking the drone controller with the drone to prove ownership, flight origins and other potentially useful information necessary to identify the proprietor of a crime. In addition, we have also proposed small-scale drone ontology for modelling drone context data, and simple forensic processing framework for small-scale drones. Copyright © 2019 Inderscience Enterprises Ltd.</t>
    </r>
  </si>
  <si>
    <t>Context data; Digital forensics; Drone attack; Drone ontology; Drone security; Investigation; Aerial photography; Antennas; Crime; Digital forensics; Ontology; Context data; Integrity attacks; Investigation; On potentials; Small scale; Spoofing attacks; Drones</t>
  </si>
  <si>
    <t>10.1504/IJESDF.2019.100473</t>
  </si>
  <si>
    <t>https://www.scopus.com/inward/record.uri?eid=2-s2.0-85068339008&amp;doi=10.1504%2fIJESDF.2019.100473&amp;partnerID=40&amp;md5=1dd81c43ab748b0a1637fbfc19289b9a</t>
  </si>
  <si>
    <t>P633</t>
  </si>
  <si>
    <t>Nooraldeen, Y.; AlNoaimi, H.</t>
  </si>
  <si>
    <t>Opeimizing operation oversight of Bahrain field through aerial survey</t>
  </si>
  <si>
    <t>The Bahrain Oil Field is located in a desert environment in the south-central area of the Kingdom of Bahrain and spans approximately 25% of the island. The Bahrain Field was discovered in the early 1930s and is recognized as the first oil field developed in the Arabian Gulf. Recently, Tatweer Petroleum introduced advanced Unmanned Aerial Vehicles (UAV), also known as (Drones), to address the unique needs of its daily operation by providing a safe, efficient, and cost-effective maintenance and inspection solutions. This paper demonstrates the valuable benefits of utilizing UAV (Drones) in the oil and gas industry in three main areas: 'Security, Surveillance, and Emergency Response,' 'Inspection and Maintenance,' and 'Surveying and Mapping.' Under the Security and Surveillance front, Tatweer Petroleum is facing operational safety issues and security threats that require real-time response solutions, and the need to provide rapid, precise, and reliable situational awareness. Tatweer's Drones support the Security team with dynamic perimeter surveillance, intruder alerts, and critical equipment and process monitoring. Additionally, the Drones are used to support the emergency response team as a professional tool for rapid aerial incident investigation, evacuation, monitoring, and remote hazard detection. Preventive maintenance inspection is another application area where Drones can play a vital role. This is especially true when it comes to inaccessible operational assets due to their physical location (e.g. overhead power lines insulators), sheer magnitude (e.g. solar cell farm), or an inherent process hazard (e.g. flare stacks). Airborne cameras with advanced spectral imaging technology and powerful magnification optics can capture, analyze, and identify particular anomalies such as oil or gas leaks and pre-failure overheats, and provide vivid close-up images of fatigued structures and micro failures in plants and assets. This is a great cost-effective and efficient method for inspection and failure prevention. Surveying and mapping an industrial environment is time-consuming, difficult, and often dangerous. Tatweer Petroleum used the Drones to allow surveyors and mappers to collect unlimited aerial data with precise measurements, while saving time, money, and manpower. It also provides premium processing and analytics capabilities to support critical processes such as stock pile volume measurements, terrain mapping, site planning etc. The Drones are preprogrammed to automatically cover any particular area in the Bahrain Field. The survey data produces highly accurate, best-in-class orthophotos and digital elevation models. © 2019, Society of Petroleum Engineers.</t>
  </si>
  <si>
    <t>Accident prevention; Antennas; Cost effectiveness; Drones; Emergency services; Forestry; Gas industry; Gas plants; Gasoline; Hazards; Imaging techniques; Inspection; Mapping; Monitoring; Outages; Petroleum industry; Piles; Preventive maintenance; Process monitoring; Spectroscopy; Surveys; Digital elevation model; Incident investigation; Industrial environments; Inspection and maintenance; Maintenance and inspections; Perimeter surveillances; Security and surveillances; Spectral imaging technology; Aircraft detection</t>
  </si>
  <si>
    <t>10.2118/195090-ms</t>
  </si>
  <si>
    <t>https://www.scopus.com/inward/record.uri?eid=2-s2.0-85063770316&amp;doi=10.2118%2f195090-ms&amp;partnerID=40&amp;md5=5fc165382ed34c01588bacc6780e110b</t>
  </si>
  <si>
    <t>P634</t>
  </si>
  <si>
    <t>Suciu, G.; Dragu, M.; Hussain, I.; Iliescu, A.-M.; Orza, O.; Mocanu, C.</t>
  </si>
  <si>
    <t>3D Modeling Using Parrot Bebop 2 FPV</t>
  </si>
  <si>
    <t>It is expected that drones will play a major role in connecting the world in future. They will be delivering packages and merchandise, serving as mobile hotspots for broadband wireless access, will deal with surveillance purposes and security of smart cities. Drones, while can be used for the betterment of the community, can also be used by malevolent entities to gather physical and cyber-attacks, and threaten the society. However, we took a different approach using Parrot Bebop 2 by doing 3D modeling of our building. In this paper the main problems and the available solutions are addressed for the generation of 3D models from drone images. Close range photogrammetry has dealt for many years with manual or automatic image measurements for precise 3D modelling. Nowadays drones are also becoming a major source for scanning and snapping, but image-based modelling remains the most complete, portable, flexible and widely used approach. In this article we used 3D modeling as a process of establishing a mathematical representation of a 3-dimensional building by using the software Pix4D or Pix4D cloud. 3D models are now widely used on industrial scale and real estate dealers, architecture, construction, dealing with hazardous situations and product development using 3D models for visualizing, simulating and depiction graphic designs. © 2018 IEEE.</t>
  </si>
  <si>
    <t>3D modeling; 3D reconstruction; Parrot Bebop 2 FPV; Photogrammetry; Pix4D cloud software; UAV; Birds; Drones; Network security; Photogrammetry; Three dimensional computer graphics; Ubiquitous computing; Unmanned aerial vehicles (UAV); 3D reconstruction; Broadband wireless accesss; Close range photogrammetry; Image measurements; Image-based modelling; Industrial scale; Mathematical representations; Parrot Bebop 2 FPV; 3D modeling</t>
  </si>
  <si>
    <t>10.1109/EUC.2018.00016</t>
  </si>
  <si>
    <t>https://www.scopus.com/inward/record.uri?eid=2-s2.0-85061428219&amp;doi=10.1109%2fEUC.2018.00016&amp;partnerID=40&amp;md5=eb41510914fca949fa4003f6e29eb4cd</t>
  </si>
  <si>
    <t>P635</t>
  </si>
  <si>
    <t>Gomez, I.; Rodriguez, J.A.; Gonzalez, P.; El Malek, J.M.; Gonzalez, D.</t>
  </si>
  <si>
    <t>A counter-UAV system based on rf detection and video analytics</t>
  </si>
  <si>
    <t>Drone attacks have been identified as a challenging, complex and real threat to the security of critical infrastructures1 such as nuclear power plants2, airports3, etc., which are strategic for public services. Unfortunately, conventional technologies for aerial defense are not suitable for fighting against drone threats4. In this paper, a survey of current technologies for drones detection and neutralization is presented, and a system based on the fusion of different sensors (radio frequency and video) is proposed. The system is modular, scalable and decentralized, and includes a neutralization module based on hijacking and smart jamming.</t>
  </si>
  <si>
    <t>Airport security; Drones; Nuclear fuels; Nuclear power plants; Unmanned aerial vehicles (UAV); Current technology; Module-based; Public services; Radio frequencies; RF detection; Smart jamming; UAV systems; Video analytics; Aircraft detection</t>
  </si>
  <si>
    <t>https://www.scopus.com/inward/record.uri?eid=2-s2.0-85031752442&amp;partnerID=40&amp;md5=4e85d0c23f1bf0e77e11854396756be2</t>
  </si>
  <si>
    <t>P636</t>
  </si>
  <si>
    <t>International Conference on Intelligent Computing, Communication and Devices, ICCD 2017</t>
  </si>
  <si>
    <r>
      <rPr>
        <sz val="11"/>
        <color rgb="FF000000"/>
        <rFont val="Calibri"/>
        <family val="2"/>
        <scheme val="minor"/>
      </rPr>
      <t xml:space="preserve">The proceedings contain 147 papers. The special focus in this conference is on . The topics include: An indoor personnel positioning method based on spectrum; research on fault diagnosis based on test resource virtualization; solving airport gate assignment problem using an improved genetic algorithm with dynamic topology; sound detection and alarm system of unmanned aerial vehicle; Landscape pattern recognition on water quality protection in an urbanizing delta using remote sensing and GIS techniques; map building for a kind of robot’s structural environment; a study on hair density analysis for androgenic hair pattern of low-resolution leg images; an efficient algorithm based on resource regulatory network to predict potential safety hazards; The software quality prediction model based on DBN; </t>
    </r>
    <r>
      <rPr>
        <sz val="11"/>
        <color rgb="FFFF0000"/>
        <rFont val="Calibri"/>
        <family val="2"/>
        <scheme val="minor"/>
      </rPr>
      <t>Research on DOS attack effect evaluation technology</t>
    </r>
    <r>
      <rPr>
        <sz val="11"/>
        <color rgb="FF000000"/>
        <rFont val="Calibri"/>
        <family val="2"/>
        <scheme val="minor"/>
      </rPr>
      <t>; research and optimization of data sparsity in collaborative filtering algorithms; analyses on requirements of information and communication standard for global energy interconnection; a simplified prediction method of IoT service response time; real-time and distributed anomalies detection architecture and implementation with structured streaming; a distributed complex event processing system based on publish/subscribe; an event-driven multi-process collaborative interaction platform for internet of things; the impact of I-O structure on China’s macroeconomy; coordinated production and distribution scheduling in flowshop with limited waiting times; remove the confusion and speed up the construction of battlefield cyber warfare force; study on online learning intervention based on theory of constraints; LHR: Using LDA helps ranking; a robust image segmentation approach using fuzzy C-means clustering with local coefficient of variation.</t>
    </r>
  </si>
  <si>
    <t>https://www.scopus.com/inward/record.uri?eid=2-s2.0-85053283657&amp;partnerID=40&amp;md5=6b7565fa096368dce21bb36ec27a3e91</t>
  </si>
  <si>
    <t>P637</t>
  </si>
  <si>
    <t>Arteaga, S.P.; Hernandez, L.A.M.; Perez, G.S.; Orozco, A.L.S.; Villalba, L.J.G.</t>
  </si>
  <si>
    <t>Analysis of the GPS spoofing vulnerability in the drone 3DR solo</t>
  </si>
  <si>
    <t>At present, the boom in unmanned aerial vehicles (UAV) has been increasing in recent years, placing them in an important way in the commercial market. The use of UAV in the daily tasks of industry, commerce or as entertainment for children and adults becomes more recurrent. Each of the UAVs has a specific task, depending on the technologies that are provided, in addition to their basic functions with which they were manufactured. However, in most cases the security of these UAVs is not usually taken into account since some of them are inexpensive and do not have a robust security system that protects the data they send or receive for their operation, that can cause its communication system or the operating system that controls its basic functions of flight, landing, among others, to be compromised. These computer attacks could cause physical or moral harm to people around the same operator of the UAV because they could steal information related to the locations they have visited, or intercept images or videos taken by the UAV. This paper shows the exploitation of GPS vulnerability in the commercial drone of the company 3D Robotics, this vulnerability can cause a malicious user to have control of their autonomy, and carry out illicit activities, such as overflying in spaces not allowed as an airport and private areas. The exploitation of this vulnerability is important to make known that the UAVs should have a more robust security system and also give importance to the security of GPS since the only one that has security is the military GPS. © 2013 IEEE.</t>
  </si>
  <si>
    <t>GPS; GPS spoofing; hijack; Maldrone; UAV; vulnerabilities; Antennas; Automobile manufacture; Commercial vehicles; Computer crime; Global positioning system; Security systems; Unmanned aerial vehicles (UAV); Basic functions; Commercial market; Computer attacks; hijack; Maldrone; Robust security; Specific tasks; vulnerabilities; Drones</t>
  </si>
  <si>
    <t>10.1109/ACCESS.2019.2911526</t>
  </si>
  <si>
    <t>https://www.scopus.com/inward/record.uri?eid=2-s2.0-85067097313&amp;doi=10.1109%2fACCESS.2019.2911526&amp;partnerID=40&amp;md5=c81c4f72e3af9d0ae5b7af3b1f07e10a</t>
  </si>
  <si>
    <t>P638</t>
  </si>
  <si>
    <t>Králík, V.; Kuffová, M.</t>
  </si>
  <si>
    <t>Detection, identification and jamming of remote control multicopter</t>
  </si>
  <si>
    <t>Privacy breaking, airport traffic security, breaking or personal health threat caused by multicopter operation have been currently up to date topics. Knowing many cases when the multicopter flies over the residential area, air traffic was temporary limited or closed due to multicopter approaching towards commercial planes. As a consequence, we should eliminate such collision situations in order to protect the significant places. One of the possible active option is the active jamming of remote control communication channel. The article introduces possibilities of preventing the multicopter motion in particular area. For the past few years there has been an increase of such mechanisms. By means of nanotechnology, the sensors designed for stabilization and flight control have been minimalized. Motion sensors (gyroscopes and accelerometers) made by the above mentioned technology are called MEMs (Micro-Electro-Mechanical Systems). By their activity they enable the control and stabilization of flight of multicopters in 3D space. Another important development factor of multicopters is the availability of energy effective electric drives, which along with Li-Pol and Li-ion accumulators are the basis of their drive. Upward pressure, which is essential for motion in 3D space is formed on spinning blade of propellers. Multicopters move in the space in a similar way than helicopters. Great advantage of these systems in comparison to aircraft is that they do not need much space to take off or land. It is possible to start and land with a vertical takeoff and landing. Altitude stabilization of all three axes is automatically done during the flight by autopilot based on MEMs sensors data [1]. Flight control is done by remote control; it is intuitive and easy to use. Autopilot circuit board can be used also for other functions, e.g. flight cruise control based on GPS coordinates stored in its memory. © Kaunas University of Technology 2016.</t>
  </si>
  <si>
    <t>Defence; Jamming; Multicopter; Air navigation; Aircraft accidents; Airport security; Digital storage; Electric drives; Fighter aircraft; Health risks; Jamming; MEMS; Stabilization; Commercial planes; Control communications; Defence; GPS Coordinates; Micro electro mechanical system; Multicopter; Residential areas; Vertical take-off and landings; Remote control</t>
  </si>
  <si>
    <t>https://www.scopus.com/inward/record.uri?eid=2-s2.0-85045383420&amp;partnerID=40&amp;md5=7e5cc2760107def8eaef2e769f9f3cfe</t>
  </si>
  <si>
    <t>P639</t>
  </si>
  <si>
    <t>Sabatini, R.; Moore, T.; Ramasamy, S.</t>
  </si>
  <si>
    <t>Global navigation satellite systems performance analysis and augmentation strategies in aviation</t>
  </si>
  <si>
    <t>In an era of significant air traffic expansion characterized by a rising congestion of the radiofrequency spectrum and a widespread introduction of Unmanned Aircraft Systems (UAS), Global Navigation Satellite Systems (GNSS) are being exposed to a variety of threats including signal interferences, adverse propagation effects and challenging platform-satellite relative dynamics. Thus, there is a need to characterize GNSS signal degradations and assess the effects of interfering sources on the performance of avionics GNSS receivers and augmentation systems used for an increasing number of mission-essential and safety-critical aviation tasks (e.g., experimental flight testing, flight inspection/certification of ground-based radio navigation aids, wide area navigation and precision approach). GNSS signal deteriorations typically occur due to antenna obscuration caused by natural and man-made obstructions present in the environment (e.g., elevated terrain and tall buildings when flying at low altitude) or by the aircraft itself during manoeuvring (e.g., aircraft wings and empennage masking the on-board GNSS antenna), ionospheric scintillation, Doppler shift, multipath, jamming and spurious satellite transmissions. Anyone of these phenomena can result in partial to total loss of tracking and possible tracking errors, depending on the severity of the effect and the receiver characteristics. After designing GNSS performance threats, the various augmentation strategies adopted in the Communication, Navigation, Surveillance/Air Traffic Management and Avionics (CNS + A) context are addressed in detail. GNSS augmentation can take many forms but all strategies share the same fundamental principle of providing supplementary information whose objective is improving the performance and/or trustworthiness of the system. Hence it is of paramount importance to consider the synergies offered by different augmentation strategies including Space Based Augmentation System (SBAS), Ground Based Augmentation System (GBAS), Aircraft Based Augmentation System (ABAS) and Receiver Autonomous Integrity Monitoring (RAIM). Furthermore, by employing multi-GNSS constellations and multi-sensor data fusion techniques, improvements in availability and continuity can be obtained. SBAS is designed to improve GNSS system integrity and accuracy for aircraft navigation and landing, while an alternative approach to GNSS augmentation is to transmit integrity and differential correction messages from ground-based augmentation systems (GBAS). In addition to existing space and ground based augmentation systems, GNSS augmentation may take the form of additional information being provided by other on-board avionics systems, such as in ABAS. As these on-board systems normally operate via separate principles than GNSS, they are not subject to the same sources of error or interference. Using suitable data link and data processing technologies on the ground, a certified ABAS capability could be a core element of a future GNSS Space-Ground-Aircraft Augmentation Network (SGAAN). Although current augmentation systems can provide significant improvement of GNSS navigation performance, a properly designed and flight-certified SGAAN could play a key role in trusted autonomous system and cyber-physical system applications such as UAS Sense-and-Avoid (SAA). © 2017 Elsevier Ltd</t>
  </si>
  <si>
    <t>Aerospace electronic systems; Air navigation; Aircraft based augmentation system; Aviation security; Avionics; Cyber-physical systems; Differential GNSS; Global navigation satellite system; GNSS augmentation; GNSS performance; Ground based augmentation system; High-integrity systems; Integrity monitoring; Receiver autonomous integrity monitoring; Safety-critical aviation applications; Satellite based augmentation system; Air navigation; Aircraft; Airport ground equipment; Antennas; Avionics; Communication satellites; Cyber Physical System; Data fusion; Data handling; Embedded systems; Empennages; Fiber optic sensors; Fighter aircraft; Flight dynamics; Ground operations; Navigation; Navigation systems; Network security; Radio navigation; Safety engineering; Safety testing; Satellite antennas; Satellites; Sensor data fusion; Signal receivers; Tall buildings; Underwater acoustics; Unmanned aerial vehicles (UAV); Wings; Aerospace electronics; Augmentation systems; Aviation application; Aviation Security; Differential GNSS; Global Navigation Satellite Systems; GNSS augmentation; GNSS performance; Ground-based augmentation systems; High-integrity systems; Integrity monitoring; Receiver autonomous integrity monitoring; Satellite based augmentation systems; Global positioning system</t>
  </si>
  <si>
    <t>10.1016/j.paerosci.2017.10.002</t>
  </si>
  <si>
    <t>https://www.scopus.com/inward/record.uri?eid=2-s2.0-85034603742&amp;doi=10.1016%2fj.paerosci.2017.10.002&amp;partnerID=40&amp;md5=c2bf41a1a2710fd1ba89ebba5a50424f</t>
  </si>
  <si>
    <t>P64</t>
  </si>
  <si>
    <t>Titouna, C.; Nait-Abdesselam, F.</t>
  </si>
  <si>
    <t>A Convolutional Neural Network-based Approach For Image Analysis and Injection Detection</t>
  </si>
  <si>
    <t>Due to their usefulness in smart cities and other civilian uses, drones are becoming increasingly popular. With the ability to be organized into networks, they can be used to gather various kinds of data, including images and videos with multimedia characteristics, and then forward it to processing centers for additional handling. They also become a fresh target for a variety of attacks, such as GPS spoofing, denial of service, and false data injection. It is therefore vital and required to create new systems and protection mechanisms against these threats. In this research, we highlight the risk associated with the so-called False Data Injection (FDI) and present a deep learning-based approach for detecting it. An injection of misleading data into the data (images) gathered by the drones is regarded as a serious and potent attack that has the potential to significantly change a final judgment made by the processing center. Our strategy uses deep learning for image analysis and classification in order to thwart this attack. Using Nearest Neighbor Interpolation (NNI) to scale the incoming image to match the classifier, we next feed the image to a Convolutional Neural Network (CNN) for image classification. Finally, we use the Mahalanobis Distance to compare each class of classification results to a neighborhood. Our solution performs well, irrespective of image size, as evidenced by numerical findings on the current dataset, which show an accuracy of 97.71%, a precision of 96.69%, a recall of 94.33%, and an F-score of 0.941%. © 2024 IEEE.</t>
  </si>
  <si>
    <t>Convolutional Neural Network; False Data Injection; Unmanned Aerial Vehicles; Convolutional neural networks; Deep learning; Image analysis; Aerial vehicle; Convolutional neural network; Denial of Service; False data injection; Image analyze; Image-analysis; Images classification; Network-based approach; Processing center; Unmanned aerial vehicle; Drones</t>
  </si>
  <si>
    <t>10.1109/AVSS61716.2024.10672581</t>
  </si>
  <si>
    <t>https://www.scopus.com/inward/record.uri?eid=2-s2.0-85208434464&amp;doi=10.1109%2fAVSS61716.2024.10672581&amp;partnerID=40&amp;md5=4a10c214b38a0b5bf855dbecde74953a</t>
  </si>
  <si>
    <t>P640</t>
  </si>
  <si>
    <t>Semal, B.; Markantonakis, K.; Akram, R.N.</t>
  </si>
  <si>
    <t>A certificateless group authenticated key agreement protocol for secure communication in untrusted UAV networks</t>
  </si>
  <si>
    <t>Smart cities are increasingly relying on information and communication technologies to cope with today's challenges, including increasing population, heterogeneous economic growth, and environmental legislation hardening. The use of Unmanned Aerial Vehicles (UAVs) generates a growing interest in coping with such challenges, along with new business opportunities. As a result, it is expected to see the number of drone-based applications to rise at a very fast pace, entailing new cybersecurity risks to emerge. In this paper, we propose to tackle the problem of secure communication among untrusting parties with a certificateless-group authenticated key agreement (CL-GAKA) scheme. The intent is to enable confidentiality, message integrity, and authenticity in UAV-to-UAV communication. Provisioning untrusted UAV networks with trusted communication will provide ground for further research and applications, such as collaborative cybersecurity deterrence, network extension using trusted relay nodes, collaborative mission exercise in time-critical applications, or anonymous communication for user privacy. Moreover, in order to fill the gap of technology awareness, we provide an implementation and demonstrate that the generation of a session key between two users can be performed in approximately 600ms on a Raspberry Pi 3 Model B+ system-on-chip (1.4GHz Cortex-A53). Finally, the protocol is formally evaluated with the Scyther tool. © 2018 IEEE.</t>
  </si>
  <si>
    <t>Antennas; Digital avionics; Distributed computer systems; Economics; Environmental technology; Laws and legislation; Population statistics; Public key cryptography; Secure communication; System-on-chip; Unmanned aerial vehicles (UAV); Anonymous communication; Authenticated key agreement; Authenticated key agreement protocols; Environmental legislations; Information and Communication Technologies; Research and application; Time-critical applications; Trusted communications; Network security</t>
  </si>
  <si>
    <t>10.1109/DASC.2018.8569730</t>
  </si>
  <si>
    <t>https://www.scopus.com/inward/record.uri?eid=2-s2.0-85060642421&amp;doi=10.1109%2fDASC.2018.8569730&amp;partnerID=40&amp;md5=838d48675affcf5f50c28e0e720f5134</t>
  </si>
  <si>
    <t>P641</t>
  </si>
  <si>
    <t>Gomes, R.; Straub, J.; Jones, A.; Morgan, J.; Tipparach, S.; Sletten, A.; Kim, K.W.; Loegering, D.; Feikema, N.; Dayananda, K.; Miryala, G.; Gass, A.; Setterstrom, K.; Mischel, J.; Shipman, D.; Nazzaro, C.</t>
  </si>
  <si>
    <t>An interconnected network of UAS as a system-of-systems</t>
  </si>
  <si>
    <t>Technological advancements and miniaturization have made it possible for Unmanned Aerial Systems (UAS) to perform a diverse range of tasks. UAS are being used in various applications ranging from remote sensing[1] to disaster response[2] to package delivery[3]. As drones rapidly fill the airspace, there are several threats that the system can encounter. These threats include mid-air collisions, loss of remote command connection, security breach of the drone's software system and critical damage to the hardware. To ensure the integrity of the drone in flight, an interconnected UAS architecture, having a fully functional system capable of responding to these situations, is required. This paper presents a system meeting these requirements. An interconnected UAS system of systems is proposed that includes systems for onboard GPS, obstacle avoidance central control and safety response. It focuses on the coordination level that the UAS systems will need to have amongst themselves. It proposes a control system to ensure effective monitoring of UAS. The UAS system architecture is comprised of eleven systems that are essential for a safe flight. In addition, the control system includes five different systems that are involved in the decision-making process. The importance and operation of these systems are discussed in detail. The proposed UAS software architecture is capable of performing autonomous self-control. It has decision making modules that can receive data from various sensors and integrate it to provide efficient route planning and data management. The software systems monitor the area surrounding the UAV to facilitate routing and decision making. The software architecture includes self-awareness to respond to situations such as adverse climatic conditions that impact the flight capabilities of the UAS. The proposed UAS system also includes hardware to monitor and update the list of obstacles in its path. This requires the UAS to be equipped with sensors for obstacle determination and a software system that accepts the inputs from these sensors, makes decisions and performs actions, promptly. An emergency response system is included to ensure that the drone will land safely in an appropriate location, if its systems are compromised. This response system is capable of deciding the severity of the situation and sends commands to the flight control system regarding the recovery steps that should be taken. The proposed system architecture incorporates cybersecurity in its design framework so that it is equipped to handle potential hackers that might try to gain access to onboard navigation controls and reroute the UAS for personal gain or another agenda. If the system senses a threat, it launches the emergency response system. The proposed UAS software architecture includes a maintenance and diagnostics system that coordinates and monitors drone activities. It performs functions ranging from monitoring the health of the hardware systems to uploading error reports to the central server. The system transmits error reports to the control unit which further processes the data to determine the source of the error and resolve the issue. In UAS systems, a computerized framework takes input from at least one sensor, and uses a pre-characterized set of guidelines to make decisions [4]. This paper aims to achieve an interconnected UAS system of systems that can address several issues and solutions related to flight autonomously. © 2017 IEEE.</t>
  </si>
  <si>
    <t>autonomous navigation; obstacle avoidance; path planning; remote sensing; UAS; Aircraft accidents; Avionics; Behavioral research; Collision avoidance; Computer architecture; Computer control; Computer hardware; Computer software; Control systems; Decision making; Digital avionics; Drones; Emergency services; Errors; Flight control systems; Hardware; Monitoring; Motion planning; Network architecture; Personal computing; Process control; Remote sensing; Software architecture; System of systems; Systems engineering; Unmanned aerial vehicles (UAV); Autonomous navigation; Climatic conditions; Decision making process; Emergency response systems; Interconnected network; System architectures; Technological advancement; Unmanned aerial systems; Information management</t>
  </si>
  <si>
    <t>10.1109/DASC.2017.8102148</t>
  </si>
  <si>
    <t>https://www.scopus.com/inward/record.uri?eid=2-s2.0-85041010086&amp;doi=10.1109%2fDASC.2017.8102148&amp;partnerID=40&amp;md5=733ede39e3f95e1243e64a28647ba2ee</t>
  </si>
  <si>
    <t>P642</t>
  </si>
  <si>
    <t>Güvenç, I.; Ozdemir, O.; Yapici, Y.; Mehrpouyan, H.; Matolak, D.</t>
  </si>
  <si>
    <t>Detection, localization, and tracking of unauthorized UAS and Jammers</t>
  </si>
  <si>
    <t>Small unmanned aircraft systems (UASs) are expected to take major roles in future smart cities, for example, by delivering goods and merchandise, potentially serving as mobile hot spots for broadband wireless access, and maintaining surveillance and security. Although they can be used for the betterment of the society, they can also be used by malicious entities to conduct physical and cyber attacks to infrastructure, private/public property, and people. Even for legitimate use-cases of small UASs, air traffic management (ATM) for UASs becomes of critical importance for maintaining safe and collusion-free operation. Therefore, various ways to detect, track, and interdict potentially unauthorized drones carries critical importance for surveillance and ATM applications. In this paper, we will review techniques that rely on ambient radio frequency signals (emitted from UASs), radars, acoustic sensors, and computer vision techniques for detection of malicious UASs. We will present some early experimental and simulation results on radar-based range estimation of UASs, and receding horizon tracking of UASs. Subsequently, we will overview common techniques that are considered for interdiction of UASs. © 2017 IEEE.</t>
  </si>
  <si>
    <t>Drones detection; interdiction; Internet of Things (IoT); mmWave radar; surveillance; tracking; UAS; UAV; Advanced traffic management systems; Air traffic control; Avionics; Digital avionics; Drones; Fighter aircraft; Internet of things; Internet protocols; Jamming; Monitoring; Network security; Radar; Space surveillance; Surface discharges; Tracking radar; Unmanned aerial vehicles (UAV); Air Traffic Management; Broadband wireless accesss; Computer vision techniques; interdiction; Internet of Things (IOT); mm-Wave; Radiofrequency signals; Small unmanned aircrafts; Aircraft detection</t>
  </si>
  <si>
    <t>10.1109/DASC.2017.8102043</t>
  </si>
  <si>
    <t>https://www.scopus.com/inward/record.uri?eid=2-s2.0-85040991825&amp;doi=10.1109%2fDASC.2017.8102043&amp;partnerID=40&amp;md5=076f6122408c3fb7353bc6c2b3584aea</t>
  </si>
  <si>
    <t>P643</t>
  </si>
  <si>
    <t>Tandon, J.; Akhavian, R.; Gumina, M.; Pakpour, N.</t>
  </si>
  <si>
    <t>CSU East Bay Hack Day: A University hackathon to combat malaria and zika with drones</t>
  </si>
  <si>
    <t>This paper introduces the CSU East Bay Hack Day event - a hackathon with a theme of drones and disease. This was a 1-day event that introduced California State University (CSU) East Bay students of all skill levels to the problem of combatting mosquito borne illness with land-based and flying drones. Questionnaires were conducted prior to the event, and after it ended, in order to gauge its effectiveness as a teaching tool. This study found that students had an overall increase in interest in science and engineering after participating in the event. It also found that students felt their knowledge increased significantly by participating in East Bay Hack Day. Finally, of all the students surveyed, all but one student stated that they would participate again in a hackathon if given the chance. © 2017 IEEE.</t>
  </si>
  <si>
    <t>Active learning; Biotechnolgy; Drone; Hack-a-thon; Hackathon; Malaria; Mosquito; Quadcopter; Zika; Diseases; Drones; Education; Engineering education; Surveys; Unmanned aerial vehicles (UAV); Active Learning; Biotechnolgy; Hack-a-thon; Malaria; Mosquito; Quadcopter; Zika; Students</t>
  </si>
  <si>
    <t>10.1109/EDUCON.2017.7942968</t>
  </si>
  <si>
    <t>https://www.scopus.com/inward/record.uri?eid=2-s2.0-85023598769&amp;doi=10.1109%2fEDUCON.2017.7942968&amp;partnerID=40&amp;md5=5f1c45fa197928cc5057e6e0b6793d97</t>
  </si>
  <si>
    <t>P644</t>
  </si>
  <si>
    <t>Davanian, A.; Massacci, F.; Allodi, L.</t>
  </si>
  <si>
    <t>Diversity: A poor man's solution to drone takeover</t>
  </si>
  <si>
    <t>Drones are the new targets for hackers. On one hand, their widespread use and security weakness have made them very attractive for the attackers. On the other hand, there are a few security solutions for drones. Out of these few, some are just proposals, and fewer are in the early stage of development. We first assess the requirements of a security solution for drones and then analyse the effect of traditional cryptographic solutions on the drone's traffic volume and energy consumption. With recourse to Moving Target Defence, we propose a novel instruction diversity solution for drone security that is portable, and has zero overhead. © 2017 by SCITEPRESS - Science and Technology Publications, Lda. All rights reserved.</t>
  </si>
  <si>
    <t>Drone takeover; Micro air vehicle communication protocol (MAVLink) security; Moving target defense (MTD); Software diversity; Unmanned aerial vehicle (UAV) security; Drones; Embedded systems; Energy utilization; Micro air vehicle (MAV); Network security; Personal computing; Moving target defense; Moving targets; Security solutions; Security weakness; Software diversity; Traffic volumes; Target drones</t>
  </si>
  <si>
    <t>10.5220/0006408500250034</t>
  </si>
  <si>
    <t>https://www.scopus.com/inward/record.uri?eid=2-s2.0-85029397371&amp;doi=10.5220%2f0006408500250034&amp;partnerID=40&amp;md5=e282ec1d15308a7580d146a98c0c6d2c</t>
  </si>
  <si>
    <t>P645</t>
  </si>
  <si>
    <t>Cho, H.S.; Woo, T.H.</t>
  </si>
  <si>
    <t>Mechanical analysis of flying robot for nuclear safety and security control by radiological monitoring</t>
  </si>
  <si>
    <t>The flying robot is investigated for the nuclear accident and security treatment. Several mechanics are introduced for the movement of the drone. The optimized motion of the drone should cover all areas of Nuclear Power Plants (NPPs) over the site where the circular and surmounting motions are needed with traverse of zigzag shapes. There is the Yaw motion in the circular moving and the Pitch motion in the climbing and downing against reactor facility. The fallout is calculated from the radiation concentration in the breaking part of the NPPs where the radioactive material leaks from the containment, coolant loop, plant facility and so on. The dose equivalents are obtained where the values are changeable following the random values of the y value, average wind speed, and dispersed concentration in the detection position. The simulation of new positions of x, y, and z are normalized from 0.0 to 1.0. The mechanics of flying robot produces the multidisciplinary converged technology incorporated with the aerial radiation monitoring information. © 2016 Elsevier Ltd. All rights reserved.</t>
  </si>
  <si>
    <t>Drone; Nuclear Power Plants (NPPs); Robot; Safety; Security; Accident prevention; Drones; Nuclear energy; Nuclear power plants; Nuclear reactors; Radioactive materials; Robots; Unmanned aerial vehicles (UAV); Wind; Dose equivalent; Mechanical analysis; Nuclear accidents; Radiation concentration; Radiation monitoring; Radiological monitoring; Reactor facilities; Security; Nuclear reactor accidents</t>
  </si>
  <si>
    <t>10.1016/j.anucene.2016.03.004</t>
  </si>
  <si>
    <t>https://www.scopus.com/inward/record.uri?eid=2-s2.0-84960940757&amp;doi=10.1016%2fj.anucene.2016.03.004&amp;partnerID=40&amp;md5=7255e4c091098d188c2d055bd4f98c6e</t>
  </si>
  <si>
    <t>P646</t>
  </si>
  <si>
    <t>Díaz-González, M.; Baldi, A.; Fernández-Sánchez, C.</t>
  </si>
  <si>
    <t>Compact sampling device based on wax microfluidics</t>
  </si>
  <si>
    <t>There is an increasing demand for sampling devices that can provide spatial and temporal information on water quality. Microfluidic systems, applied in combination with the rapid developments in unmanned vehicles (i.e. drones) show the potential to address this challenge. This work reports on the design, fabrication and performance of a low-cost, self-contained sampling device based on a wax microfluidics technology. The sampler with a total size of 18.25 × 18.25 mm2 integrates 14 electrically controlled wax microvalves that connect the collection outlets to the central chamber. These new wax microvalves are capable of multiple actuation and have small-footprint (0.2 mm2), fast-response (≤ 0.15 s), and very low energy consumption (&lt; 25 mJ). The sampler device is simple to operate, leak-proof to at least 100 kPa and can be easily fabricated in a single wax stamp transfer using soft-lithography. Water samples containing known concentrations of heavy metals were collected using the wax-valve sampler and further analysed by ICP-MS demonstrating the perfect isolation of the collected samples. Thanks to its small size and low power requirements, the sampler devices described here could be very useful for water sampling from small unmanned vehicles like underwater drones. © 2017 Elsevier B.V.</t>
  </si>
  <si>
    <t>Microvalve; Sampling device; Wax microfluidics; Automobile manufacture; Energy utilization; Heavy metals; Unmanned aerial vehicles (UAV); Valves (mechanical); Water quality; Low energy consumption; Micro fluidic system; Micro valves; Microfluidics technology; Sampling devices; Small footprints; Soft lithography; Temporal information; Microfluidics</t>
  </si>
  <si>
    <t>10.1016/j.snb.2017.05.031</t>
  </si>
  <si>
    <t>https://www.scopus.com/inward/record.uri?eid=2-s2.0-85019207661&amp;doi=10.1016%2fj.snb.2017.05.031&amp;partnerID=40&amp;md5=e0222c9f492c01202d30280e44a2b3e5</t>
  </si>
  <si>
    <t>P647</t>
  </si>
  <si>
    <t>Kuzmin, A.; Znak, E.</t>
  </si>
  <si>
    <t>Blockchain-base structures for a secure and operate network of semi-autonomous Unmanned Aerial Vehicles</t>
  </si>
  <si>
    <t>Unmanned Aerial Vehicles - UAVs, or drones - are now being operated by several military forces and currently, to a more limited extent, by civilian organizations. These latter operations, however, may eventually expand to exceed, in number and diversity, those of the military. Further expected development in battery capacity, construction materials and software, especially regarding machine learning algorithms and drone integration, will definitely increase UAVs' autonomous. Unique risks associated with UAVs like risk of hackers' attacks to intercept the control are also increasing. More incidents likely will occur once regulations are finalized that encourage more use that is widespread. Such incidents could result in multi-million dollar claims against businesses, operators and manufacturers.Blockchain is the basis technology for cryptocurrencies. However, Blockchain can have far larger applications in the field of UAVs, because Blockchain is highly distributed and publically viewable system of sequentially linked cryptographically.This paper presents a concept of application, where each UAV in the UAVNet is a Blockchain node, has on-board functionality for creating and reading transactions from the block, as well as communication tools for exchanging transactions with other UAVs. © 2018 IEEE.</t>
  </si>
  <si>
    <t>blockchain; consensus mechanisms; cyber security; drones; integrity; UAVNet; unmanned aerial vehicles; Antennas; Automobile manufacture; Drones; Learning algorithms; Learning systems; Military vehicles; Personal computing; Remotely operated vehicles; Unmanned aerial vehicles (UAV); Autonomous unmanned aerial vehicles; Base structure; Battery capacity; Communication tools; Cyber security; integrity; Military force; UAVNet; Blockchain</t>
  </si>
  <si>
    <t>10.1109/SOLI.2018.8476785</t>
  </si>
  <si>
    <t>https://www.scopus.com/inward/record.uri?eid=2-s2.0-85055671193&amp;doi=10.1109%2fSOLI.2018.8476785&amp;partnerID=40&amp;md5=042e71937ba4fa9a7c12600d13ae8a97</t>
  </si>
  <si>
    <t>P648</t>
  </si>
  <si>
    <t>Proceedings of SPIE - The International Society for Optical Engineering</t>
  </si>
  <si>
    <r>
      <rPr>
        <sz val="11"/>
        <color rgb="FF000000"/>
        <rFont val="Calibri"/>
        <family val="2"/>
        <scheme val="minor"/>
      </rPr>
      <t xml:space="preserve">The proceedings contain 15 papers. The topics discussed include: time critical systems and open architecture; layered approach to open architecture development; experiences in open architecture research and experimentation; an introduction to model based engineering; named data networking protocols for tactical command and control; multi-agent relative pose estimation: approaches and applications; </t>
    </r>
    <r>
      <rPr>
        <sz val="11"/>
        <color rgb="FFFF0000"/>
        <rFont val="Calibri"/>
        <family val="2"/>
        <scheme val="minor"/>
      </rPr>
      <t>cyber resilience and integrity self-awareness of mobile autonomous systems</t>
    </r>
    <r>
      <rPr>
        <sz val="11"/>
        <color rgb="FF000000"/>
        <rFont val="Calibri"/>
        <family val="2"/>
        <scheme val="minor"/>
      </rPr>
      <t>; high-level data fusion component for drone classification and decision support in counter UAV; 28 Gbaud PAM4 real time optical Datacom link up to 10 km; mobile node networks model for the generation of knowledge; decentralized control methods for self-organizing collaborative robotic teams; swarm of autonomous unmanned aerial vehicles with 3D deconfliction; secure communication using ergodic chaotic parameter modulation; and experiences in open architecture research and experimentation.</t>
    </r>
  </si>
  <si>
    <t>https://www.scopus.com/inward/record.uri?eid=2-s2.0-85049195331&amp;partnerID=40&amp;md5=3ac4c12fe20f7ccb118973cf29effbc8</t>
  </si>
  <si>
    <t>P649</t>
  </si>
  <si>
    <t>Meng, L.; Hirayama, T.; Oyanagi, S.</t>
  </si>
  <si>
    <t>Underwater-Drone with Panoramic Camera for Automatic Fish Recognition Based on Deep Learning</t>
  </si>
  <si>
    <t>Highly developed drone technology enables the use of drones in a wide variety of areas. However, those drones are mainly used in the unmanned aerial vehicles. We believe that underwater drones will become a big research topic and find a market in the near future. We developed an underwater drone with a 360° panoramic camera acting as the 'eye' of the drone. The designs are based on the open-source hardware and will be shared as an open-source for contributing to the innovation of manufacturing including drone. The function of the 360° panoramic camera is generated by correcting the images taken by two fisheye lenses. The underwater drone was designed by extending the Raspberry Pi compute module, the frame was designed by OpenSCAD, and the printed circuit board was designed by MakePro. As for the application of the underwater drone, we focused on fish recognition for investigating fish species in a natural lake to help protect the original environment. Fish recognition is based on deep learning, which is the biggest topic in the artificial intelligence research field today. Experimental results show that the function of the underwater drone achieved at diving in the leak automatically. The 360° panoramic images were generated correctly. Fish recognition achieved 87% accuracy by deep learning. © 2013 IEEE.</t>
  </si>
  <si>
    <t>360-degree panoramic image; deep learning; fish recognition; open source hardware; underwater-drone; Antennas; Artificial intelligence; Cameras; Computer hardware; Drones; Fish; Hardware; Learning systems; Open source software; Open systems; Printed circuit boards; Unmanned aerial vehicles (UAV); Unmanned underwater vehicles; Fish recognition; Fish-eye lens; Image generations; Open-source hardwares; Panoramic cameras; Panoramic images; Research fields; Research topics; Deep learning</t>
  </si>
  <si>
    <t>10.1109/ACCESS.2018.2820326</t>
  </si>
  <si>
    <t>https://www.scopus.com/inward/record.uri?eid=2-s2.0-85044722896&amp;doi=10.1109%2fACCESS.2018.2820326&amp;partnerID=40&amp;md5=6cb27009050aee95dcf2f55ff216ab92</t>
  </si>
  <si>
    <t>P65</t>
  </si>
  <si>
    <t>Zhou, R.; Almustafa, M.K.; Nehdi, M.L.; Su, H.</t>
  </si>
  <si>
    <t>Automated localization of dike leakage outlets using UAV-borne thermography and YOLO-based object detectors</t>
  </si>
  <si>
    <t>Leakage-induced soil erosion poses a major threat to dike failure, particularly during floods. Timely detection and notification of leakage outlets to dike management are crucial for ensuring dike safety. However, manual inspection, the current main approach for identifying leakage outlets, is costly, inefficient, and lacks spatial coverage. To achieve efficient and automatic localization of dike leakage outlets, an innovative strategy combining drones, infrared thermography, and deep learning is presented. Drones are employed for dikes’ surface sensing. Real-time images from these drones are sent to a server where well-trained detectors are deployed. Once a leakage outlet is detected, alarming information is remotely sent to dike managers. To realize this strategy, 4 thermal imagers were employed to image leaking outlets of several models and actual dikes. 9,231 hand-labeled thermal images with 13,387 leaking objects were selected for analysis. 19 detectors were trained using transfer learning. The best detector achieved a mean average precision of 95.8 % on the challenging test set. A full-scale embankment was constructed for leakage outlet detection tests. Various field tests confirmed the efficiency of the proposed leakage outlet localization method. In some tough conditions, the trained detector also evidently outperformed manual judgement. Results indicate that under typical circumstances, the localization error of the proposed method is within 5 m, demonstrating its practical reliability. Finally, the influencing factors and limits of the suggested strategy are thoroughly examined. © 2024 International Society for Photogrammetry and Remote Sensing, Inc. (ISPRS)</t>
  </si>
  <si>
    <t>Convolutional neural network; Dike; Drone; Infrared thermography; Leakage; Object detection; River embankment; Calabarzon; Philippines; Quezon; Real; Aircraft detection; Convolutional neural networks; Image analysis; Information leakage; Leak detection; Convolutional neural network; Dikes safeties; Leakage; Localisation; Management IS; Manual inspection; Object detectors; Objects detection; River embankments; Soil erosion; artificial neural network; detection method; dike; embankment; infrared imagery; leakage; model test; remote sensing; remotely operated vehicle; soil erosion; Thermography (imaging)</t>
  </si>
  <si>
    <t>10.1016/j.isprsjprs.2024.09.039</t>
  </si>
  <si>
    <t>https://www.scopus.com/inward/record.uri?eid=2-s2.0-85205360346&amp;doi=10.1016%2fj.isprsjprs.2024.09.039&amp;partnerID=40&amp;md5=07bb1ade0485406e7a29984de77e43b6</t>
  </si>
  <si>
    <t>P650</t>
  </si>
  <si>
    <t>Vasconcelos, G.; Miani, R.S.; Guizilini, V.C.; Souza, J.R.</t>
  </si>
  <si>
    <t>Evaluation of DoS attacks on commercial Wi-Fi-based UAVs</t>
  </si>
  <si>
    <t>One of the biggest challenges for the use of Unmanned Aerial Vehicles (UAVs) in large-scale real-world applications is security. However, most of research projects related to robotics does not discuss security issues, moving on directly to studying classical problems (i.e., perception, control, planning). This paper evaluates the effects of availability issues (Denial of Service attacks) in two commonly used commercially available UAVs (AR.Drone 2.0 and 3DR SOLO). Denial of Service (DoS) attacks are made while the vehicles are navigating, simulating common conditions found both by the general public and in a research scenario. Experiments show how effective such attacks are and demonstrate actual security breaches that create specific vulnerabilities. The results indicate that both studied UAVs are susceptible to several types of DoS attacks which can critically influence the performance of UAVs during navigation, including a decrease in camera functionality, drops in telemetry feedback and lack of response to remote control commands. We also present a tool that can be used as a failsafe mechanism to alert the user when a drone is reaching out a determined flight limit range, avoiding availability issues. © 2019 Kohat University of Science and Technology.</t>
  </si>
  <si>
    <t>Denial of service attacks; Network security; UAVs; Wi-Fi</t>
  </si>
  <si>
    <t>https://www.scopus.com/inward/record.uri?eid=2-s2.0-85065517823&amp;partnerID=40&amp;md5=5e99f9386b751a3e5e10cc7db0191a5c</t>
  </si>
  <si>
    <t>P651</t>
  </si>
  <si>
    <t>Hartmann, K.; Giles, K.</t>
  </si>
  <si>
    <t>UAV exploitation: A new domain for cyber power</t>
  </si>
  <si>
    <t>The risks of military unmanned aerial vehicles (UAVs) being subjected to electronic attack are well recognised, especially following high-profile incidents such as the interception of unencrypted video feeds from UAVs in Iraq and Israel, or the diversion and downing of a UAV in Iran. Protection of military UAV assets rightly focuses on defence against sophisticated cyber penetration or electronic attack, including data link intercepts and navigational spoofing. Offensive activity to counter adversary drone operations presumes a requirement for high-end electronic attack systems. However, combat operations in eastern Ukraine in 2014-16 have introduced an entirely new dimension to UAV and counter-UAV operations. In addition to drones with military-grade standards of electronic defence and encryption, a large number of civilian or amateur UAVs are in operation in the conflict. This presents both opportunities and challenges to future operations combating hybrid threats. Actual operations in eastern Ukraine, in combination with studies of potential criminal or terrorist use of UAV technologies, provide indicators for a range of aspects of UAV use in future conflict. However, apart from the direct link to military usage, UAVs are rapidly approaching ubiquity with a wide range of applications reaching from entertainment purposes to border patrol, surveillance, and research, which imposes an indirect security and safety threat. Issues associated with the unguarded use of drones by the general public range from potentially highly dangerous situations such as failing to avoid controlled airspace, to privacy violations. Specific questions include attribution of UAV activities to the individuals actually directing the drone; technical countermeasures against hacking, interception or electronic attack; and options for controlling and directing adversary UAVs. Lack of attribution and security measures protecting civilian UAVs against electronic attack, hacking or hijacking, with the consequent likelihood of unauthorised use or interception, greatly increases the complication of each of these concerns. © 2016 NATO CCD COE.</t>
  </si>
  <si>
    <t>communications; drone; military; UAV; Communication; Drones; Fighter aircraft; Military applications; Military communications; Military vehicles; Personal computing; Terrorism; Actual operation; Combat operations; Dangerous situations; Electronic attack; military; Privacy violation; Security measure; Technical countermeasures; Unmanned aerial vehicles (UAV)</t>
  </si>
  <si>
    <t>10.1109/CYCON.2016.7529436</t>
  </si>
  <si>
    <t>https://www.scopus.com/inward/record.uri?eid=2-s2.0-84991585603&amp;doi=10.1109%2fCYCON.2016.7529436&amp;partnerID=40&amp;md5=af46f2a916c5bb526fbdcdf64ab85881</t>
  </si>
  <si>
    <t>P652</t>
  </si>
  <si>
    <t>Jansen, K.; Schafer, M.; Moser, D.; Lenders, V.; Popper, C.; Schmitt, J.</t>
  </si>
  <si>
    <t>Crowd-GPS-Sec: Leveraging Crowdsourcing to Detect and Localize GPS Spoofing Attacks</t>
  </si>
  <si>
    <t>The aviation industry's increasing reliance on GPS to facilitate navigation and air traffic monitoring opens new attack vectors with the purpose of hijacking UAVs or interfering with air safety. We propose Crowd-GPS-Sec to detect and localize GPS spoofing attacks on moving airborne targets such as UAVs or commercial airliners. Unlike previous attempts to secure GPS, Crowd-GPS-Sec neither requires any updates of the GPS infrastructure nor of the airborne GPS receivers, which are both unlikely to happen in the near future. In contrast, Crowd-GPS-Sec leverages crowdsourcing to monitor the air traffic from GPS-derived position advertisements that aircraft periodically broadcast for air traffic control purposes. Spoofing attacks are detected and localized by an independent infrastructure on the ground which continuously analyzes the contents and the times of arrival of these advertisements. We evaluate our system with real-world data from a crowdsourced air traffic monitoring sensor network and by simulations. We show that Crowd-GPS-Sec is able to globally detect GPS spoofing attacks in less than two seconds and to localize the attacker up to an accuracy of 150 meters after 15 minutes of monitoring time. © 2018 IEEE.</t>
  </si>
  <si>
    <t>ADS B; GPS; Localization Security; Spoofer Localization; Spoofing Detection; Accident prevention; Air navigation; Aircraft; Civil aviation; Crowdsourcing; Global positioning system; Sensor networks; Airborne target; Aviation industry; Commercial airliner; Localization Security; Spoofer Localization; Spoofing attacks; Spoofing detections; Times of arrivals; Air traffic control</t>
  </si>
  <si>
    <t>10.1109/SP.2018.00012</t>
  </si>
  <si>
    <t>https://www.scopus.com/inward/record.uri?eid=2-s2.0-85051050086&amp;doi=10.1109%2fSP.2018.00012&amp;partnerID=40&amp;md5=1193b008a03ab5a6540b94b3a278c120</t>
  </si>
  <si>
    <t>P653</t>
  </si>
  <si>
    <t>Zema, N.R.; Natalizio, E.; Ruggeri, G.; Poss, M.; Molinaro, A.</t>
  </si>
  <si>
    <t>MeDrone: On the use of a medical drone to heal a sensor network infected by a malicious epidemic</t>
  </si>
  <si>
    <t>The complexity increase in the software and hardware necessary to support more and more advanced applications for Wireless Sensor Networks conspicuously contribute to render them susceptible to security attacks. The nodes of most complex WSN applications sport desktop-level operating systems and this reliance on software make them ideal prey for traditional threats, like viruses and general malware. To address these problems, in this paper we devise a system for a dedicated mobile node to locate, track, access and cure the infected elements of a WSN, threatened by a proximity malware infection. In parallel, we provide a mathematical formulation for the aforementioned operations. We perform extended simulations, comparing our proposal against classic solutions in different network scenarios and we use the results of the mathematical formulation as a benchmark. Furthermore, we introduce a variation of our proposal, capable to support the concurrent operation of multiple mobile nodes and implement cooperation. © 2016 Elsevier B.V.</t>
  </si>
  <si>
    <t>Networks of autonomous agents; Optimization; Sensor networks; Application programs; Autonomous agents; Complex networks; Computer crime; Drones; Internet protocols; Malware; Optimization; Sensor networks; Sensor nodes; Unmanned aerial vehicles (UAV); Viruses; Advanced applications; Concurrent operations; Mathematical formulation; Mobile nodes; Network scenario; Security attacks; Software and hardwares; Wsn applications; Wireless sensor networks</t>
  </si>
  <si>
    <t>10.1016/j.adhoc.2016.06.008</t>
  </si>
  <si>
    <t>https://www.scopus.com/inward/record.uri?eid=2-s2.0-84991047657&amp;doi=10.1016%2fj.adhoc.2016.06.008&amp;partnerID=40&amp;md5=1ddf6357795dc3b79f746cd5128a53e2</t>
  </si>
  <si>
    <t>P654</t>
  </si>
  <si>
    <t>Kharchenko, V.; Torianyk, V.</t>
  </si>
  <si>
    <t>Cybersecurity of the Internet of Drones: Vulnerabilities analysis and IMECA based assessment</t>
  </si>
  <si>
    <t>The tasks and problems of monitoring the state of critical infrastructures (CI) by means of groups of unmanned aerial vehicles (UAV) are considered. The advantages and limitations of using the fleet of drones are revealed. Network and cloud technologies for organization and management of Multi-UAV systems are analyzed. Cloud services for forming a new architecture-Internet of Drones (IoD) are allocated. Probable network cyber vulnerabilities of IoD during monitoring CI are categorized. IoD network cybersecurity analysis (estimation) was performed using Intrusion Modes and Effects Criticality Analysis (IMECA technique). © 2018 IEEE.</t>
  </si>
  <si>
    <t>Critical infrastructures; Internet of Drones Cyber Vulnerabilities; Intrusion Modes and Effects Criticality Analysis; Unmanned Aerial Multisystems; Antennas; Criticality (nuclear fission); Drones; Food products; Public works; Cloud services; Cloud technologies; Criticality analysis; Cyber security; Cyber vulnerabilities; Organization and management; Unmanned Aerial Multisystems; Vulnerabilities analysis; Critical infrastructures</t>
  </si>
  <si>
    <t>10.1109/DESSERT.2018.8409160</t>
  </si>
  <si>
    <t>https://www.scopus.com/inward/record.uri?eid=2-s2.0-85050681497&amp;doi=10.1109%2fDESSERT.2018.8409160&amp;partnerID=40&amp;md5=2377de0440fabb82da0eabf086a7a651</t>
  </si>
  <si>
    <t>P655</t>
  </si>
  <si>
    <t>Donatti, M.; Frazatto, F.; Manera, L.; Teramoto, T.; Neger, E.</t>
  </si>
  <si>
    <t>Radio frequency spoofing system to take over law-breaking drones</t>
  </si>
  <si>
    <t>Drones have been used by criminals to smuggle cell phones and drugs into prisons. They also may cause accidents in airports and other heavy flight traffic zones, so it is clear that it is interesting to take control of drones in some specific situations. This work is part of a project intended to develop a system (hardware and software) to take control of the law-breaking drones. This system uses an embedded Linux board communicating via SPI with a radio IC to emulate controllers signal, admitting several flight control parameters: raw, pitch, yaw and roll. In addition, this design must follow technical requirements such as power and speed to overcome primary controllers signal. Therefore, we have shown that a system composed by a Beaglebone Black and a GFSK RF transceiver can be used to take control of radio controlled drones. © 2016 IEEE.</t>
  </si>
  <si>
    <t>Drones; Homeland Security; RF Spoofing; UAV; Aircraft accidents; Computer operating systems; Controlled drug delivery; Controllers; Radio transceivers; Breakings; Cell phone; Embedded Linux; Hardware and software; Radiofrequencies; RF spoofing; System hardware; System softwares; System use; Traffic zones; Drones</t>
  </si>
  <si>
    <t>10.1109/LAMC.2016.7851290</t>
  </si>
  <si>
    <t>https://www.scopus.com/inward/record.uri?eid=2-s2.0-85015894803&amp;doi=10.1109%2fLAMC.2016.7851290&amp;partnerID=40&amp;md5=af5511e3e6b2a78419c1c5a56dbeae7b</t>
  </si>
  <si>
    <t>P656</t>
  </si>
  <si>
    <t>Thorsen, E.</t>
  </si>
  <si>
    <t>Whistleblowing in a digital age: Journalism after manning and Snowden</t>
  </si>
  <si>
    <t>569On 15 October 2015, The Intercept published a major national security leak dubbed The Drone Papers (The Intercept, 2015). While it only attracted moderate media attention, the leak highlighted how whistleblowing has been transformed in a digital age. First, The Drone Papers exposed the grim realities of modern warfare with remote-controlled assassinations conducted using Unmanned Aerial Vehicles (UAV), by detailing the secretive process by which people are selected for execution enabling a wider discussion about the Obama administration’s use of state power. It also documented a heavy dependency on unreliable mobile phone ‘signal intelligence’ metadata to pinpoint ‘targets’ and a frightening scale of civilian casualties for every ‘target’ murdered. © 2017 Bob Franklin and Scott A. Eldridge II for selection and editorial matter; individual contributions the contributors.</t>
  </si>
  <si>
    <t>10.4324/9781315713793</t>
  </si>
  <si>
    <t>https://www.scopus.com/inward/record.uri?eid=2-s2.0-85014791953&amp;doi=10.4324%2f9781315713793&amp;partnerID=40&amp;md5=6b45ba094a8ae47a48ce034ccb8d09cf</t>
  </si>
  <si>
    <t>P657</t>
  </si>
  <si>
    <t>Vasconcelos, G.; Carrijo, G.; Miani, R.; Souza, J.; Guizilini, V.</t>
  </si>
  <si>
    <t>The Impact of DoS Attacks on the AR.Drone 2.0</t>
  </si>
  <si>
    <t>A key challenge for the use of unmanned aerial vehicles (UAVs) is the security of their information during navigation to accomplish its task. Information security is a known issue, but it seems to be overlooked from a research perspective, that tends to focus on more classical and well-formulated problems. This paper addresses an experimental evaluation of three Denial of Service (DoS) attack tools to analyze the UAV's behavior. These tools are executed in real-time on the robot while it navigates an indoor environment (inside the University building). We present experiments to demonstrate the impact of such attacks on a particular UAV model (AR.Drone 2.0) and also show a description of existing vulnerabilities. Our results indicate that DoS attacks might cause network availability issues influencing critical UAVs applications, such as the video streaming functionality. © 2016 IEEE.</t>
  </si>
  <si>
    <t>AR.Drone 2.0; DoS; Unmanned Aerial Vehicles; Air navigation; College buildings; Computer crime; Crashworthiness; DOS; Robotics; Robots; Security of data; Unmanned aerial vehicles (UAV); Video streaming; AR.Drone 2.0; Denial of Service; Experimental evaluation; Formulated problems; Indoor environment; Network availability; Real time; Denial-of-service attack</t>
  </si>
  <si>
    <t>10.1109/LARS-SBR.2016.28</t>
  </si>
  <si>
    <t>https://www.scopus.com/inward/record.uri?eid=2-s2.0-85010426996&amp;doi=10.1109%2fLARS-SBR.2016.28&amp;partnerID=40&amp;md5=5e81c78af8d5aa66c799c7cc96ddbac8</t>
  </si>
  <si>
    <t>P658</t>
  </si>
  <si>
    <t>Tsikin, I.; Melikhova, A.</t>
  </si>
  <si>
    <t>Angle-of-arrival GPS integrity monitoring insensitive to satellite constellation geometry</t>
  </si>
  <si>
    <t>Signals in global navigation satellite systems (GNSS) due to weak power are vulnerable to structural interferences which can lead to a significant deviation of the position solution from its true value. In aviation, UAVcontrolling or some another life critical applications misleading coordinate information is a great threat so that procedures to detect such GNSS integrity failure are under a big concern. This paper is focused on decision-making algorithm for the failure detection applied to Angle-of-Arrival (A-o-A) integrity monitoring method in a case when the fixed decision threshold is preset in accordance with false alarm probability restricted for all possible observing satellite constellations. Decision threshold value was obtained for a different number of satellites by statistical simulations for quite a number of randomly generated satellite constellations with suitable geometric dilution of precision (GDOP) level. Minimum number of navigation signals was estimated for the situation when the simplest three elements antenna array implemented on compact UAV is used for a direction-finding procedure. As a result A-o-A integrity monitoring efficiency was estimated for real GPS satellite constellation under conditions when decision threshold was fixed as insensitive to satellite constellation geometry. © Springer International Publishing AG 2016.</t>
  </si>
  <si>
    <t>Antenna array; Global navigation satellite systems; Interference mitigation; Spoofing detection; Antenna arrays; Antennas; Communication satellites; Decision making; Direction of arrival; Fiber optic sensors; Geometry; Interference suppression; Internet; Internet of things; Navigation; Next generation networks; Outages; Satellites; Tracking (position); Decision-making algorithms; False alarm probability; Geometric dilution of precision; Global Navigation Satellite Systems; Interference mitigation; Life-critical applications; Satellite constellations; Statistical simulation; Global positioning system</t>
  </si>
  <si>
    <t>10.1007/978-3-319-46301-8_49</t>
  </si>
  <si>
    <t>https://www.scopus.com/inward/record.uri?eid=2-s2.0-84989909808&amp;doi=10.1007%2f978-3-319-46301-8_49&amp;partnerID=40&amp;md5=b74776c027f6d4e61e8487e1842c9435</t>
  </si>
  <si>
    <t>P659</t>
  </si>
  <si>
    <t>Miquel, T.; Condomines, J.-P.; Chemali, R.; Larrieu, N.</t>
  </si>
  <si>
    <t>Design of a robust controller/observer for TCP/AQM network: First application to intrusion detection systems for drone fleet</t>
  </si>
  <si>
    <t>This paper proposes a robust controller/observer for UAVs network anomaly estimation which is based on both Lyapunov Krasovkii functional and dynamic behavior of TCP (Transmission Control Protocol). Several research works on network anomaly estimation have been led using automatic control techniques and provide methods for designing both observer and command laws dedicated to time delay problem while estimating the anomaly or intrusion in the system. The observer design is based on a linearized fluid-flow model of the TCP behavior and must be associated to an AQM (Active Queue Management) to perform its diagnosis. The developed robust controller/observer in this paper has to be tuned by considering the time delay linear state-space representation of TCP model. As a first result, the designed controller/observer system has been successfully applied to some relevant practical problems such as topology network for aerial vehicles and the effectiveness is illustrated by using real traffic traces including Denial of Service attacks. Our first results show promising perspectives for Intrusion Detection System (IDS) in a fleet of UAVs. © 2017 IEEE.</t>
  </si>
  <si>
    <t>Aircraft control; Aircraft detection; Automation; Computer crime; Controllers; Delay control systems; Denial-of-service attack; Design; Drones; Flow of fluids; Intelligent robots; Mercury (metal); Network security; Robust control; State space methods; Time delay; Transmission control protocol; Unmanned aerial vehicles (UAV); Active Queue Management; Automatic control technique; Intrusion Detection Systems; Lyapunov-Krasovkii functional; Practical problems; Robust controllers; State space representation; Time delay problem; Intrusion detection</t>
  </si>
  <si>
    <t>10.1109/IROS.2017.8205982</t>
  </si>
  <si>
    <t>https://www.scopus.com/inward/record.uri?eid=2-s2.0-85041960945&amp;doi=10.1109%2fIROS.2017.8205982&amp;partnerID=40&amp;md5=82030df5a1077aa7baf943a381f49a29</t>
  </si>
  <si>
    <t>P66</t>
  </si>
  <si>
    <t>Marchetti, E.; Waheed, T.; Calabro, A.</t>
  </si>
  <si>
    <t>Cybersecurity Testing in Drones domain: A Systematic Literature Review</t>
  </si>
  <si>
    <t>CONTEXT: The widespread use of unmanned aerial vehicles (UAVs) drone cybersecurity testing is becoming an emerging and evolving research area for cybersecurity and privacy issues avoidance and prevention. OBJECTIVE: This paper contributes to guiding the research activity by systematically surveying the commonly adopted solutions and proposals for cybersecurity testing in the drone research domain. It highlights the research challenges and issues, classifies the current proposal, methodologies, and techniques, and suggests future directions. METHODS: After gathering a collection of papers using automated inquiry of well-known digital libraries and snowballing techniques, a classification schema has been proposed and applied to the identified research works. Furthermore, research questions have been identified and answered through the performed classification. RESULTS: The paper provides an outlook on cybersecurity testing in drone environments. It also lists current criticalities, challenges, gaps, and future directions useful to improve drone quality and increase cybersecurity. CONCLUSION: The paper highlights the current research activity in drone cybersecurity testing and indicates the topic for new effective evolution and approaches.  © 2013 IEEE.</t>
  </si>
  <si>
    <t>Cybersecurity; Drones; Testing; UAV; Target drones; 'current; Aerial vehicle; Cyber security; Privacy issue; Research activities; Research areas; Research challenges; Research domains; Systematic literature review; Unmanned aerial vehicle; Drones</t>
  </si>
  <si>
    <t>10.1109/ACCESS.2024.3495994</t>
  </si>
  <si>
    <t>https://www.scopus.com/inward/record.uri?eid=2-s2.0-85209639237&amp;doi=10.1109%2fACCESS.2024.3495994&amp;partnerID=40&amp;md5=75964fb9f29b937d5489030334cb7d73</t>
  </si>
  <si>
    <t>P660</t>
  </si>
  <si>
    <t>O'Malley, J.</t>
  </si>
  <si>
    <t>Pirates of the skies</t>
  </si>
  <si>
    <t>Aviation authorities are concerned about the safety aspects of unattended, battery-powered robot aircraft routinely hovering around the skies. In the McAfee Labs 2017 Threats Prediction report published at the end of 2016, Intel cyber-security and privacy director Bruce Snell predicted drone hijacking will become a practical reality in the coming months. Snell sees a key risk emerging for delivery companies if drone-transported stock is stolen. Criminals may simply steal expensive camera equipment from drones used to capture video and take high-quality photos of the Earth underneath. Security researcher Jonathan Andersson has already shown that dronejacking kits are feasible. He created a pocket-sized device he calls Icarus after the mythical ancient Greek figure who lost his wings by flying too close to the sun. Samy Kamkar has made a device using a Raspberry Pi mini-computer powered by a USB battery pack, and has attached it to a drone of his own. The Skyjack drone, as Kamkar has dubbed it, is capable of patrolling the skies sniffing out other drones and then hacking into them to take control. Kamkar's drone can connect to multiple other UAVs simultaneously, and he can pilot them or he can just view the camera live by connecting through his own phone or tablet. Intel Security CTO Raj Samani suggest some things that could be done: having an approved and agreed communications standard, encrypting the signal and using stronger authentication. The drone software should verify the source of the commands it is receiving and reject those coming from unapproved transmitters. Drone software could also build in measures to automatically detect common attacks such as replay attacks.</t>
  </si>
  <si>
    <t>Cameras; Drones; Electric batteries; Fighter aircraft; Minicomputers; Personal computing; Ancient Greeks; Battery powered; Communications standard; Cyber security; Delivery company; High quality; Replay attack; Safety aspects; Unmanned aerial vehicles (UAV)</t>
  </si>
  <si>
    <t>10.1049/et.2017.0302</t>
  </si>
  <si>
    <t>https://www.scopus.com/inward/record.uri?eid=2-s2.0-85017360332&amp;doi=10.1049%2fet.2017.0302&amp;partnerID=40&amp;md5=da39b9fc585449c08347bf60cdbe8107</t>
  </si>
  <si>
    <t>P661</t>
  </si>
  <si>
    <t>Liang, C.; Miao, M.; Ma, J.; Yan, H.; Zhang, Q.; Li, X.; Li, T.</t>
  </si>
  <si>
    <t>Detection of GPS Spoofing Attack on Unmanned Aerial Vehicle System</t>
  </si>
  <si>
    <t>Most of the existing GPS spoofing detection schemes are vulnerable to the complex generative GPS spoofing attack, and require additional auxiliary equipments and extensive signal processing capabilities, leading to defects such as low real-time performance and large communication overhead which may not be available for the unmanned aerial vehicle (UAV, also known as drone) system. Motivated by the limitations of prior work, we propose a GPS spoofing detection scheme that requires minimal prior configuration and employs information fusion based on the GPS receiver and inertial measurement unit (IMU). We use a real-time model of tracking and calculating to derive the current location of the drones which are then contrasted with the location information received by the GPS receiver to judge whether the UAV system is under spoofing attack. Experiments show that, while the accuracy meets the requirements of detection, the proposed method can accurately determine whether the system is attacked within 8 s, with a detection rate of 98.6%. Compared with the existing schemes, the performance of real-time detecting is improved in our method while the detection rate is ensured. Even in our worst-case, we detect GPS spoofing attack within 28 s after the UAV system starts its mission. © 2019, Springer Nature Switzerland AG.</t>
  </si>
  <si>
    <t>Attack detection; Drone; GPS spoofing; UAV; Antennas; Auxiliary equipment; Drones; Global positioning system; Machine learning; Signal processing; Unmanned aerial vehicles (UAV); Vehicle to vehicle communications; Attack detection; Communication overheads; Inertial measurement unit; Location information; Real time modeling; Real time performance; Signal processing capability; Unmanned aerial vehicle systems; Aircraft detection</t>
  </si>
  <si>
    <t>10.1007/978-3-030-30619-9_10</t>
  </si>
  <si>
    <t>https://www.scopus.com/inward/record.uri?eid=2-s2.0-85072862820&amp;doi=10.1007%2f978-3-030-30619-9_10&amp;partnerID=40&amp;md5=8c6a187410c85498b9108685f30219f2</t>
  </si>
  <si>
    <t>P662</t>
  </si>
  <si>
    <t>Dey, V.; Pudi, V.; Chattopadhyay, A.; Elovici, Y.</t>
  </si>
  <si>
    <t>Security Vulnerabilities of Unmanned Aerial Vehicles and Countermeasures: An Experimental Study</t>
  </si>
  <si>
    <t>Drones present a novel airborne platform for new commercial and consumer tasks. Due to their increasing use, security analysis has become necessary. In this paper, we present a collection of fatal attacks, minor observations and associated security vulnerabilities for DJI Phantom 4 Pro(P4P) and Parrot Bebop 2 drones. We also propose some countermeasures to bolster the security of the analyzed drones. In addition to this, we provided a brief overview of the system and embedded architecture of these vehicles. Although DJI has tried to improve security by introducing radio communication and partially encrypted firmware, the P4P still remains vulnerable to GPS spoofing, jamming and other vulnerabilities through DJI-SDK has been exposed in our experimental study. In contrast, Bebop drones are more vulnerable to wireless attacks and we have experimentally validated this for Bebop 2 drone. © 2018 IEEE.</t>
  </si>
  <si>
    <t>Antennas; Drones; Firmware; Network security; Radio communication; VLSI circuits; Airborne platforms; Embedded architecture; Security analysis; Security vulnerabilities; Embedded systems</t>
  </si>
  <si>
    <t>10.1109/VLSID.2018.97</t>
  </si>
  <si>
    <t>https://www.scopus.com/inward/record.uri?eid=2-s2.0-85046727968&amp;doi=10.1109%2fVLSID.2018.97&amp;partnerID=40&amp;md5=9c3532e74b65e6d02ffd53d7d40f1ef5</t>
  </si>
  <si>
    <t>P663</t>
  </si>
  <si>
    <t>Danas, A.M.; Drouyor, F.; Drouyor, J.W.; Hong, J.; Horwitz, J.B.</t>
  </si>
  <si>
    <t>International transportation law</t>
  </si>
  <si>
    <t>International transportation encompasses a variety of modes of transport and industries, including passenger and cargo transportation by air, ocean, motor, and rail. This report highlights some of the 2017 legal developments that will affect global trends in international transportation in coming years. Ocean shipping had developments regarding competition and new guidelines for cybersecurity threat management. Aviation saw major updates to the management of aircraft control and unmanned aircraft systems. This was also a big year for change regarding free-trade agreements. Recent in-bond process changes have implications for multi-modal transportation of cargo. Lastly, transportation technology and regulation has continued to be an area of advancement. © 2018 American Bar Association. All rights reserved.</t>
  </si>
  <si>
    <t>https://www.scopus.com/inward/record.uri?eid=2-s2.0-85093102762&amp;partnerID=40&amp;md5=94d4a8c4af38b5cbff9a1c09f0461d3b</t>
  </si>
  <si>
    <t>P664</t>
  </si>
  <si>
    <t>Perkins, A.; Dressel, L.; Lo, S.; Enge, P.</t>
  </si>
  <si>
    <t>Antenna characterization for UAV based GPS Jammer localization</t>
  </si>
  <si>
    <t>The increased integration of GPS in the airspace to improve efficiency and enhance safety comes with an increased risk of harm from a GPS jamming device. In an effort to protect the airspace of the future from the effects of GPS jammers by rapidly mitigating their effects, we are developing an unmanned aerial vehicle (UAV) based solution for the localization of a jammer that can operate at an airport. The development of this UAV solution is centered on two main areas: the localization of the jammer and navigation in a denied environment. In this paper, we examine developments in the first area, the localization of the jammer. This paper examines the two primary components of our localization system: radio frequency (RF) detection and a navigation control scheme for localization. The RF detection component uses a directional antenna and the UAV's ability to rotate to determine a bearing to the jammer. The navigation control scheme selects a trajectory leading to bearing measurements that allow rapid localization of the jammer. The ability to make reliable bearing measurements is paramount to quickly localizing the jammer. The research in this paper analyzes our directional antenna and three bearing calculation methods: max, cross-correlation, and a modification of max leveraging the shape of the antenna's main lobe (referred to as max3 in this paper). Flight test data is used to analyze the performance of these methods at various distances from the jammer. Localization is achieved by determining and moving to the best locations to make signal observations and merging these observations to get an accurate estimate of jammer location. In order to pick measurement locations that minimize localization time, we've formulated the problem of picking these locations as a partially observable Markov decision process (POMDP). This closed-loop controller determines the next measurement location given the information gathered from prior measurements. Flight tests with this control scheme were performed and are presented in this paper. The effect of bearing measurement quality on the decision-making is also shown.</t>
  </si>
  <si>
    <t>Antennas; Behavioral research; Decision making; Directive antennas; Global positioning system; Jamming; Location; Markov processes; Navigation; Radio navigation; Unmanned aerial vehicles (UAV); Antenna characterizations; Closed loop controllers; Directional Antenna; Localization system; Measurement locations; Measurement quality; Navigation controls; Partially observable Markov decision process; Satellite antennas</t>
  </si>
  <si>
    <t>https://www.scopus.com/inward/record.uri?eid=2-s2.0-84975698686&amp;partnerID=40&amp;md5=89581b21057f3fa73c149e75fdd75cd7</t>
  </si>
  <si>
    <t>P665</t>
  </si>
  <si>
    <t>Quintana, C.; Sibson, P.; Erry, G.; Thueux, Y.; Kingston, E.; Ismail, T.; Faulkner, G.; Kennard, J.; Gebremicael, K.; Clark, C.; Erven, C.; Chuard, S.; Watson, M.; Rarity, J.; O'Brien, D.</t>
  </si>
  <si>
    <t>Low size, weight and power quantum key distribution system for small form unmanned aerial vehicles</t>
  </si>
  <si>
    <t>The security of sensitive information exchange has become a major topic in recent years. Quantum Key Distribution (QKD) provides a highly secure approach to share random encryption keys between two communication terminals. In contrast with traditional public cryptography methods, QKD security relies on the foundations of quantum mechanics and not on computational capabilities. This makes QKD unconditionally secure (if properly implemented) and it is envisaged as a main component in the next-generation cryptographic technology. QKD has already been successfully demonstrated in different contexts such as fibre-to- fibre, and free-space ground-toground as well as ground-to-air communications. However, Size, Weight and Power (SWaP) constraints have prevented previous implementations to be demonstrated on small form airborne platforms such as Unmanned Aircraft Systems (UAS) and High Altitude Pseudo-Satellites (HAPS). Project Q-DOS aims to deliver a QKD module using compact, cutting-edge photonic waveguide technology, which will allow low-SWaP aerospace requirements to be met. This module uses 1550 nm single photons to implement a BB84 protocol, and will enable the demonstration of a secure, high-speed optical communication data link (∼0.5 Gbps) between a drone and a ground station. The targeted link range is 1 km. The airborne communications module, including the QKD terminal, tracking modules, traditional communications systems, optics and control electronics, must not exceed a mass of 5 kg and a power consumption of 20 W. © 2019 SPIE. Downloading of the abstract is permitted for personal use only.</t>
  </si>
  <si>
    <t>Airborne; Free space optics; Quantum Key Distribution; Antennas; Light; Optical communication; Quantum theory; Small satellites; Unmanned aerial vehicles (UAV); Airborne; Airborne communications; Computational capability; Foundations of quantum mechanics; Free space optics; Ground-to-air communication; Quantum key distribution systems; Unmanned aircraft system; Quantum cryptography</t>
  </si>
  <si>
    <t>10.1117/12.2507669</t>
  </si>
  <si>
    <t>https://www.scopus.com/inward/record.uri?eid=2-s2.0-85066611818&amp;doi=10.1117%2f12.2507669&amp;partnerID=40&amp;md5=43a98a50ca27e8ca0ea324181638de07</t>
  </si>
  <si>
    <t>P666</t>
  </si>
  <si>
    <t>Morrison, L.P.; Team, B.; Nguyen, B.; Kannan, S.; Ray, N.; Lewin, G.C.</t>
  </si>
  <si>
    <t>AirChat: Ad hoc network monitoring with drones</t>
  </si>
  <si>
    <t>FireChat is a mobile messaging application that uses a mesh network topology to communicate between users through a cellular, WiFi, or Bluetooth Low Energy connection. FireChat has seen global growth for use in crowded events such as protests. The team has worked in conjunction with the MITRE Corporation to develop a system that attaches to a quadrotor and monitors nearby connections to gather metadata on the FireChat. This information is analyzed to provide insight into the structure of large groups or specific devices using FireChat. The WiFi Pineapple Nano, Ubertooth One, and HackRF One were tested for monitoring FireChat. From these three, the Pineapple was selected to monitor WiFi and the Ubertooth was chosen to monitor Bluetooth. The devices were evaluated based upon their ability to provide useful data, meet size, weight, and power requirements, and function across all platforms on which FireChat can be installed. While the Ubertooth provided some relevant data about the use of FireChat, it was inconsistent so Bluetooth development was discontinued. The Pineapple, however, successfully collects the MAC address and connected routers of the FireChat devices. A Raspberry Pi runs scripts to control the Pineapple to scan WiFi networks and collect FireChat data. Further, the time and location will be saved based on timing of received data and location of the quadrotor. This data is sent to a server using the Particle Electron, a 3G cellular communication board, where further analytics are performed. The analysis provided to the sponsor is able to identify the location of certain FireChat users, their progression over time, and common communication networks in which they participate. © 2017 IEEE.</t>
  </si>
  <si>
    <t>FireChat; Mesh Network; WiFi Pineapple; Bluetooth; Drones; Location; Low power electronics; Mesh generation; MESH networking; Unmanned aerial vehicles (UAV); Wireless local area networks (WLAN); Bluetooth low energies (BTLE); FireChat; Global growth; Large groups; Mesh network topology; Mobile messaging; Power requirement; Wi Fi networks; Wi-Fi</t>
  </si>
  <si>
    <t>10.1109/SIEDS.2017.7937749</t>
  </si>
  <si>
    <t>https://www.scopus.com/inward/record.uri?eid=2-s2.0-85025600706&amp;doi=10.1109%2fSIEDS.2017.7937749&amp;partnerID=40&amp;md5=31368f911abdad29da585d97ea078413</t>
  </si>
  <si>
    <t>P667</t>
  </si>
  <si>
    <t>Zhang, R.; Condomines, J.-P.; Larrieu, N.; Chemali, R.</t>
  </si>
  <si>
    <t>Design of a novel network intrusion detection system for drone communications</t>
  </si>
  <si>
    <t>This paper proposes an hybrid method based on both a spectral traffic analysis and a robust controller / observer for anomaly estimation inside UAV networks. This method is based on both Lyapunov Krasovskii functional and dynamic behavior of Transmission Control Protocol (TCP) and User Datagram Protocol (UDP). The proposed hybrid method considers, as a preliminary step, a statistical signature of the traffic exchanged in the network. By looking up this signature in a bank of signatures, it is possible to characterize the different anomalies that can be observed in UAV networks. Consequently, the different signatures that we can process, based on the different types of intrusion we generate in the network, are used to select the accurate model for robust control estimation. This selection is conducted by choosing a specific controller / observer among a dedicated bank of models. The first statistical signature extraction of the analyzed traffic is done with a multi-fractal analysis. This solution based on wavelet analysis has been selected because it offers a wide spectral characterization of the entire traffic process. The wavelet-based analysis methodology has been widely used for the last decade for Internet traffic characterization but this is the first time that this tool has been used on a UAV ad hoc network traffic. Moreover, several research studies on network anomaly estimation have been carried out using automatic control techniques. These studies provide methods for designing both observer and command laws dedicated to time delay problems while estimating the anomaly or intrusion in the system. As a first result, the spectral analysis tool has provided clearly distinguishable signatures between the traffics with and without anomalies. Then, the designed controller / observer system has been successfully applied to some relevant practical problems such as ad hoc networks for aerial vehicles and its effectiveness is illustrated by using real traffic traces including Distributed Denial of Service (DDoS) attacks. Our first results show promising perspectives for Intrusion Detection System (IDS) in a fleet of UAVs. Indeed, different types of anomaly have been considered and they are all accurately detected by the intrusion detection process we propose in this paper. © 2018 IEEE.</t>
  </si>
  <si>
    <t>Drone Ad Hoc network; Intrusion detection system; Robust estimator; Spectral analysis; UAV; Aircraft control; Aircraft detection; Antennas; Automation; Controllers; Delay control systems; Denial-of-service attack; Design; Digital avionics; Drones; Intrusion detection; Lyapunov functions; Network security; Robust control; Spectrum analysis; Spectrum analyzers; Transmission control protocol; Unmanned aerial vehicles (UAV); Wavelet analysis; Automatic control technique; Distributed denial of service attack; Intrusion Detection Systems; Lyapunov-Krasovskii functionals; Network intrusion detection systems; Robust estimators; Spectral characterization; Statistical signatures; Vehicular ad hoc networks</t>
  </si>
  <si>
    <t>10.1109/DASC.2018.8569300</t>
  </si>
  <si>
    <t>https://www.scopus.com/inward/record.uri?eid=2-s2.0-85060619554&amp;doi=10.1109%2fDASC.2018.8569300&amp;partnerID=40&amp;md5=3f92c3273e64ffc66b0d501ab520a0f1</t>
  </si>
  <si>
    <t>P668</t>
  </si>
  <si>
    <t>Lee, E.J.; Shin, S.Y.; Ko, B.C.; Chang, C.</t>
  </si>
  <si>
    <t>Early sinkhole detection using a drone-based thermal camera and image processing</t>
  </si>
  <si>
    <t>Accurate advance detection of the sinkholes that are occurring more frequently now is an important way of preventing human fatalities and property damage. Unlike naturally occurring sinkholes, human-induced ones in urban areas are typically due to groundwater disturbances and leaks of water and sewage caused by large-scale construction. Although many sinkhole detection methods have been developed, it is still difficult to predict sinkholes that occur in depth areas. In addition, conventional methods are inappropriate for scanning a large area because of their high cost. Therefore, this paper uses a drone combined with a thermal far-infrared (FIR) camera to detect potential sinkholes over a large area based on computer vision and pattern classification techniques. To make a standard dataset, we dug eight holes of depths 0.5–2 m in increments of 0.5 m and with a maximum width of 1 m. We filmed these using the drone-based FIR camera at a height of 50 m. We first detect candidate regions by analysing cold spots in the thermal images based on the fact that a sinkhole typically has a lower thermal energy than its background. Then, these regions are classified into sinkhole and non-sinkhole classes using a pattern classifier. In this study, we ensemble the classification results based on a light convolutional neural network (CNN) and those based on a Boosted Random Forest (BRF) with handcrafted features. We apply the proposed ensemble method successfully to sinkhole data for various sizes and depths in different environments, and prove that the CNN ensemble and the BRF one with handcrafted features are better at detecting sinkholes than other classifiers or standalone CNN. © 2016 Elsevier B.V.</t>
  </si>
  <si>
    <t>Boosted random forest; Convolution neural network; Drone; Far-infrared camera; Sinkhole detection; Cameras; Computer vision; Convolution; Decision trees; Drones; FIR filters; Groundwater; Image processing; Infrared devices; Neural networks; Sewage; Unmanned aerial vehicles (UAV); Classification results; Conventional methods; Convolution neural network; Convolutional neural network; Far-infrared cameras; Naturally occurring; Pattern classification techniques; Random forests; Damage detection</t>
  </si>
  <si>
    <t>10.1016/j.infrared.2016.08.009</t>
  </si>
  <si>
    <t>https://www.scopus.com/inward/record.uri?eid=2-s2.0-84984810445&amp;doi=10.1016%2fj.infrared.2016.08.009&amp;partnerID=40&amp;md5=1ff3b2c1d434aa97f5eaf9680f93eed4</t>
  </si>
  <si>
    <t>P669</t>
  </si>
  <si>
    <t>McAndrew, I.R.; Vishnevskaya, E.</t>
  </si>
  <si>
    <t>Is the Sky above us Safe and How Has This Been Influenced by the Past and Present Policies? : Unmanned Aerial Systems and their Cybersecurity Implications</t>
  </si>
  <si>
    <t>There have been many instances of aircraft collisions in the sky and these have been for a variety of reasons and causes. Technology has been used to address these concerns, yet these have not all been successful for other reasons. Human factors, or the lack of them, has been a common cause in many. There are also many other reasons why and this paper does not focus on all, only the principal ones and how the situation is changing now with more pressure than ever before. This presentation reviews the historical and technical reasons what and why has happened to produce this current situation and how the safety may not be as high as assumed. It also introduces the concerns that Unmanned Aerial Vehicles add and how these are being reviewed to minimize collisions. Furthermore, the risk analysis of these implications due to Security and Cybersecurity is addressed. © 2018 IEEE.</t>
  </si>
  <si>
    <t>air traffic control; aviation collision safety; unmanned aerial systems; Aerospace engineering; Air traffic control; Aircraft accidents; Risk analysis; Risk assessment; Aircraft collisions; Collision safety; Current situation; Cyber security; Past and present; Unmanned aerial systems; Antennas</t>
  </si>
  <si>
    <t>10.1109/ICMAE.2018.8467686</t>
  </si>
  <si>
    <t>https://www.scopus.com/inward/record.uri?eid=2-s2.0-85055554556&amp;doi=10.1109%2fICMAE.2018.8467686&amp;partnerID=40&amp;md5=d876d98a9891c654978378fb59912448</t>
  </si>
  <si>
    <t>P67</t>
  </si>
  <si>
    <t>Shao, Z.; Yang, H.; Xiao, L.; Su, W.; Chen, Y.; Xiong, Z.</t>
  </si>
  <si>
    <t>Deep Reinforcement Learning-Based Resource Management for UAV-Assisted Mobile Edge Computing Against Jamming</t>
  </si>
  <si>
    <t>In mobile edge computing (MEC) systems, multiple unmanned aerial vehicles (UAVs) can be utilized as aerial servers to provide computing, communication, and storage services for edge users, called UAV-assisted MEC, which has emerged as a promising technology to improve both the computing and communication performances. Unlike existing works without considering jamming attacks, we investigate a multi-UAV-assisted-MEC scenario under multiple malicious jammers and then propose a resource management approach with the objective of minimizing both the system energy consumption and latency. Due to the time-varying nature of communication environments, we design a multi-agent deep reinforcement learning (MADRL)-based resource management approach to dynamically adjust the CPU frequency, communication bandwidth, and channel access selection of UAVs to enhance the system performance against jamming attacks. On this basis, in order to enhance the algorithm learning efficiency, we propose a multi-agent twin-delayed deep deterministic policy algorithm in combination with the prioritized experience replay mechanism (PER-MATD3) to effectively search for the joint resource management strategy under high-dimensional state and action spaces, where the time-varying channel state information and imperfect attack behavior information are also effectively trained to improve the learning capacity and convergence speed. Simulation and experimental results verify that the proposed approach can significantly decrease the overall system latency (i.e., computing and communication latency) and energy consumption compared to other benchmark algorithms under different real-world settings.  © 2002-2012 IEEE.</t>
  </si>
  <si>
    <t>Anti-jamming; deep reinforcement learning; energy and latency minimization; mobile edge computing; resource management; unmanned aerial vehicle; Antennas; Channel state information; Deep learning; Drones; Energy utilization; Information management; Learning algorithms; Mobile edge computing; Multi agent systems; Natural resources management; Reinforcement learning; Resource allocation; Aerial vehicle; Anti-jamming; Deep reinforcement learning; Energy; Energy and latency minimization; Energy-consumption; Heuristics algorithm; Jamming; Minimisation; Optimisations; Reinforcement learnings; Resource management; Task analysis; Unmanned aerial vehicle; Heuristic algorithms</t>
  </si>
  <si>
    <t>10.1109/TMC.2024.3432491</t>
  </si>
  <si>
    <t>https://www.scopus.com/inward/record.uri?eid=2-s2.0-85200241000&amp;doi=10.1109%2fTMC.2024.3432491&amp;partnerID=40&amp;md5=3771d3cf224d7e470e923f5cc810228a</t>
  </si>
  <si>
    <t>P670</t>
  </si>
  <si>
    <t>Germanese, D.; Pascali, M.A.; Berton, A.; Leone, G.R.; Moroni, D.; Jalil, B.; Tampucci, M.; Benassi, A.</t>
  </si>
  <si>
    <t>Architectural heritage: 3D documentation and structural monitoring using UAV</t>
  </si>
  <si>
    <t>Architectural heritage preservation and dissemination is a very important topic in Cultural Heritage. Since ancient structures may present areas which are dangerous or difficult to access, Unmanned Aerial Vehicles may be a smart solution for the safe and fast data acquisition. In this paper we propose a method for the long term monitoring of cracking patterns, based on image processing and marker-based technique. Also the paper includes the description of a pipeline for the reconstruction of interactive 3D scene of the historic structure to disseminate the acquired data, to provide the general public with info regarding the structural health of the structure, and possibly to support the drone pilot during the survey. The Introduction provides a state of the art about the crack monitoring from visible images; it follows a description of the proposed method, and the results of the experimentation carried out in a real case study (the Ancient Fortress in Livorno, Italy). A specific section is devoted to the description of the front-end of augmented reality designed for heritage dissemination and to support the drone usage. Details about the future works conclude the paper. © 2019 CEUR-WS. All rights Reserved.</t>
  </si>
  <si>
    <t>3D rendering; Crack monitoring; Crack quantification; Photogrammetry; UAV; Antennas; Augmented reality; Data acquisition; Digital libraries; Drones; Extraction; Image processing; Pattern recognition; Photogrammetry; Three dimensional computer graphics; Unmanned aerial vehicles (UAV); 3-D rendering; Ancient structures; Architectural heritage; Crack monitoring; Fast data acquisition; Historic structures; Long term monitoring; Structural monitoring; Historic preservation</t>
  </si>
  <si>
    <t>https://www.scopus.com/inward/record.uri?eid=2-s2.0-85062284599&amp;partnerID=40&amp;md5=866f1fd9ec9914c20ac83da0849daccb</t>
  </si>
  <si>
    <t>P671</t>
  </si>
  <si>
    <t>Davidson, D.; Wu, H.; Jellinek, R.; Ristenpart, T.; Singh, V.</t>
  </si>
  <si>
    <t>Controlling UAVs with sensor input spoofing attacks</t>
  </si>
  <si>
    <t>There has been a recent surge in interest in autonomous robots and vehicles. From the Google self-driving car, to autonomous delivery robots, to hobbyist UAVs, there is a staggering variety of proposed deployments for autonomous vehicles. Ensuring that such vehicles can plan and execute routes safely is crucial. The key insight of our paper is that the sensors that autonomous vehicles use to navigate represent a vector for adversarial control. With direct knowledge of how sensor algorithms operate, the adversary can manipulate the victim’s environment to form an implicit control channel on the victim. We craft an attack based on this idea, which we call a sensor input spoofing attack. We demonstrate a sensor input spoofing attack against the popular Lucas-Kanade method for optical flow sensing and characterize the ability of an attacker to trick optical flow via simulation. We also demonstrate the effectiveness of our optical flow sensor input spoofing attack against two consumer-grade UAVs, the AR.Drone 2.0 and the APM 2.5 ArduCopter. Finally, we introduce a method for defending against such an attack on optical-flow sensors, both using the RANSAC algorithm and a more robust weighted RANSAC algorithm to synthesize sensor outputs. © 2016 USENIX Association. All rights reserved.</t>
  </si>
  <si>
    <t>Optical flows; Control channels; Lucas-kanade; Optical flow sensors; RANSAC algorithm; Self drivings; Sensor inputs; Sensor output; Spoofing attacks; Autonomous vehicles</t>
  </si>
  <si>
    <t>https://www.scopus.com/inward/record.uri?eid=2-s2.0-85084164090&amp;partnerID=40&amp;md5=5a5394fd9bffe9924680546f5b81cda8</t>
  </si>
  <si>
    <t>P672</t>
  </si>
  <si>
    <t>4th International Conference on Machine Learning and Intelligent Communications, MLICOM 2019</t>
  </si>
  <si>
    <t>The proceedings contain 64 papers. The special focus in this conference is on Machine Learning and Intelligent Communications. The topics include: Indoor Localization Based on Centroid Constraints of AP Quadrilateral Networks; partially Overlapping Channel Selection in Jamming Environment: A Hierarchical Learning Approach; a Q-Learning-Based Channel Selection and Data Scheduling Approach for High-Frequency Communications in Jamming Environment; RFID Indoor Location Based on Optimized Generalized Regression Neural Network; Beacon in the Air: Optimizing Data Delivery for Wireless Energy Powered UAVs; power Optimization in Wireless Powered Based Mobile Edge Computing; predicting Socio-Economic Levels of Individuals via App Usage Records; multiple Tasks Assignment for Cooperating Homogeneous Unmanned Aerial Vehicles; design of Overall Framework of Self-Service Big Data Governance for Power Grid; a Drone Formation Transformation Approach; data Cleaning Based on Multi-sensor Spatiotemporal Correlation; distributed Hierarchical Fault Diagnosis Based on Sparse Auto-Encoder and Random Forest; a Data Quality Improvement Method Based on the Greedy Algorithm; Research of Lightweight Encryption Algorithm Based on AES and Chaotic Sequences for Narrow-Band Internet of Things; energy Efficiency Maximization for Green Cognitive Internet of Things with Energy Harvesting; a Smart Wearable Device for Preventing Indoor Electric Shock Hazards; A VLP Approach Based on a Single LED Lamp; a Method of Calculating the Semantic Similarity Between English and Chinese Concepts; A Bicycle-Borne Sensor Node for Monitoring Air Pollution Based on NB-IoT; power Beacons Deployment in Wireless Powered Communication with Truncated Poisson Cluster Process; the Principle and Design of Separate Fingerprint Identification System; identifying Sources of Random Walk-Based Epidemic Spreading in Networks.</t>
  </si>
  <si>
    <t>https://www.scopus.com/inward/record.uri?eid=2-s2.0-85076126848&amp;partnerID=40&amp;md5=bff6d8b527e3f9622f5ce5f5ef0058d5</t>
  </si>
  <si>
    <t>P673</t>
  </si>
  <si>
    <t>Sidorov, V.; Ng, W.K.; Lam, K.Y.; Salleh, M.F.B.M.</t>
  </si>
  <si>
    <t>Implications of cyber threats for the design of unmanned air traffic management system</t>
  </si>
  <si>
    <t>Unmanned aircraft are quickly gaining credibility as an efficient tool for a wide range of tasks. With the increase in the amount of UAVs in the sky, the need for the UAV traffic management arises. Unmanned air traffic management system (UTMS), especially in the urban airspace, could be considered as a critical infrastructure, which - if disrupted - can lead to severe monetary losses and even casualties. As a computerized system, UTMS is susceptible to cyber attacks ranging from cyber vandalism to cyber warfare. This work considers cyber threats to the UTMS, and how it should be designed in order to be resilient to these threats. The work was performed as a part of the early design of an urban UTMS in Singapore; however, the findings are applicable to designing UTMS for any urban environment. © 2017 IEEE.</t>
  </si>
  <si>
    <t>air traffic management; cyber security; unmanned aircraft; Air transportation; Aviation; Computer crime; Network security; Unmanned aerial vehicles (UAV); Air Traffic Management; Computerized systems; Cyber security; Cyber-attacks; Early designs; Traffic management; Unmanned aircrafts; Urban environments; Air traffic control</t>
  </si>
  <si>
    <t>10.1109/ICUAS.2017.7991429</t>
  </si>
  <si>
    <t>https://www.scopus.com/inward/record.uri?eid=2-s2.0-85034025963&amp;doi=10.1109%2fICUAS.2017.7991429&amp;partnerID=40&amp;md5=80d9635ec38561e5a479e9d4c3cec98f</t>
  </si>
  <si>
    <t>P674</t>
  </si>
  <si>
    <t>Shakmak, B.; Al-Habaibeh, A.</t>
  </si>
  <si>
    <t>Detection of water leakage in buried pipes using infrared technology; A comparative study of using high and low resolution infrared cameras for evaluating distant remote detection</t>
  </si>
  <si>
    <t>Water is one of the most precious commodities around the world. However, significant amount of water is lost daily in many countries through broken and leaking pipes. This paper investigates the use of low and high resolution infrared systems to detect water leakage in relatively dry countries. The overall aim is to develop a non-contact and high speed system that could be used to detect leakage in pipes remotely via the effect of the change in humidity on the temperature of the ground due to evaporation. A small scale experimental test rig has been constructed to simulate water leakage in The Great Man-Made River Project in Libya, taking into consideration the dryness level of the desert sand and the scaled dimensions of the system. The results show that the infrared technology is an effective technology in detecting water leakage in pipes. The low resolution system has been found as valuable as the high resolution system in detecting water leakage. The results indicate the possibility of distant remote detection of leakage in water systems using infrared technologies which could be mobilised using drones, helium balloons, aeroplanes or other similar technologies. © 2015 IEEE.</t>
  </si>
  <si>
    <t>drones; infrared cameras; monitoring systems; remote detection; sensors; thermal images; Water leakage detection; Cameras; Drones; Infrared devices; Sensors; Temperature indicating cameras; Unmanned aerial vehicles (UAV); Infra-red cameras; Monitoring system; Remote detection; Thermal images; Water leakage; Infrared radiation</t>
  </si>
  <si>
    <t>10.1109/AEECT.2015.7360563</t>
  </si>
  <si>
    <t>https://www.scopus.com/inward/record.uri?eid=2-s2.0-85002235356&amp;doi=10.1109%2fAEECT.2015.7360563&amp;partnerID=40&amp;md5=68c1de7f9e5b184dd10d14d8f3e4e999</t>
  </si>
  <si>
    <t>P675</t>
  </si>
  <si>
    <t>Thumann, C.; Zhang, Y.R.; Huang, Y.-R.; Dyer, J.</t>
  </si>
  <si>
    <t>Analysis of transmission and polarization optimization of counter-small UAS (C-SUAS) radar and jamming</t>
  </si>
  <si>
    <t>This study summarizes recent progress on the Drone Detection and Mitigation Radar (DDMR) concept, with focus on polarimetric radar signature of small UAS at different frequency bands, micro-Doppler impact, and the optimization of sweeping noise jamming solution of the communication links. New results of measurements are presented and effort to achieve the optimal effectiveness of the sweep jamming is summarized. © 2018 SPIE.</t>
  </si>
  <si>
    <t>Drone Detection and Mitigation Radar (DDMR); hit rate; polarimetry; RCS; sweep jamming; Aircraft detection; Drones; Jamming; Polarimeters; Radar equipment; Different frequency; Hit rate; Micro-Doppler; New results; Noise jamming; Polarimetric radars; Recent progress; Small UAS; Tracking radar</t>
  </si>
  <si>
    <t>10.1117/12.2304651</t>
  </si>
  <si>
    <t>https://www.scopus.com/inward/record.uri?eid=2-s2.0-85050025212&amp;doi=10.1117%2f12.2304651&amp;partnerID=40&amp;md5=c9aa5f189cc64c25dea6c04187214944</t>
  </si>
  <si>
    <t>P676</t>
  </si>
  <si>
    <t>Costello, P.J.</t>
  </si>
  <si>
    <t>Identifying and exploiting vulnerabilities in civilian unmanned aerial vehicle systems and evaluating and countering potential threats against the United States airspace</t>
  </si>
  <si>
    <t>This research project investigates the vulnerabilities of civilian Unmanned Aerial Vehicles (UAV) systems and how they can be exploited by law enforcement should a UAV be utilized in a terrorist attack against the United States. Research into the vulnerabilities of civilian UAVs focused primarily on how such systems could be compromised and taken over by a third party, and for law enforcement to exploit as a potential countermeasure. In particular, the focus of the research was on using Internet Protocol (IP) Address and Media Access Control Address spoofing to spoof the UAV controller. Multiple techniques of spoofing attacks were conducted to compromise the UAV systems and allow for precision control from a third party computer. Additional research was conducted into intercepting an autonomous UAV via spoofing. This paper identifies the threats that UAVs pose to the United States, while providing a reliable and safe way to counter certain hostile UAV threat scenarios. © 2017 ACM.</t>
  </si>
  <si>
    <t>Cybersecurity; Drones; Spoofing; Access control; Computer control systems; Drones; Education computing; Internet protocols; Law enforcement; Medium access control; Terrorism; Unmanned aerial vehicles (UAV); Cyber security; Internet protocol address; Media access control address; Potential threats; Precision control; Spoofing; Terrorist attacks; Unmanned aerial vehicle systems; Aircraft control</t>
  </si>
  <si>
    <t>10.1145/3017680.3022449</t>
  </si>
  <si>
    <t>https://www.scopus.com/inward/record.uri?eid=2-s2.0-85018242334&amp;doi=10.1145%2f3017680.3022449&amp;partnerID=40&amp;md5=f2d3db619333d47101ae23f8685080c3</t>
  </si>
  <si>
    <t>P677</t>
  </si>
  <si>
    <t>Dayananda, K.R.; Gomes, R.; Straub, J.</t>
  </si>
  <si>
    <t>An interconnected architecture for an emergency medical response unmanned aerial system</t>
  </si>
  <si>
    <t>In the case of a medical emergency such as an out-of-hospital cardiac arrest, the chances of a person's survival decrease rapidly if they are not attended to immediately. Modern hospitals are well equipped to deal with such a situation; however, an ambulance may get stuck in traffic and it may take responders time to reach locations deep within a building. Each year between 180,000 and 400,000 people die due to cardiac arrest. However, it is possible to reduce this number. Unmanned Aerial Vehicles (UAV) have regularly been used for remote sensing and aerial imagery collection, but the technology exists to allow the use of drones to respond to medical emergencies. To ensure that drones can reach the victim and provide medical aid, a framework for reacting to emergency circumstances, is required. This paper proposes a system-of-systems-based framework that is capable of responding to one of the most acute medical emergencies, a heart attack. The proposed architecture consists of twelve systems that work in coordination to ensure that the drone can achieve safe flight and provide medical aid. An autonomous command and control system is discussed. This system also allows manual control from a remote location to perform complex work using the robotic arm. The proposed system also includes a robotic arm that uses visual feedback to assist the individual suffering from cardiac arrest. The image recognition system uses depth image sensing techniques to locate appropriate points where defibrillator pads can be administered. Before placing defibrillator pads on the person's chest, the system has to detect if the person is suffering from ventricular fibrillation. The robotic arm system supports this by performing a pre-examination using on-board sensors. On-board software, contained within the automatic external defibrillator unit, is designed to recognize if the person is suffering from ventricular fibrillation. To support autonomous flight, the path planning system uses on-board GPS to track its movement and reach its destination. Once inside a building, the system can be guided using video imagery to ensure that it reaches the desired location. It uses visible light imagery and ultrasonic sensor data to avoid obstacles in its path. The UAV's actuation system receives information from the path planning system and the command unit and controls the drone's hardware systems, which includes motors, IMU sensors for flight stability and the robotic arm. An emergency response system is incorporated to guarantee that the drone will be able to land securely in a suitable area, if it malfunctions. This system is capable of identifying the seriousness of the failure. It sends command to the drone's control unit to perform response and recovery operations. The proposed framework also considers cybersecurity needs so that it is prepared to deal with potential attackers that may attempt to access locally available route controls and reroute the UAS to satisfy unauthorized objectives. It incorporates strong encryption for passwords and other credentials, a firewall, and a limited intrusion detection system. © 2017 IEEE.</t>
  </si>
  <si>
    <t>cardiac arrest; defibrillator; emergency; robotic arm; UAV; visual feedback; Accidents; Aerial photography; Aircraft control; Avionics; Command and control systems; Cryptography; Defibrillators; Digital avionics; Drones; Emergency services; Feedback; Flight control systems; Heart; Hospitals; Image recognition; Intrusion detection; Location; Motion planning; Remote sensing; Robot programming; Robotic arms; Robotics; Ultrasonic applications; Unmanned aerial vehicles (UAV); Visual communication; Cardiac arrest; emergency; Emergency response systems; Image recognition system; Intrusion Detection Systems; Unmanned aerial systems; Ventricular fibrillation; Visual feedback; Visual servoing</t>
  </si>
  <si>
    <t>10.1109/DASC.2017.8102118</t>
  </si>
  <si>
    <t>https://www.scopus.com/inward/record.uri?eid=2-s2.0-85041014490&amp;doi=10.1109%2fDASC.2017.8102118&amp;partnerID=40&amp;md5=5878d862580dca0ff6cdf964586ac05d</t>
  </si>
  <si>
    <t>P678</t>
  </si>
  <si>
    <t>Singandhupe, A.; La, H.M.; Feil-Seifer, D.</t>
  </si>
  <si>
    <t>Reliable Security Algorithm for Drones Using Individual Characteristics from an EEG Signal</t>
  </si>
  <si>
    <t>Unmanned aerial vehicles (UAVs) have been applied for both civilian and military applications; scientific research involving UAVs has encompassed a wide range of scientific study. However, communication with unmanned vehicles are subject to attack and compromise. Such attacks have been reported as early as 2009, when a Predator UAV's video stream was compromised. Since UAVs extensively utilize autonomous behavior, it is important to develop an autopilot system that is robust to potential cyber-attack. In this paper, we present a biometric system to encrypt communication between a UAV and a computerized base station. This is accomplished by generating a key derived from a user's EEG Beta component. We first extract coefficients from Beta data using Legendre's polynomials. We perform encoding of the coefficients using Bose-Chaudhuri-Hocquenghem encoding and then generate a key from a hash function. The key is used to encrypt the communication between XBees. Also we have introduced scenarios where the communication is attacked. When communication with a UAV is attacked, a safety mechanism directs the UAV to a safe home location. This system has been validated on a commercial UAV under malicious attack conditions. © 2013 IEEE.</t>
  </si>
  <si>
    <t>advanced encryption standard (AES); EEG signal; encryption; UAV; xbee; Antennas; Biometrics; Cryptography; Data privacy; Drones; Electroencephalography; Electrophysiology; Encoding (symbols); Hash functions; IEEE Standards; Military applications; Military vehicles; Network security; Signal encoding; Unmanned aerial vehicles (UAV); Advanced Encryption Standard; DH-HEMTs; EEG signals; IEEE 802.15 Standards; Xbee; Vehicle to vehicle communications</t>
  </si>
  <si>
    <t>10.1109/ACCESS.2018.2827362</t>
  </si>
  <si>
    <t>https://www.scopus.com/inward/record.uri?eid=2-s2.0-85045760047&amp;doi=10.1109%2fACCESS.2018.2827362&amp;partnerID=40&amp;md5=56e962a6f6046600cecf363dca9cfa8e</t>
  </si>
  <si>
    <t>P679</t>
  </si>
  <si>
    <t>He, D.; Qiao, Y.; Chan, S.; Guizani, N.</t>
  </si>
  <si>
    <t>Flight Security and Safety of Drones in Airborne Fog Computing Systems</t>
  </si>
  <si>
    <t>Fog computing is a new paradigm of distributed computing that extends the cloud's capability to the edge of the network. It can provide better quality of service, and is particularly suitable for IoT applications, which generally have stringent requirements on latency and reliability. In this article, we consider the flight security and safety of UAVs, which act as fog nodes in an airborne fog computing system. In particular, we propose a method to detect GPS spoofing based on the monocular camera and IMU sensor of a UAV. We also present an image localization approach to support UAV autonomous return using error reduction based on ORB feature detection and matching. The methods are demonstrated by experiments using a DJI Phantom 4 drone. © 1979-2012 IEEE.</t>
  </si>
  <si>
    <t>Aircraft detection; Drones; Fog; Quality of service; Computing system; Error reduction; Feature detection and matching; Image localization; Monocular cameras; Phantoms; Quality-of-service; Stringent requirement; Fog computing</t>
  </si>
  <si>
    <t>10.1109/MCOM.2018.1700916</t>
  </si>
  <si>
    <t>https://www.scopus.com/inward/record.uri?eid=2-s2.0-85047306598&amp;doi=10.1109%2fMCOM.2018.1700916&amp;partnerID=40&amp;md5=c0f9b332f07b575ecdc668167f3ab71b</t>
  </si>
  <si>
    <t>P68</t>
  </si>
  <si>
    <t>Yoo, J.D.; Kim, H.; Kim, H.K.</t>
  </si>
  <si>
    <t>GUIDE: GAN-based UAV IDS Enhancement</t>
  </si>
  <si>
    <t>With the development of information technology, many devices are connected and automated by networks. Unmanned Areal Vehicles (UAVs), commonly known as drones, are one of the most popular devices that can perform various tasks. However, the risk of cyberattacks on UAVs is increasing as UAV utilization grows. These cyberattacks can cause serious safety problems, such as crashes. Therefore, it is essential to detect these attacks and take countermeasures. As a countermeasure, intrusion detection system (IDS) is widely adopted. To implement IDS for UAVs, it should be lightweight and be able to detect unknown attacks as a requirement. We propose GAN-based UAV IDS Enhancement (GUIDE) to meet the requirements. The GUIDE employs a generative adversarial network (GAN) for integer-valued sequence data augmentation to enhance an IDS's performance on known and unknown attacks. We used five GANs: SeqGAN, MaskGAN, RankGAN, StepGAN, and LeakGAN; we used four non-learning augmentation methods for the comparative experiment: oversampling, undersampling, noise addition, and random generation. The experimental results demonstrated that the synthetic data generated by GANs improved the detection of known attacks (up to 37 percentage points) and unknown attacks (up to 30 percentage points) while maintaining stable IDS performance. We also analyzed the synthetic data by employing Jensen–Shannon divergence, synthetic ranking agreement, and visualization; we confirmed that the synthetic data contained the characteristics of real data and could be used for training the IDS. © 2024 Elsevier Ltd</t>
  </si>
  <si>
    <t>Cybersecurity; Data augmentation; Drone; GAN; IDS; Intrusion detection system; MAVLink; UAV; Aircraft detection; Cybersecurity; Drones; Generative adversarial networks; Intrusion detection; Micro air vehicle (MAV); Adversarial networks; Cyber security; Data augmentation; Intrusion Detection Systems; MAVLink; Network-based; Synthetic data; Unknown attacks; Unmanned areal vehicle; Network intrusion</t>
  </si>
  <si>
    <t>10.1016/j.cose.2024.104073</t>
  </si>
  <si>
    <t>https://www.scopus.com/inward/record.uri?eid=2-s2.0-85202345878&amp;doi=10.1016%2fj.cose.2024.104073&amp;partnerID=40&amp;md5=719dbab03189617a29f65933fdac0234</t>
  </si>
  <si>
    <t>P680</t>
  </si>
  <si>
    <t>Wang, J.; Liu, Y.; Amal, A.; Song, H.; Stansbury, R.S.; Yuan, J.; Yang, T.</t>
  </si>
  <si>
    <t>Fountain Code Enabled ADS-B for Aviation Security and Safety Enhancement</t>
  </si>
  <si>
    <t>Automatic Dependence Surveillance-Broadcast (ADS-B) is transforming all aspects of aviation, including commercial aircraft and unmanned aerial systems (UAS). ADS-B service broadcasts traffic information and flight information to improve aviation safety and efficiency in the air and on runways, reduce costs, and lessen harmful effects on the environment. However, due to its broadcast nature, on one hand, ADS-B is vulnerable to malicious cybersecurity attacks relevant to broadcasting; on the other hand, broadcasting could be leveraged to further improve the safety of aviation. The objective of this paper is to investigate how to enhance aviation security and safety by leveraging the inherent broadcast property of ADS-B. To be specific, we propose two novel schemes for enhancing aviation cybersecurity and safety, respectively. The first scheme, motivated by the fact that fountain codes have been successfully applied in various broadcasting scenarios for ensuring the reliability, we propose to leverage Fountain Code to enhance the security of ADS-B. The second scheme, which is based on information integration, to detect collaboratively the comprehensive weather information to enhance the safety of aviation. The performance evaluation results demonstrate the feasibility of integrating fountain codes with ADS-B for encryption and the feasibility of collaborative detection to bypass turbulent weather conditions. To our knowledge, our work is the first attempt to apply fountain code to enhance aviation security and safety. © 2018 IEEE.</t>
  </si>
  <si>
    <t>Antennas; Broadcasting; Codes (symbols); Cryptography; Forward error correction; Collaborative detection; Commercial aircraft; Evaluation results; Information integration; Safety enhancement; Traffic information; Unmanned aerial systems; Weather information; Deceleration</t>
  </si>
  <si>
    <t>10.1109/PCCC.2018.8711001</t>
  </si>
  <si>
    <t>https://www.scopus.com/inward/record.uri?eid=2-s2.0-85066476937&amp;doi=10.1109%2fPCCC.2018.8711001&amp;partnerID=40&amp;md5=28dfade87b35c766892ba8abe0e68431</t>
  </si>
  <si>
    <t>P681</t>
  </si>
  <si>
    <t>Rana, T.; Shankar, A.; Sultan, M.K.; Patan, R.; Balusamy, B.</t>
  </si>
  <si>
    <t>An intelligent approach for UAV and drone privacy security using blockchain methodology</t>
  </si>
  <si>
    <t>In today's era drones and UAV are being used more and more for spying and warfare. Their excessive use makes them vulnerable to be hacked and used for malicious purposes. There are also security loopholes in this technology like the radio waves which can be exploited by the rivals and can cause a large amount of destruction or loss of data. This paper is written to improve the security of UAV and drones by using blockchain technology. Blockchain is a highly secured technology as it uses private key cryptography and peer to peer network. By incorporating this technology in transmitting signals from controller to drone or UAV, we can achieve an extra amount of security in transmitting of signals also it increases the connectivity. © 2019 IEEE.</t>
  </si>
  <si>
    <t>Aircraft.; Blockchain; Digital Signature; Drone; Hashing; IOT; Security; UAV; Aircraft; Blockchain; Cloud computing; Electronic document identification systems; Peer to peer networks; Unmanned aerial vehicles (UAV); Hashing; Large amounts; Private key cryptography; Security; Transmitting signal; Drones</t>
  </si>
  <si>
    <t>10.1109/CONFLUENCE.2019.8776613</t>
  </si>
  <si>
    <t>https://www.scopus.com/inward/record.uri?eid=2-s2.0-85070606620&amp;doi=10.1109%2fCONFLUENCE.2019.8776613&amp;partnerID=40&amp;md5=f38c9c3a3099ef9af557e654fdaf98b4</t>
  </si>
  <si>
    <t>P682</t>
  </si>
  <si>
    <t>Leaverton, G.T.</t>
  </si>
  <si>
    <t>Generation Drone: The Future of Utility O&amp;M</t>
  </si>
  <si>
    <t>There may one day be a new generation of transmission line engineers (or wind turbine blade specialists, or bridge engineers, or pipeline technicians, or even agricultural engineers). The next wave of youths into the workforce will be well-equipped with the hand-eye coordination and virtual acumen necessary to handle the controls required to carefully navigate a small-unmanned aircraft system (sUAS) (better known as a "Drone") around obstacles like an energized high voltage transmission line. They will be looking through first person view (FPV) goggles, or watching streaming video to find cracked welds, corroded, or worn line hardware, broken insulators, or burned strands on the conductor. Or, they may be writing computer code that will turn these sUAS into "smart" devices that can autonomously fly to a predetermined GPS location, and through feature recognition algorithms, zoom in on programmed elements of interest, and snap photos/videos, or capture important data and stream it to a ground station instantaneously for further technical analysis. Or, perhaps with a robotic arm, manipulate it to reach out and touch or grab something. Such innovation is developing so rapidly that if you blink, you might well miss the technology train. Just as LIDAR has transformed line siting and design, sUAS technologies may well transform the industry once again. These flying systems are "cool", but the payload they will carry - the micro sensors, etc. will rapidly advance vision and data collection technologies to a point beyond belief. © ASCE.</t>
  </si>
  <si>
    <t>Air navigation; Computer hardware description languages; Drones; Electric lines; Electric power transmission networks; Engineers; Microsensors; Turbomachine blades; Visual servoing; Wind turbines; Feature recognition; Ground stations; Hand eye coordination; High voltage transmission lines; Small unmanned aircrafts; Streaming videos; Technical analysis; Wind turbine blades; Fighter aircraft</t>
  </si>
  <si>
    <t>10.1061/9780784479414.016</t>
  </si>
  <si>
    <t>https://www.scopus.com/inward/record.uri?eid=2-s2.0-84962040812&amp;doi=10.1061%2f9780784479414.016&amp;partnerID=40&amp;md5=ee5e558717d19074690cd6ff6c740433</t>
  </si>
  <si>
    <t>P683</t>
  </si>
  <si>
    <t>Davis, J.L.</t>
  </si>
  <si>
    <t>Reconciling unmanned aircraft system traffic management (UTM) and automatic dependent surveillance-broadcast (ADS-B)</t>
  </si>
  <si>
    <t>Commercial drone usage, especially of small Unmanned Aerial Systems (sUAS), is expected to grow exponentially in coming years. Many anticipated applications will focus operations close to the ground; i.e., at less than 400 feet above ground level. The existing Air Traffic Control system faces technical and financial challenges in attempting to cope with this expansion over and above its manned aviation responsibilities. The result is that new methods of Air Traffic Management - termed UTM - are envisioned that concentrate on low altitudes, while recognizing that even this limited airspace must provide drones a means to avoid collision with other drones and manned aircraft sharing the airspace. Current attempts at regulating drone activities are proving too restrictive. ADS-B over the last decade has established its worth as a surveillance technique contributing to manned aircraft safety. It is suggested that drones, if equipped with a form of ADS-B, could operate with fewer restrictions. Low power variants would likely be necessary to guarantee that manned aviation operating either in UTM or the broader National Airspace System would not be adversely affected. It is further proposed that bearingless active interrogation be added as a complementary surveillance sensor, one able to validate ADS-B track data vulnerable to spoofing. Envisioned is a miniature device, well matched to sUAS, that integrates Bearingless Active Interrogation, Transponder, and ADS-B functions. © 2018 IQPC. All rights reserved.</t>
  </si>
  <si>
    <t>Air traffic control; Aircraft accidents; Antennas; Deceleration; Drones; Flight control systems; Monitoring; Active interrogation; Air Traffic Management; Automatic dependent surveillance - broadcasts; National airspace system; Surveillance sensors; Surveillance techniques; Unmanned aerial systems; Unmanned aircraft system; Fighter aircraft</t>
  </si>
  <si>
    <t>https://www.scopus.com/inward/record.uri?eid=2-s2.0-85054650497&amp;partnerID=40&amp;md5=d235e35273bf183ecd9bbb8498249c59</t>
  </si>
  <si>
    <t>P684</t>
  </si>
  <si>
    <t>The commercial aviation industry is looking into "reduced crew operations" (RCO) that would cut today's two-person flight crews down to a single pilot with support from ground-based crews. Shared responsibility across air and ground personnel will require highly reliable and secure data communication and supporting automation, which will be safety-critical for passenger and cargo aircraft. This paper looks at the different types and degrees of authority delegation given from the air to the ground and the ramifications of each, including the safety and security hazards introduced, the mitigation mechanisms for these hazards, and other demands on an RCO system architecture. Any added RCO system would be highly invasive into (almost) all safety-critical avionics. The adjacent fields of unmanned aerial systems (UAS) and autonomous ground vehicles are investigated for problems similar to what RCO may face. Several past aviation accidents and incidents are described that are indicative of failure modes that could occur with respect to RCO. This paper explores possible data communication mechanisms to meet the stringent performance and information security (INFOSEC) requirements of RCO. Potential challenges for RCO data communication authentication, encryption and non-repudiation are identified. The approach includes a comprehensive safety-hazard analysis of the RCO system to determine top level INFOSEC requirements for RCO and proposes an option for effective RCO implementation. This paper concludes with questioning the economic viability of RCO in light of the expense of overcoming the operational safety and security hazards it would introduce. © 2017 IEEE.</t>
  </si>
  <si>
    <t>Aircraft accidents; Aircraft communication; Authentication; Avionics; Cargo aircraft; Civil aviation; Convolutional codes; Cryptography; Fighter aircraft; Ground vehicles; Hazards; Safety engineering; Security of data; Autonomous ground vehicles; Commercial aviation industry; Economic viability; Operational safety; Safety and securities; Shared responsibility; System architectures; Unmanned aerial systems; Digital avionics</t>
  </si>
  <si>
    <t>10.1109/DASC.2017.8101986</t>
  </si>
  <si>
    <t>https://www.scopus.com/inward/record.uri?eid=2-s2.0-85040993357&amp;doi=10.1109%2fDASC.2017.8101986&amp;partnerID=40&amp;md5=9d883e53ec252e4d92a9a7f2036d860f</t>
  </si>
  <si>
    <t>P685</t>
  </si>
  <si>
    <t>International Conference on Information Science and Applications, ICISA2016</t>
  </si>
  <si>
    <t>The proceedings contain 144 papers. The special focus in this conference is on Information Science and Applications. The topics include: Jamming-resilient adaptive network protocol in wireless networks; a framework on cloud based connected car services; possibilities of control and optimization of traffic at crossroads using petri nets; delay-energy aware clustering multi-hop routing in wireless sensor networks; a content analysis on top risks in social networking; adopting multi-radio channel approach in TCP congestion control mechanisms to mitigate starvation in wireless mesh networks; an information system to support the anti-doping process; data prefetching scheme based on data relevancy for peer-to-peer networks; sustainability of big data servers under rapid changes of technology; recipe-transition graph based on asymmetric entropy difference; design and implementation of drone for wideband communication and long-range in maritime; manage computation and limit data replication with quorums; driver fatigue detection; cooperative caching strategies for mobile peer-to-peer networks; analysis of chemical plant process safety information integration model from information system perspective; cooperative robust output regulation for linear uncertain time-delay multi-agent systems; a performance study of hidden Markov model and random forest in internet traffic classification; implementation of autonomous unmanned aerial vehicle with moving-object detection and face recognition; robust visual communication system in mobile environments; study of point spread function of astronomical object imaging; a comparative study on hough transform segmentation approach for outlier iris image and exploring multi-feature based action recognition using multi-dimensional dynamic time warping.</t>
  </si>
  <si>
    <t>https://www.scopus.com/inward/record.uri?eid=2-s2.0-84959098470&amp;partnerID=40&amp;md5=1b85f76d2c9b730d321a685454075692</t>
  </si>
  <si>
    <t>P686</t>
  </si>
  <si>
    <t>Strohmeier, M.; Lenders, V.; Martinovic, I.</t>
  </si>
  <si>
    <t>Intrusion detection for airborne communication using PHY-layer information</t>
  </si>
  <si>
    <t>With passenger and cargo traffic growing rapidly worldwide, and unmanned aerial vehicles (UAV) poised to enter commercial airspaces, a secure next generation of air traffic management systems is required. Recent articles in the academic and hacker community highlight crucial security challenges faced by integral parts of these next generation protocols, with the most dangerous attacks based on classic message injection. In this article, we analyze the possibility and effectiveness of detecting such attacks on critical air traffic infrastructures with a single receiver based on physical layer information. Using hypothesis testing and anomaly detection schemes, we develop an intrusion detection system (IDS) that can accurately detect attackers within 40 s. © Springer International Publishing Switzerland 2015.</t>
  </si>
  <si>
    <t>Air traffic control; Commercial vehicles; Computer crime; Information use; Malware; Mercury (metal); Network layers; Personal computing; Unmanned aerial vehicles (UAV); Air Traffic Management Systems; Airborne communications; Anomaly detection; Hacker communities; Hypothesis testing; Intrusion Detection Systems; Physical layers; Security challenges; Intrusion detection</t>
  </si>
  <si>
    <t>10.1007/978-3-319-20550-2_4</t>
  </si>
  <si>
    <t>https://www.scopus.com/inward/record.uri?eid=2-s2.0-84948985283&amp;doi=10.1007%2f978-3-319-20550-2_4&amp;partnerID=40&amp;md5=f2497578b7cfd58a5af9fa9347ce4b80</t>
  </si>
  <si>
    <t>P687</t>
  </si>
  <si>
    <t>Watkins, L.; Ramos, J.; Snow, G.; Vallejo, J.; Robinson, W.H.; Rubin, A.D.; Ciocco, J.; Jedrzejewski, F.; Liu, J.; Li, C.</t>
  </si>
  <si>
    <t>Exploiting multi-vendor vulnerabilities as back-doors to counter the threat of rogue small unmanned aerial systems</t>
  </si>
  <si>
    <t>A recent trend for many malicious actors, such as: (1) terrorists in Iraq and Syria, (2) lone Wolf domestic terrorists, (3) drug cartels, or (4) espionage-minded corporations, has been to use commercialoff- the-shelf (COTS) small unmanned aerial systems (sUAS) (i.e., drones) that can circumvent ground-based defenses to attack or spy on targets, to transport contraband, or to steal information. Because of the low cost of COTS sUAS and the prior success of these uses, this trend is increasing at an alarming rate, leading to the need to counter the malicious usage of sUAS (i.e., rogue sUAS). Researchers, the armed forces, and technologists have all proposed disparate solutions to this problem. There are no comprehensive and compact solutions capable of effectively tracking, identifying, and actively neutralizing the threats associated with rogue sUAS. Thus, we have developed a mobile cyber solution, using rigorous penetration testing across the top sUAS COTS vendors. Based on the market share of these top vendors, our approach is applicable to approximately 90% of all COTS sUAS.We demonstrate that hard-topatch vulnerabilities (i.e., vulnerabilities that exist across all the top vendors of sUAS) can be used as back-doors to counter the threat of rouge sUAS. Our solution can be launched from a standard laptop or Android mobile device with an external antenna, and is capable of tracking, identifying, and disrupting all Parrot and 3DR sUAS, as well as almost all DJI sUAS (i.e., renders them incapable of video flight) within a 300-meter radius. © 2018 Association for Computing Machinery.</t>
  </si>
  <si>
    <t>802.11 Fingerprinting; Counter drone; Drones; SUAS; Competition; Drones; IEEE Standards; Mobile antennas; Mobile devices; Terrorism; 802.11 Fingerprinting; Commercial-off-the-shelf; Compact solutions; Multi-vendor; Penetration testing; Recent trends; SUAS; Unmanned aerial systems; Internet of things</t>
  </si>
  <si>
    <t>10.1145/3215466.3215467</t>
  </si>
  <si>
    <t>https://www.scopus.com/inward/record.uri?eid=2-s2.0-85052068057&amp;doi=10.1145%2f3215466.3215467&amp;partnerID=40&amp;md5=adab3e01161e73b5245b229bf2666b94</t>
  </si>
  <si>
    <t>P688</t>
  </si>
  <si>
    <t>Wang, X.; Ouyang, Z.; Song, H.; Lin, Q.</t>
  </si>
  <si>
    <t>Collaborative unmanned aerial systems for effective and efficient airborne surveillance</t>
  </si>
  <si>
    <t>Unmanned aerial vehicles (UAVs), commonly known as drones, have the potential to enable a wide variety of beneficial applications in areas such as monitoring and inspection of physical infrastructure, smart emergency/disaster response, agriculture support, and observation and study of weather phenomena including severe storms, among others. However, the increasing deployment of amateur UAVs (AUAVs) places the public safety at risk. A promising solution is to deploy surveillance UAVs (SUAVs) for the detection, localization, tracking, jamming and hunting of AUAVs. Accurate localization and tracking of AUAV is the key to the success of AUAV surveillance. In this article, we propose a novel framework for accurate localization and tracking of AUAV enabled by cooperating SUAVs. At the heart of the framework is a localization algorithm called cooperation coordinate separation interactive multiple model extended Kalman filter (CoCS-IMMEKF). This algorithm simplifies the set of multiple models and eliminates the model competition of each motion direction by coordinate separation. At the same time, this algorithm leverages the advantages of fusing multi-SUAV cooperative detection to improve the algorithm accuracy. Compared with the classical interacting multiple model unscented Kalman filter (IMMUKF) algorithm, this algorithm achieves better target estimation accuracy and higher computational efficiency, and enables good adaptability in SUAV system target localization and tracking. © 2018 SPIE.</t>
  </si>
  <si>
    <t>Collaborative detection; Collaborative localization; Coordinate separation; IMM-EKF; Surveillance unmanned aerial vehicles; Aircraft detection; Antennas; Extended Kalman filters; Monitoring; Separation; Storms; Unmanned aerial vehicles (UAV); Collaborative detection; Collaborative localizations; Imm-ekf; Interacting multiple model; Interactive multiple models; Localization and tracking; Target localization and tracking; Unmanned aerial systems; Computational efficiency</t>
  </si>
  <si>
    <t>10.1117/12.2306298</t>
  </si>
  <si>
    <t>https://www.scopus.com/inward/record.uri?eid=2-s2.0-85049194988&amp;doi=10.1117%2f12.2306298&amp;partnerID=40&amp;md5=0ec4f73f50fdc9bb127615eb3428e27f</t>
  </si>
  <si>
    <t>P689</t>
  </si>
  <si>
    <t>Casasanta, G.; Petenko, I.; Mastrantonio, G.; Bucci, S.; Conidi, A.; Di Lellis, A.M.; Sfoglietti, G.; Argentini, S.</t>
  </si>
  <si>
    <t>Consumer Drones Targeting by Sodar (Acoustic Radar)</t>
  </si>
  <si>
    <t>Consumer drones have recently become a threat in many real scenarios, since they are difficult to detect and track, and can be easily used to perform criminal activities such as smuggling of illicit materials, surveillance operations or network hacking, and stealing data. Existing technologies are either not suitable to detect an object that can be as small as 10 cm, or quite expensive and complicated to deploy. We carried out a field experiment to explore the possibility of tuning a well-known, low-cost acoustic radar (sodar), commonly used in atmospheric physics, to detect and track consumer drones. The vertical position of a small drone retrieved by a single-sodar antenna turned out to be in good agreement with that measured by its onboard GPS (correlation coefficient 0.93), and no significant bias was observed. Despite being preliminary, these results support the use of such a technique to retrieve reliably the position of small unmanned aerial vehicles. © 2018 IEEE.</t>
  </si>
  <si>
    <t>Acoustic radar; acoustic targeting; drone; sodar; Antennas; Drones; Geophysics; Object detection; Personal computing; Radar; Acoustic radars; Atmospheric physics; Correlation coefficient; Criminal activities; Small unmanned aerial vehicles; sodar; Surveillance operations; Vertical positions; acoustic data; antenna; GPS; radar altimetry; remotely operated vehicle; smuggling; Target drones</t>
  </si>
  <si>
    <t>10.1109/LGRS.2018.2858930</t>
  </si>
  <si>
    <t>https://www.scopus.com/inward/record.uri?eid=2-s2.0-85051406744&amp;doi=10.1109%2fLGRS.2018.2858930&amp;partnerID=40&amp;md5=3d5f6776ff39f62a2ab47af01d8fddf1</t>
  </si>
  <si>
    <t>P69</t>
  </si>
  <si>
    <t>Fallast, A.; Ghoddousi, A.</t>
  </si>
  <si>
    <t>System Identification of a Multicopter Powertrain with Degradation for Simulation-Based Training of a Fault Detection Neural Network</t>
  </si>
  <si>
    <t>Aircraft icing has been identified as a major safety issue for manned urban air mobility (UAM) and unmanned aerial vehicles (UAV) likewise. Therefore we aim at identify legal and technical prerequisites to ensure safe operation of multicopter UAV under adverse weather conditions and evaluation of possibilities for algorithm based in-flight ice detection. The approach pursued is based on a machine learning methods using ideas of anomaly detection by analyzing measurements readily accessible at commercially available flight controllers. To allow for training of a convolutional neural network capable of detecting ice accretion anomalies without a dedicated sensor, an appropriate amount of measured and/or simulated data shall be generated. Therefore, a simulation model for ice accretion and performance degradation under icing condition on a powertrain for a UAV with a take-off mass of 25kg is derived. Data are gathered at test campaigns for varying icing conditions within the CS25, Appendix C envelope in a climate wind tunnel. A data driven approach (Dynamic decomposition with Control, DMDc) is chosen for system identification. Simulated data then augments measured data (hybrid dataset) to achieve the desired amount of labeled timeseries data for signal preprocessing and machine learning for ice accretion detection. The high-fidelity simulation model allows future extension of UAV simulation models for the flight under adverse weather conditions. The algorithm-based icing detection approach requires no dedicated ice sensor on the rotor, is computationally cheap and shown to be reliable. Thus, it might be implemented on embedded systems avionics and flight controller hardware without hitting hardware limitations. © 2024, American Institute of Aeronautics and Astronautics Inc, AIAA. All rights reserved.</t>
  </si>
  <si>
    <t>Aircraft detection; Control towers; Convolutional neural networks; Cracking (chemical); Feedback control; Flight envelopes; Flight simulators; Ice control; Invariance; Robot learning; Snow and ice removal; Training aircraft; Wind stress; Adverse weather; Aerial vehicle; Condition; Faults detection; Flight controllers; Ice accretion; Icing conditions; Simulation model; Simulation-based training; System-identification; Unmanned aerial vehicles (UAV)</t>
  </si>
  <si>
    <t>10.2514/6.2024-4568</t>
  </si>
  <si>
    <t>https://www.scopus.com/inward/record.uri?eid=2-s2.0-85204189641&amp;doi=10.2514%2f6.2024-4568&amp;partnerID=40&amp;md5=fd345ed294bc38a41be2d79fee4a1693</t>
  </si>
  <si>
    <t>P690</t>
  </si>
  <si>
    <t>An efficient UAV hijacking detection method using onboard inertial measurement unit</t>
  </si>
  <si>
    <t>With the fast growth of civil drones, their security problems meet significant challenges. A commercial drone may be hijacked by a GPS-spoofing attack for illegal activities, such as terrorist attacks. The target of this article is to develop a technique that only uses onboard gyroscopes to determine whether a drone has been hijacked. Ideally, GPS data and the angular velocities measured by gyroscopes can be used to estimate the acceleration of a drone, which can be further compared with the measurement of the accelerometer to detect whether a drone has been hijacked. However, the detection results may not always be accurate due to some calculation and measurement errors, especially when no hijacking occurs in curve trajectory situations. To overcome this, in this article, we propose a novel and simple method to detect hijacking only based on gyroscopes' measurements and GPS data, without using any accelerometer in the detection procedure. The computational complexity of our method is very low, which is suitable to be implemented in the drones with micro-controllers. On the other hand, the proposed method does not rely on any accelerometer to detect attacks, which means it receives less information in the detection procedure and may reduce the results accuracy in some special situations. While the previous method can compensate for this flaw, the high detection results also can be guaranteed by using the above two methods. Experiments with a quad-rotor drone are conducted to show the effectiveness of the proposed method and the combination method. © 2018 Association for Computing Machinery.</t>
  </si>
  <si>
    <t>Accelerometers; Drones; Global positioning system; Gyroscopes; Terrorism; Combination method; Detection methods; Illegal activities; Inertial measurement unit; Security problems; SIMPLE method; Spoofing attacks; Terrorist attacks; Aircraft detection</t>
  </si>
  <si>
    <t>10.1145/3289390</t>
  </si>
  <si>
    <t>https://www.scopus.com/inward/record.uri?eid=2-s2.0-85061097345&amp;doi=10.1145%2f3289390&amp;partnerID=40&amp;md5=ba2d0da3d77a24c76b6e76e318c6a6a7</t>
  </si>
  <si>
    <t>P691</t>
  </si>
  <si>
    <t>King, S.; Leon, J.; Mulcahy, M.; Jackson, L.A.; Corbett, B.</t>
  </si>
  <si>
    <t>Condition survey of coastal structures using UAV and photogrammetry</t>
  </si>
  <si>
    <t>Rock seawalls and groynes are common coastal structures, but these flexible type structures can be damaged. Monitoring of these structures, particularly after severe events, can enable repairs to be implemented economically before a major and costly failure occurs. The conventional method, until recently, has been topographic surveys based on total stations or GNSS and ground observations, which can be time consuming, costly, may not fully identify movement or cracking of individual rocks, and can present WH&amp;S issues. This paper investigates the application, accuracy and limitations of UAV (drones) mounted with high-definition cameras. These relatively low cost systems can, with correct operation, ground control and data processing, produce accurate 3D topographical surveys of structures (&lt; 0.1 m precision). As an example, a drone mounted with a 12Mp camera was recently used to capture a 1.1km length of Belongil Beach, Byron Bay NSW, which included several rock boulder/rubble seawalls. The drone is owned and operated under CASA regulations by University of Sunshine Coast. Aerial photos were captured along a pre-programmed flight path with 80% overlap, at a drone elevation of 70m above ground, with collection of GNSS base data, and ground control, requiring two hours. The aerial images were processed using photogrammetric software (Agisoft Photoscan) to produce very accurate digital elevation models and orthophoto mosaics based on Structure-from-Motion algorithms. The quality of the topographical survey was determined to have a precision and vertical accuracy similar or better than airborne LiDAR with root-mean-square error values of less than 0.1 m for residuals, capturing the dimensions and position of individual rocks across the seawall structure. The topographic survey and orthophoto mosaics successfully provided an accurate and cost-effective 3D snapshot of the seawalls that, in turn, provided data for repair of the seawalls as well as updrift and down drift erosion scarps. © Australasian Coasts and Ports 2017 Conference. All rights reserved.</t>
  </si>
  <si>
    <t>Condition Survey; Drones; Monitoring; Seawall; Structure-from-Motion; Unmanned Aerial Vehicle; Antennas; Cameras; Coastal engineering; Cost effectiveness; Data handling; Drones; Fighter aircraft; Global positioning system; Mean square error; Monitoring; Photogrammetry; Retaining walls; Rock mechanics; Rocks; Surveys; Underwater foundations; Unmanned aerial vehicles (UAV); Condition surveys; Conventional methods; Digital elevation model; Photogrammetric software; Root mean square errors; Structure from motion; Structure from motion algorithm; Topographic surveys; Aerial photography</t>
  </si>
  <si>
    <t>https://www.scopus.com/inward/record.uri?eid=2-s2.0-85055086918&amp;partnerID=40&amp;md5=579c0bf2d7e9f04ef5427b41d23421a1</t>
  </si>
  <si>
    <t>P692</t>
  </si>
  <si>
    <t>Rani, C.; Modares, H.; Sriram, R.; Mikulski, D.; Lewis, F.L.</t>
  </si>
  <si>
    <t>Security of unmanned aerial vehicle systems against cyber-physical attacks</t>
  </si>
  <si>
    <t>The federal aviation administration has estimated that by the year 2020, the United States will have over 30,000 drones. Nowadays, drones, also known as unmanned aerial vehicles (UAVs), are ubiquitous and have numerous uses beyond military applications. This is because UAVs can be used in hazardous missions, since they exclude the risk factors involved in manned vehicles. Despite their benefits, UAVs are prone to attacks as they are equipped with numerous on-board sensors to gather data and this exposes them to various vulnerabilities. More precisely, in the absence of manual control, an attacker can gain access to sensitive sensory data and feed fraudulent information to the UAV. As a result, it can be reprogrammed to an undesirable effect and this can cause irreversible damage. This paper provides a general overview of current hacking methods, and defense and trust strategies to overcome cyber attacks on UAVs. To further highlight the importance of the requirement of developing new methods to avoid any intrusion, a hacking procedure is implemented on a commercially available UAV and its severe results are demonstrated. It is shown that the hacker can make irreparable damage and take complete control over the UAV by compromising the communication link between the operator and UAV and uses Robot Operating System-based tools to alter the flight path. © The Author(s) 2015.</t>
  </si>
  <si>
    <t>cyber-physical attacks; hacking; security; trust; Unmanned aerial vehicle; Aircraft control; Computer crime; Drones; Military applications; Military vehicles; Personal computing; Vehicles; Cyber physicals; Federal Aviation Administration; Irreversible damage; Robot operating system; security; trust; Undesirable effects; Unmanned aerial vehicle systems; Unmanned aerial vehicles (UAV)</t>
  </si>
  <si>
    <t>10.1177/1548512915617252</t>
  </si>
  <si>
    <t>https://www.scopus.com/inward/record.uri?eid=2-s2.0-84977544270&amp;doi=10.1177%2f1548512915617252&amp;partnerID=40&amp;md5=c1f87ef5b5f5ab0ccde2ec55d89bf1b4</t>
  </si>
  <si>
    <t>P693</t>
  </si>
  <si>
    <t>Rodday, N.M.; De Schmidt, R.O.; Pras, A.</t>
  </si>
  <si>
    <t>Exploring security vulnerabilities of unmanned aerial vehicles</t>
  </si>
  <si>
    <t>We are currently observing a significant increase in the popularity of Unmanned Aerial Vehicles (UAVs), popularly also known by their generic term drones. This is not only the case for recreational UAVs, that one can acquire for a few hundred dollars, but also for more sophisticated ones, namely professional UAVs, whereby the cost can reach several thousands of dollars. These professional UAVs are known to be largely employed in sensitive missions such as monitoring of critical infrastructures and operations by the police force. Given these applications, and in contrast to what we have been seeing for the case of recreational UAVs, one might assume that professional UAVs are strongly resilient to security threats. In this demo we prove such an assumption wrong by presenting the security gaps of a professional UAV, which is used for critical operations by police forces around the world. We demonstrate how one can exploit the identified security vulnerabilities, perform a Man-in-the-Middle attack, and inject control commands to interact with the compromised UAV. In addition, we discuss appropriate countermeasures to help improving the security and resilience of professional UAVs. © 2016 IEEE.</t>
  </si>
  <si>
    <t>Law enforcement; Network security; Professional aspects; Unmanned aerial vehicles (UAV); Control command; Critical operations; Generic term; Man in the middle attacks; Police forces; Security gap; Security threats; Security vulnerabilities; Security of data</t>
  </si>
  <si>
    <t>10.1109/NOMS.2016.7502939</t>
  </si>
  <si>
    <t>https://www.scopus.com/inward/record.uri?eid=2-s2.0-84979741960&amp;doi=10.1109%2fNOMS.2016.7502939&amp;partnerID=40&amp;md5=027b103bcb0057017ff2c087c16af89a</t>
  </si>
  <si>
    <t>P694</t>
  </si>
  <si>
    <t>Zhang, Y.R.; Huang, Y.-R.; Thumann, C.</t>
  </si>
  <si>
    <t>Noise and LPI radar as part of counter-drone mitigation system measures</t>
  </si>
  <si>
    <t>With the rapid proliferation of small unmanned aerial systems (UAS) in the national airspace, small operational drones are being sometimes considered as a security threat for critical infrastructures, such as sports stadiums, military facilities, and airports. There have been many civilian counter-drone solutions and products reported, including radar and electromagnetic counter measures. For the current electromagnetic solutions, they are usually limited to particular type of detection and counter-measure scheme, which is usually effective for the specific type of drones. Also, control and communication link technologies used in even RC drones nowadays are more sophisticated, making them more difficult to detect, decode and counter. Facing these challenges, our team proposes a "software-defined" solution based on noise and LPI radar. For the detection, wideband-noise radar has the resolution performance to discriminate possible micro-Doppler features of the drone versus biological scatterers. It also has the benefit of more adaptive to different types of drones, and covertly detecting for security application. For counter-measures, random noise can be combined with "random sweeping" jamming scheme, to achieve the optimal balance between peak power allowed and the effective jamming probabilities. Some theoretical analysis of the proposed solution is provided in this study, a design case study is developed, and initial laboratory experiments, as well as outdoor tests are conducted to validate the basic concepts and theories. The study demonstrates the basic feasibilities of the Drone Detection and Mitigation Radar (DDMR) concept, while there are still much work needs to be done for a complete and field-worthy technology development. © 2017 SPIE.</t>
  </si>
  <si>
    <t>counter-drone; detection; Drone; jamming; Noise radar; small UAS; Airport security; Drones; Error detection; Jamming; Radar; Radar equipment; Spurious signal noise; Tracking radar; Biological scatterers; Laboratory experiments; National air spaces; Security application; Small UAS; Technology development; Unmanned aerial systems; Wideband noise radars; Unmanned aerial vehicles (UAV)</t>
  </si>
  <si>
    <t>10.1117/12.2262221</t>
  </si>
  <si>
    <t>https://www.scopus.com/inward/record.uri?eid=2-s2.0-85022040774&amp;doi=10.1117%2f12.2262221&amp;partnerID=40&amp;md5=559895c52ebbae0bc6ab84f9d3abae4b</t>
  </si>
  <si>
    <t>P695</t>
  </si>
  <si>
    <t>Sudiatmika, I.P.G.A.</t>
  </si>
  <si>
    <t>Segmentation of crack area on road image using Lacunarity method</t>
  </si>
  <si>
    <t>Roads have become an important element in city planning. By having a good quality road, a city will be able to provide better access and accommodation which will support the economy and eventually the country development. However, problems arise when the roads are easily cracked and holed. Maintenance and construction must become a priority. Periodical checking is one of the important strategies to supervise, maintain, and monitor the roads 'conditions. Nevertheless, in checking the roads' condition, the employees are still using the manual method, in which they directly come to the roads and check them manually. This manual method is considered inefficient in the terms of duration, the numbers of workers, and accuracy because it is still using merely human power. Detection on roads cracks can be detected by using digital image processing. First of all, the figure of the roads can be taken by using a drone (unmanned aerial vehicle) and analyzed in a laboratory to determine the cracked roads which should be fixed immediately. This study is aimed to develop segmenting images on the road in order to facilitate the identification of cracks on the road. This research described the image segmentation of lacunarity method. The new method proposed in this research utilized the concept of mapping lacunarity values to separate cracked area on the road image. This present study aimed at conducting cracked roads image segmentation and detection by using a drone. The new method which was coined out in this study implemented the concept of Lacuranity mapping values to separate the cracked areas on roads images. Extracted texture feature through Lacuranity values on the images was really helpful in detecting and segmenting the cracks, primarily on the images with the same gray scale between the cracked areas and the road. © 2017 IEEE.</t>
  </si>
  <si>
    <t>Aircraft detection; Cracks; Drones; Highway administration; Image processing; Image segmentation; Mapping; Roads and streets; Transportation; Unmanned aerial vehicles (UAV); Gray scale; Human power; Lacunarity; Manual methods; Road images; Texture features; Crack detection</t>
  </si>
  <si>
    <t>10.1109/CITSM.2017.8089316</t>
  </si>
  <si>
    <t>https://www.scopus.com/inward/record.uri?eid=2-s2.0-85040232645&amp;doi=10.1109%2fCITSM.2017.8089316&amp;partnerID=40&amp;md5=0203dbf08839aa679b3733dacc32117c</t>
  </si>
  <si>
    <t>P696</t>
  </si>
  <si>
    <t>Panice, G.; Luongo, S.; Gigante, G.; Pascarella, D.; Di Benedetto, C.; Vozella, A.; Pescape, A.</t>
  </si>
  <si>
    <t>A SVM-based detection approach for GPS spoofing attacks to UAV</t>
  </si>
  <si>
    <t>Today, the necessity of strong cyber security measures is self-evident. The proliferation of cyber attacks is causing increasing damage to companies, governments and individuals and it is not just the number of cyber security attacks that is increasing: the severity of these attacks is on the rise as well. In particular, aviation systems and Remotely Piloted Aircraft Systems are of highest importance in terms of safety and security. In this paper, we introduce a novel approach to the detection of Global Positioning System (GPS) spoofing attack to Unmanned Aerial Vehicle (UAV) based on the analysis of state estimation using the Support Vector Machine (SVM) as a tool for the anomaly detection. © 2017 Chinese Automation and Computing Society in the UK - CACSUK.</t>
  </si>
  <si>
    <t>Cyber attack; GPS spoofing; RPAS; Security; UAV; Automation; Computer crime; Crime; Global positioning system; Network security; Support vector machines; Unmanned aerial vehicles (UAV); Anomaly detection; Aviation systems; Cyber-attacks; Detection approach; Remotely piloted aircraft; RPAS; Safety and securities; Security; Aircraft detection</t>
  </si>
  <si>
    <t>10.23919/IConAC.2017.8081999</t>
  </si>
  <si>
    <t>https://www.scopus.com/inward/record.uri?eid=2-s2.0-85040003528&amp;doi=10.23919%2fIConAC.2017.8081999&amp;partnerID=40&amp;md5=d58648ce5bb475003ec28bbbd6c32af3</t>
  </si>
  <si>
    <t>P697</t>
  </si>
  <si>
    <t>Vattapparamban, E.; Güvenç, I.; Yurekli, A.I.; Akkaya, K.; Uluaǧaç, S.</t>
  </si>
  <si>
    <t>Drones for smart cities: Issues in cybersecurity, privacy, and public safety</t>
  </si>
  <si>
    <t>It is expected that drones will take a major role in the connected smart cities of the future. They will be delivering goods and merchandise, serving as mobile hot spots for broadband wireless access, and maintaining surveillance and security of smart cities. However, pervasive use of drones for future smart cities also brings together several technical and societal concerns and challenges that needs to be addressed, including in the areas of cybersecurity, privacy, and public safety. Drones, while can be used for the betterment of the society, can also be used by malicious entities to conduct physical and cyber attacks, and threaten the society. The goal of this survey paper is to review various aspects of drones in future smart cities, relating to cybersecurity, privacy, and public safety. We will also provide representative results on cyber attacks using drones. © 2016 IEEE.</t>
  </si>
  <si>
    <t>Drones; Internet of Things (IoT); Privacy; Search and rescue; Security; UAVs; VPN; WiFi Pineapple; Computer crime; Crime; Data privacy; Internet of things; Mobile computing; Network security; Unmanned aerial vehicles (UAV); Wireless telecommunication systems; Broadband wireless accesss; Cyber security; Internet of Things (IOT); Malicious entity; Public safety; Search and rescue; Security; Societal concerns; Drones</t>
  </si>
  <si>
    <t>10.1109/IWCMC.2016.7577060</t>
  </si>
  <si>
    <t>https://www.scopus.com/inward/record.uri?eid=2-s2.0-84994184718&amp;doi=10.1109%2fIWCMC.2016.7577060&amp;partnerID=40&amp;md5=2a0ed0625f8272778989e2ab67670a1a</t>
  </si>
  <si>
    <t>P698</t>
  </si>
  <si>
    <t>Seo, S.-H.; Won, J.; Bertino, E.; Kang, Y.; Choi, D.</t>
  </si>
  <si>
    <t>A security framework for a drone delivery service</t>
  </si>
  <si>
    <t>Delivery drones are unmanned aerial vehicles (UAV) utilized to transport packages, food, medicine, or other goods. With high demand for a prompt and efficient delivery, a drone delivery system can be an effective solution for timely deliveries and especially for emergency management. However, current delivery drone systems lack crucial security functions. Drones may have to operate in unsupervised hostile areas, and therefore be vulnerable to physical capture in addition to conventional cyber attacks. A captured drone can be analyzed by a white-box attack model in which the attacker has full control over the execution environment of cryptographic modules in static and dynamic methods including all side-channel information. In this paper, we propose and evaluate a security framework which utilizes white-box cryptography in order to protect critical data and cryptographic keys in delivery drones from white-box attacks. The experimental results show that the proposed framework is cost effective in terms of resource usage and thus is suitable even for resource-limited UAV. © 2016 ACM.</t>
  </si>
  <si>
    <t>Drone delivery service; Security framework; White-box cryptography; Cost effectiveness; Cryptography; Drones; Medicine; Micro air vehicle (MAV); Risk management; Side channel attack; Vehicles; Cryptographic Module; Delivery service; Effective solution; Emergency management; Execution environments; Security frameworks; Side-channel information; White-box cryptographies; Unmanned aerial vehicles (UAV)</t>
  </si>
  <si>
    <t>10.1145/2935620.2935629</t>
  </si>
  <si>
    <t>https://www.scopus.com/inward/record.uri?eid=2-s2.0-84979885686&amp;doi=10.1145%2f2935620.2935629&amp;partnerID=40&amp;md5=0a7c0d24a022db5f6c814239c541945e</t>
  </si>
  <si>
    <t>P699</t>
  </si>
  <si>
    <t>Johansson, R.; Hammar, P.; Thoren, P.</t>
  </si>
  <si>
    <t>On simulation-based adaptive UAS behavior during jamming</t>
  </si>
  <si>
    <t>We address the issue of autonomously planning a flight path for a remotely controlled surveillance aircraft when control is lost due to jamming. An optimization problem arises where we want the aircraft to continue surveying in the jammed area so that a possible attack does not go unnoticed, but we want the aircraft to leave the jammed area (and report any collected information) while there is still time to respond and take defensive measures. We formulate this as a stochastic approximation problem, involving state parameters and a discrete set of path options (specifying candidate Bezier curves), and train on simulated data from realistic scenarios. The result is a discussion how to acquire a policy which considers both realistic tactical scenarios with varying initial values and simulated sensor characteristic. © 2017 IEEE.</t>
  </si>
  <si>
    <t>Air traffic control; Fighter aircraft; Jamming; Space surveillance; Stochastic control systems; Stochastic systems; Defensive measures; Discrete sets; Optimization problems; Realistic scenario; Sensor characteristics; State parameters; Stochastic approximations; Surveillance aircrafts; Unmanned aerial vehicles (UAV)</t>
  </si>
  <si>
    <t>10.1109/RED-UAS.2017.8101647</t>
  </si>
  <si>
    <t>https://www.scopus.com/inward/record.uri?eid=2-s2.0-85047601060&amp;doi=10.1109%2fRED-UAS.2017.8101647&amp;partnerID=40&amp;md5=4c485f60833b29e0316b253ff7125e29</t>
  </si>
  <si>
    <t>P7</t>
  </si>
  <si>
    <t>Alhamraa, A.M.; Shahrani, A.O.; Dossary, B.N.; Obayaih, S.N.</t>
  </si>
  <si>
    <t>The Future of Field Operations: Unmanned Aerial Systems Innovating Safety and Efficiency in Khurais</t>
  </si>
  <si>
    <t>This paper explores the transformative impact of unmanned aerial systems (UAS) on operational efficiency, safety, and emergency response within the Khurais oil fields. By integrating sophisticated drone technology, significant improvements have been achieved in routine inspections, leak detection, and emergency scenarios. The study highlights the pivotal role of drones in enhancing operational excellence, providing a model for innovation in the oil and gas industry. Copyright 2024, Society of Petroleum Engineers.</t>
  </si>
  <si>
    <t>Drones; Gasoline; Petroleum engineering; Emergency response; Emergency scenario; Field operation; Leaks detections; Operational efficiencies; Operational emergency; Operational safety; Routine inspection; Safety and efficiencies; Unmanned aerial systems; Gas industry</t>
  </si>
  <si>
    <t>10.2118/220385-MS</t>
  </si>
  <si>
    <t>https://www.scopus.com/inward/record.uri?eid=2-s2.0-85205676647&amp;doi=10.2118%2f220385-MS&amp;partnerID=40&amp;md5=7c623ec27a78bf91960ede6f0a915c27</t>
  </si>
  <si>
    <t>P70</t>
  </si>
  <si>
    <t>Rathinasamy, D.; Sivaramakrishnan, R.; Pavithra, R.; Kaliappan, V.K.</t>
  </si>
  <si>
    <t>Safety and security challenges in implementing urban air mobility</t>
  </si>
  <si>
    <t>Urban air mobility (UAM) is a new concept of transportation that has the potential to revolutionize urban mobility by providing efficient, fast, and environmentally friendly solutions for urban transportation. This chapter provides a comprehensive overview of UAM, its potential benefits, and challenges. It explores the need for UAM and the challenges it presents in terms of safety and security. The chapter discusses the different types of security measures, including passive, preventive, active, and destructive measures, and emphasizes the importance of comprehensive measures to address these challenges. Additionally, this chapter highlights the limitations of existing research on UAM and the need for further studies to fully understand the implications of UAM implementation in urban areas. While UAM has the potential to revolutionize urban transportation, it also presents significant challenges that must be addressed through continued research, planning, and collaboration between stakeholders to ensure its safe and sustainable implementation in the future. © 2024 River Publishers. All rights reserved.</t>
  </si>
  <si>
    <t>Cyber-attacks; Detection methods; Unmanned aerial vehicle</t>
  </si>
  <si>
    <t>https://www.scopus.com/inward/record.uri?eid=2-s2.0-85203350895&amp;partnerID=40&amp;md5=9694cb74679db47ca940dc9e1a843a01</t>
  </si>
  <si>
    <t>P700</t>
  </si>
  <si>
    <t>He, S.; Wu, Q.; Liu, J.; Hu, W.; Qin, B.; Li, Y.-N.</t>
  </si>
  <si>
    <t>Secure communications in unmanned aerial vehicle network</t>
  </si>
  <si>
    <t>The unmanned aerial vehicle (UAV) network has attracted much attention in industry and academia. However, a UAV as a vital information carrier and data relay platform is prone to various attacks. In this paper, we propose a secure communication scheme for UAV network. In our scheme, each drone maintains and manages an area in which the authorized devices can obtain a broadcast key without an online centralized authority. By employing the hierarchical identity-based broadcast encryption and pseudonym mechanism, all the devices in this system can broadcast encrypted messages anonymously and decrypt the legal ciphertext. The analysis shows that our scheme satisfies four important security properties of confidentiality, authentication, partial privacy-preservation and resistance to denial of service attacks. Experiments show that our scheme incurs a delay of only a couple of milliseconds. © 2017, Springer International Publishing AG.</t>
  </si>
  <si>
    <t>Mutual authentication; Secure communication; Unmanned aerial vehicle; Authentication; Cryptography; Denial-of-service attack; Secure communication; Security of data; Security systems; Unmanned aerial vehicles (UAV); Vehicles; Encrypted messages; Identity-based broadcast encryptions; Information carriers; Mutual authentication; Privacy preservation; Secure communication scheme; Security properties; Various attacks; Network security</t>
  </si>
  <si>
    <t>10.1007/978-3-319-72359-4_37</t>
  </si>
  <si>
    <t>https://www.scopus.com/inward/record.uri?eid=2-s2.0-85038111558&amp;doi=10.1007%2f978-3-319-72359-4_37&amp;partnerID=40&amp;md5=067289935e53f8ccf27e3f93d9be13b3</t>
  </si>
  <si>
    <t>P701</t>
  </si>
  <si>
    <t>McMilin, E.; De Lorenzo, D.S.; Walter, T.; Lee, T.H.; Enge, P.</t>
  </si>
  <si>
    <t>Single antenna GPS spoof detection that is simple, static, instantaneous and backwards compatible for aerial applications</t>
  </si>
  <si>
    <t>Despite the antenna's privileged position as the first line of defense against interferers, jammers and spoofers, most detection and mitigation techniques are realized in the receiver's backend signal processing blocks. Nonetheless, these solutions often require considerable additional hardware added to the receiver's frontend and antenna design. For example, multi-antenna arrays replace a single antenna design for the purpose of detection/mitigation of interfer-ence, jamming [1] and spoofing [2] [3]. Among the single antenna detection/mitigation designs, some form of antenna movement over time is required. For example, the use of a synthetic aperture [4] and the generation of high frequency antenna motion [5] has been proposed for spoof detection/mitigation. All of the aforementioned innovations utilize additional signal processing blocks in the back- end, in conjunction with the supplemented frontend hardware, to achieve their intended goals. A primary technique for achieving this type of adaptability in sub-wavelength single antenna systems is the use of discrete circuit components on or near the antenna element [6]. Circuit components manipulating signals in the RF domain can achieve analog "signal processing" directly on the antenna, essentially eliminating additional computa-tional complexity. However, signal processing in the digital domain often affords far more flexibility and applicability. The primary limitation of this design is that the spoof- detection technique is most effective when spoofed signals are originating from a source below the antenna, thus limiting its applicability to predominantly aerial implementations. Nonetheless, we feel this solution is well suited to the form-factor and payload constraints that aerial applications such as commercial aviation and UAVs demand. Additionally, we introduce some techniques for extending the applicability of this design. In our design we simply add an electronic switch inside the radome of the antenna that permits high speed switching from the default radiation pattern that is predominantly right-hand circularly polarized (RHCP) to one that is predominantly left-hand circularly polarized (LHCP), in the upper hemisphere of the antenna. However, at very low angles of elevation and generally below the antenna, the radiation pattern is neither predominantly RHCP or LHCP [7], so the switching has little effect on the radiation pattern at all. We can exploit this expected telltale drop in the received SNR or C/Nq to identify if the signal is originating from above the antenna or from below it, and thus, if the signal is genuine or spoofed. Copyright © (2014) by the Institute of Navigation All rights reserved.</t>
  </si>
  <si>
    <t>Antenna arrays; Circular polarization; Design; Electric switches; Global positioning system; Hardware; Jamming; Satellite antennas; Signal detection; Signal processing; Signal receivers; Signal to noise ratio; Synthetic apertures; Aerial application; Circuit components; Circularly polarized; Electronic switches; High-speed switching; Mitigation techniques; Payload constraints; Single antenna systems; Directional patterns (antenna)</t>
  </si>
  <si>
    <t>https://www.scopus.com/inward/record.uri?eid=2-s2.0-84939218214&amp;partnerID=40&amp;md5=20836b766af157fcd0051f11ef988b66</t>
  </si>
  <si>
    <t>P702</t>
  </si>
  <si>
    <t>Fulghum, D.A.</t>
  </si>
  <si>
    <t>Battlefield buzz</t>
  </si>
  <si>
    <t>The role of unmanned jamming aircraft used by U.S. over Iraq to block and confuse communications is discussed. Electronic emitters powerful enough to jam radars are too heavy to be carried even by the services' three largest unmanned air vehicles (UAVs)-the Predator A, Predator B and Global Hawk. UAVs with small communications jammers fill a gaping void in tactical aviation where even relatively low-power devices are effective when flown close to the radios they are trying to jam.</t>
  </si>
  <si>
    <t>Jamming; Military aircraft; Military radar; Radio communication; Unmanned vehicles; Unmanned air vehicles (UAV); Military operations</t>
  </si>
  <si>
    <t>https://www.scopus.com/inward/record.uri?eid=2-s2.0-0037463873&amp;partnerID=40&amp;md5=3dadeaf7e0fb363912477ed09c4a3e07</t>
  </si>
  <si>
    <t>P703</t>
  </si>
  <si>
    <t>Gergovemi, S.; Panchev, C.</t>
  </si>
  <si>
    <t>Vulnerability testing of wireless access points using Unmanned Aerial Vehicles (UAV)</t>
  </si>
  <si>
    <t>Wireless networks are essential part of our everyday life - we are using them at home, workplace, cafe shops and many other public places. Moreover, people trust such connections and readily use them to transfer sensitive information. With an explosive increase of their use we need expand the aspect of evaluating the security issues wireless networks. Majority of household are using the latest secured protocols the WPA2 with a government grade standard nowadays. These protocols are still vulnerable to dictionary attacks that are normally carried out by recording three-way handshakes between the wireless router and the connected client. This method is really common and widely used - its success depends on the strength of the password being used. The research presented here shows another efficient method of hijacking and breaking into home networks is by using a Man-in-the-Middle type attack. The proposed system is implemented on a Raspberry Pi carried by a drone. While until recently UAV's (Unmanned Aerial Vehicles) have been used mainly by militaries and some specialist organisations, nowadays they have become widely available, cheaper and user friendly. The use of a drone allows the system to cover a wide area of potential targets as well as relatively quickly move from one target and WiFi network to another. The system is based on war flying using commercially available drones (Wang, 2006). The main goal of this project is to be able to hijack a wireless connection session between a connected tablet PC and Access Point using WPA2 encryption. We will be able to automate a Man in the Middle attack just by flying the drone around a certain area, setting up a rogue access point and being able to harvest important credentials from the targeted wireless networks and connected devices. The system is based on a number of open source Wi-Fi penetration testing and configuration tools including iwconfig or airmon-ng and custom scripts. The drone payload (Raspberry Pi B+) is using two wireless dongles; one for monitoring the wireless networks and the other one for being the rogue access point. The Raspberry Pi is powered by a 1000 mAh battery and carried by a DJI Phantom Drone. The device is also capable of other types of attacks. Such as disconnecting devices from its currently connected networks or causing denial of service attack against wireless routers/hubs while remaining stealthy to the victim(s) and operating from a distance.</t>
  </si>
  <si>
    <t>Drone; Evil twin; Hijacking; Raspberry pi; Rogue AP; War flying; Wireless; Antennas; Authentication; Drones; Mobile security; Network security; Personal communication systems; Routers; Wi-Fi; Wide area networks; Access points; Aerial vehicle; Evil twin; Hijacking; Man in the middle; Raspberry pi; Rogue AP; Vulnerability testing; War flying; Wireless routers; Wireless local area networks (WLAN)</t>
  </si>
  <si>
    <t>https://www.scopus.com/inward/record.uri?eid=2-s2.0-84940761295&amp;partnerID=40&amp;md5=9d6bcd8e3eac2cc128f46965ac032a81</t>
  </si>
  <si>
    <t>P704</t>
  </si>
  <si>
    <t>Samland, F.; Fruth, J.; Hildebrandt, M.; Hoppe, T.; Dittmann, J.</t>
  </si>
  <si>
    <t>AR.Drone: Security threat analysis and exemplary attack to track persons</t>
  </si>
  <si>
    <t>In this article we illustrate an approach of a security threat analysis of the quadrocopter AR.Drone, a toy for augmented reality (AR) games. The technical properties of the drone can be misused for attacks, which may relate security and/or privacy aspects. Our aim is to sensitize for the possibility of misuses and the motivation for an implementation of improved security mechanisms of the quadrocopter. We focus primarily on obvious security vulnerabilities (e.g. communication over unencrypted WLAN, usage of UDP, live video streaming via unencrypted WLAN to the control device) of this quadrocopter. We could practically verify in three exemplary scenarios that this can be misused by unauthorized persons for several attacks: high-jacking of the drone, eavesdropping of the AR.Drones unprotected video streams, and the tracking of persons. Amongst other aspects, our current research focuses on the realization of the attack of tracking persons and objects with the drone. Besides the realization of attacks, we want to evaluate the potential of this particular drone for a "safe-landing" function, as well as potential security enhancements. Additionally, in future we plan to investigate an automatic tracking of persons or objects without the need of human interactions. © 2012 SPIE-IS&amp;T.</t>
  </si>
  <si>
    <t>Security and privacy issues; Tracking of persons; UAV; Algorithms; Augmented reality; Image processing; Intelligent robots; Target drones; Unmanned aerial vehicles (UAV); Video streaming; Automatic tracking; Control device; Human interactions; Live video streaming; Privacy aspects; Security and privacy issues; Security enhancements; Security mechanism; Security threats; Security vulnerabilities; Technical properties; Video streams; Security systems</t>
  </si>
  <si>
    <t>10.1117/12.902990</t>
  </si>
  <si>
    <t>https://www.scopus.com/inward/record.uri?eid=2-s2.0-84857024680&amp;doi=10.1117%2f12.902990&amp;partnerID=40&amp;md5=82bd3c570feb17c585c65d51120caf19</t>
  </si>
  <si>
    <t>P705</t>
  </si>
  <si>
    <t>Statement of Todd Humphreys, assistant professor, the university of Texas at Austin. Hearing on "using unmanned aerial systems within the homeland: Security game changer?"</t>
  </si>
  <si>
    <t>Military Global Positioning System (GPS) signals have long been encrypted to prevent counterfeiting and unauthorized use. Civil GPS signals, on the other hand, were designed as an open standard, freely-accessible to all. These virtues have made civil GPS enormously popular, but the transparency and predictability of its signals give rise to a dangerous weakness: they can be easily counterfeited, or spoofed. Like Monopoly money, civil GPS signals have a detailed structure but no built-in protection against counterfeiting. Civil GPS is the most popular unauthenticated protocol in the world. The vulnerability of civil GPS to spoofing has serious implications for civil unmanned aerial vehicles (UAVs), as was recently illustrated by a dramatic remote hijacking of a UAV at White Sands Missile Range. The demonstration was conducted by the University of Texas Radionavigation Laboratory at the behest of the Department of Homeland Security (DHS). From a standoff range of a half mile, the University spoofer commandeered the UAV and induced it to plummet toward the desert floor. The results of this demonstration will no doubt factor into the Federal Aviation Administration's (FAA's) plans for integrating UAVs into the national airspace. Hacking a UAV by GPS spoofing is but one expression of a larger problem: insecure civil GPS technology has over the last two decades been absorbed deeply into critical systems within our national infrastructure. Besides UAVs, civil GPS spoofing also presents a danger to manned aircraft, maritime craft, communications systems, banking and finance institutions, and the national power grid. Constructing from scratch a sophisticated GPS spoofer like the one developed by the University of Texas is not easy. It is not within the capability of the average person on the street, or even the average Anonymous hacker. But the emerging tools of software-defined radio and the availability of GPS signal simulators are putting spoofers within reach of ordinary malefactors. There is no quick, easy, and cheap fix for the civil GPS spoofing problem. What is more, not even the most effective GPS spoofing defenses are foolproof. But reasonable, cost-effective spoofing defenses exist which, if implemented, will make successful spoofing much harder. I recommend that for non-recreational operation in the national airspace civil UAVs exceeding 18 lbs be required to employ navigation systems that are spoof-resistant. More broadly, I recommend that GPS-based timing or navigation systems having a non-trivial role in systems designated by DHS as national critical infrastructure be required to be spoof resistant. Finally, I recommend that the DHS commit to funding development and implementation of a cryptographic authentication signature in one of the existing or forthcoming civil GPS signals. © 2013 by Nova Science Publishers, Inc. All rights reserved.</t>
  </si>
  <si>
    <t>Audition; Critical infrastructures; Cryptography; Electric power transmission networks; Marine applications; Navigation systems; Personal computing; Radio navigation; Unmanned aerial vehicles (UAV); Authentication signatures; Communications systems; Department of Homeland Security; Federal Aviation Administration; National infrastructure; Software-defined radios; Unmanned aerial systems; White Sands Missile Range; Global positioning system</t>
  </si>
  <si>
    <t>https://www.scopus.com/inward/record.uri?eid=2-s2.0-84936864657&amp;partnerID=40&amp;md5=21d1cc0721ab2cdcc53c7c8ee7846f00</t>
  </si>
  <si>
    <t>P706</t>
  </si>
  <si>
    <t>Rife, J.; Khanafseh, S.; Pullen, S.; Lorenzo, D.D.; Kim, U.-S.; Koenig, M.; Chiou, T.-Y.; Bar, B.; Pervan, B.</t>
  </si>
  <si>
    <t>Navigation, Interference Suppression, and Fault Monitoring in the Sea-Based Joint Precision Approach and Landing System</t>
  </si>
  <si>
    <t>The United States Navy seeks the capability to land manned and unmanned aerial vehicles autonomously on an aircraft carrier using GPS. To deliver this capability, the Navy is developing a navigation system called the Sea-Based Joint Precision Approach and Landing System (JPALS). Because standard GPS is not sufficiently precise to land aircraft on a shortened, constantly moving runway, Sea-Based JPALS leverages dual-frequency, carrier-phase differential GPS navigation. Carrier phase measurements, derived from the sinusoidal waveforms underlying the GPS signal, are very precise but not necessarily accurate unless the user resolves the ambiguity associated with the sinusoid’s periodicity. Ensuring the validity of ambiguity resolution is the central challenge for the high-integrity, safety-critical JPALS application. Based on a multi-year, multi-institution collaborative study, this paper proposes V. SUMMARY This paper proposed an integrity architecture to enable precise automated landings on the deck of an aircraft carrier for Sea-Based JPALS. The proposed system features a two-stage navigation algorithm designed to meet the rigorous guidance quality specifications of Sea-Based JPALS. Because Sea-Based JPALS may operate under jamming, the impacts of interference suppression technologies on guidance quality were analyzed and a jamming-mitigation strategy using inertial/GPS fusion and adaptive CRPA arrays was recommended. A modified navigation algorithm called decoupled-estimation monitoring was defined to mitigate the integrity risk associated with residual CRPA calibration errors. Finally, a minimal set of monitors were identified to preserve Sea-Based JPALS integrity during system fault events. System architecture and navigation algorithms alleviate the need for several monitoring algorithms required in civilian differential navigation systems such as the Federal Aviation Administration’s Local Area Augmentation System. (These monitors might nonetheless be incorporated in JPALS to improve reliability and streamline system approval). Preliminary availability analyses indicate that the proposed system meets guidance quality requirements whether or not jamming is present and whether or not a hazardous failure has occurred. © 2008 IEEE</t>
  </si>
  <si>
    <t>Aircraft electronics; aircraft landing guidance; global positioning system; JPALS; navigation</t>
  </si>
  <si>
    <t>10.1109/JPROC.2008.2006107</t>
  </si>
  <si>
    <t>https://www.scopus.com/inward/record.uri?eid=2-s2.0-84859270571&amp;doi=10.1109%2fJPROC.2008.2006107&amp;partnerID=40&amp;md5=24468a36d8d1e09358035bd922c949d0</t>
  </si>
  <si>
    <t>P707</t>
  </si>
  <si>
    <t>3rd International Conference on Manufacture Engineering, Quality and Production System, ICMEQP 2014</t>
  </si>
  <si>
    <t>The proceedings contain 194 papers. The special focus in this conference is on Manufacture Engineering, Quality and Production System. The topics include: Synthesis of spherical La2Mo2O9 nanoparticles using sol-gel process; synthesis and catalytic activity of Fe-MCM-41 nanoparticles; photochromic inhibition of dyed veneer covered with modified transparent film; nonlinear TE-polarized surface Plasmons at the interface between graphene and metamaterials; modeling and simulation of reflection mode gallium nitride photocathode; application and development of resin capsules in Chinese coal mines; on detection technologies of pre-stressed duct grouting fullness; voltage phase difference detection for superconductor quench; the research on the hydrolysis and application of the starch from mung beans; real time non-destructive testing methods of welding; real-time weld process monitoring; study on heat aging properties of starch based aqueous polymer isocyanate adhesive for wood; use of glucose to improve the environmental aspects of chrome tanning process; research on machined surface morphology of hardened steels based on machining feature; effect of enzyme washing on the tensile property of denim fabric; comparison of microwave method with traditional method to extract tea polyphenols; finite element analysis of four fracture mechanism in the thermal barrier coating; effects of inhibit woody materials photochromic coated with water-based paints; leak-off coefficient analysis in stimulation treatment design; prediction model of silicon content in hot metal using optimized BP network; customizing procedure of finite element analysis for sheet metal forming; study on pharmaceutical wastewater pretreated by chemical coagulation method; design of PS identification algorithm in ground deformation monitoring; the mechanism movement design of caving tool in CBM; literature review of studies on self-centering bridge pier joint; equilibrium state of football players affected by disturbance; research on the process of liquid droplet impinging on the liquid film; influence of floor opening location on the dynamic characteristics of the building; the effect of the floor openings rate on the dynamic characteristics of the building; intelligent control strategy for complex industrial process with uncertainty; UAV formation control based on the improved APF; design of a playback control system for flight parameter recorder; study on smooth sliding mode control of parallel robot; error analysis of a manipulators; design of elevator controller based on FPGA; reliability study of aviation equipment; a novel unity-gain phase shifter for measuring power system quantities; implementation aware hardware Trojan trigger; research on single transistor open fault diagnosis of photovoltaic grid-connected inverter; computerized automatic generation method of categorized hub spectrum according to its form; data fusion algorithm research based on multi scout radar networking; single chip microcomputer cluster management; theoretical study of solar car based on finite element; optimization of plastic trunk lid molding parameters based on ANN; modular design of combined comfort furniture and Iranian dining table; modular design of combined comfort furniture and Iranian dining table; the design and implementation of spread spectrum communication system; the design of flash network courseware; a linearization regression method to determine life data distribution type; the application of fuzzy comprehensive evaluation method in mine; behavior mode of lead user's participation in NPD in mass customization; research on renewable resources industrial synergy policy system in China; partner selection of green supply chain based on corporate social responsibility; the study on network practice platform of higher college of engineering; an review of research on enterprise green procurement; enterprise inventory management and simulation; reliability evaluation of the crew organization of high-speed railway; the action network of clean development mechanism (CDM) in China; genetic neural network based financial distress prediction; contaminant lock life prediction of double flapper-nozzle servo valve; mould running system design to achieve the minimum waste; views about material application trends in product design; factor analysis on agricultural mechanization level in Changsha and environmental impacts of E-commerce logistics in China.</t>
  </si>
  <si>
    <t>https://www.scopus.com/inward/record.uri?eid=2-s2.0-84902262199&amp;partnerID=40&amp;md5=20b39bba97acb6ba0ecb98724b860cc2</t>
  </si>
  <si>
    <t>P708</t>
  </si>
  <si>
    <t>Neumann, P.P.; Asadi, S.; Bennetts, V.H.; Lilienthal, A.J.; Bartholmai, M.</t>
  </si>
  <si>
    <t>Monitoring of CCS areas using micro unmanned aerial vehicles (MUAVS)</t>
  </si>
  <si>
    <t>Carbon capture &amp; storage (CCS) is one of the most promising technologies for greenhouse gas (GHG) management. However, an unsolved issue of CCS is the development of appropriate long-term monitoring systems for leak detection of the stored CO2. To complement already existing monitoring infrastructure for CO2 storage areas, and to increase the granularity of gas concentration measurements, a quickly deployable, mobile measurement device is needed. In this paper, we present an autonomous gas-sensitive micro-drone, which can be used to monitor GHG emissions, more specifically, CO2. Two different measurement strategies are proposed to address this task. First, the use of predefined sensing trajectories is evaluated for the task of gas distribution mapping using the micro-drone. Alternatively, we present an adaptive strategy, which suggests sampling points based on an artificial potential field (APF). The results of real-world experiments demonstrate the feasibility of using gas-sensitive micro-drones for GHG monitoring missions. Thus, we suggest a multi-layered surveillance system for CO2 storage areas.</t>
  </si>
  <si>
    <t>Artificial potential field; CCS; Gas distribution mapping; Gas-sensitive micro-drone; Sensor planning</t>
  </si>
  <si>
    <t>10.1016/j.egypro.2013.06.320</t>
  </si>
  <si>
    <t>https://www.scopus.com/inward/record.uri?eid=2-s2.0-84898745512&amp;doi=10.1016%2fj.egypro.2013.06.320&amp;partnerID=40&amp;md5=2bf0d32c6497842fddd68104ca66b3ed</t>
  </si>
  <si>
    <t>P709</t>
  </si>
  <si>
    <t>Bering III, E.A.; Edeen, G.; Antiochos, S.K.; DeVore, C.R.; Thompson, B.J.; Carter, M.; Giambusso, M.; Olsen, C.; Squire, J.; Longmier, B.; Larson, D.; McFadden, J.P.; Smith, D.M.</t>
  </si>
  <si>
    <t>ISS space plasma laboratory: An ISS instrument package for investigating the opening/closing of solar and heliospheric magnetic fields</t>
  </si>
  <si>
    <t>We describe a proposed laboratory-experiment research program that will answer the fundamental question: What is the role of reconnection in opening and closing the solar magnetic field? While attacking this question, we will also address the most important, long-standing questions on magnetic reconnection, in all contexts: What determines the rate of reconnection, and whether or not it is bursty? How is the released energy partitioned between thermal, kinetic, and particle? Of course, it seems completely contradictory to use a laboratory experiment to study an open system, because so far all laboratory plasmas have very solid walls. The pioneering feature of our program is that the experiments will be performed on the International Space Station (ISS). Only by going into space can we obtain the open domain that is absolutely essential for studying the observed solar/heliospheric phenomena. We describe a research program that will provide the instrumentation infrastructure, modeling and solar data expertise and initial scientific understanding required to develop the privately funded Aurora electric propulsion package with its VASIMR® VF-200 high powered plasma source into a wall-less, orbiting ISS Space Plasma Laboratory (ISPL) national facility. The VAriable Specific Impulse Magnetoplasma Rocket (VASIMR®) is a high power electric spacecraft propulsion system, capable of Isp/thrust modulation at constant power [E. A. Bering, III, et al., "Observations of single-pass ion cyclotron heating in a transsonic flowing plasma," Phys. Plasmas, 17, 043509, doi: 10.1063/1.3389205, (2010).]. The VASIMR® uses a helicon source to generate plasma. The plasma is leaked though a strong magnetic mirror to a second stage. In the second stage, the plasma is energized by a process that uses left hand polarized slow mode waves launched from the high field side of the ion cyclotron resonance. The single pass ion cyclotron heating (ICH) produces a substantial increase in ion velocity. Ad Astra Rocket Company (AARC) is planning to fly a plasma rocket experiment as a major element of the company's "Aurora" electric power and propulsion test platform on the ISS in 2014. The Aurora platform will support a dual-jet magnetic quadrupole 200 kW version of the VASIMR® plasma rocket (the VF-200). It will consist of two 100 kW parallel plasma engines with opposite magnetic dipoles, resulting in a near zero-torque magnetic system. The system will be available for basic plasma physics research in parallel with the testing of the VF-200 engine performance as a high power electric propulsion system. The Aurora package would thus become a National Plasma Physics Laboratory (the ISPL) suitable for plasma physics studies in an open, wall free near-Earth orbital laboratory environment. An ISS arm deployed instrument package similar to the Plasma Diagnostics Package used on STS-3 in conjunction with the OSS-1 experiment and STS-51F in conjunction with Spacelab 2 has been proposed to NASA. The Aurora Plasma Diagnostics Package (APDP) will carry Langmuir probes, an RPA, dc magnetometer, plasma wave detectors, Faraday cups, electrostatic analyzers, solid state energetic particle telescope and Ar II and broadband imagers. The studies that will be performed on this revolutionary facility will not only provide ground-truth experimental answers to the questions above, but undoubtedly discover new and unexpected plasma behavior in the unique environment of the ISPL, leading to new understanding of the Sun and Heliosphere. © 2013 by the University of Houston.</t>
  </si>
  <si>
    <t>Aviation; Cyclotron radiation; Cyclotrons; Electric propulsion; Ion beams; Ion engines; Ions; Laboratories; Magnetic fields; Magnetic mirrors; NASA; Orbits; Plant shutdowns; Plasma devices; Plasma diagnostics; Plasma heating; Plasma sources; Rockets; Space stations; Spacecraft propulsion; Stages; Electrostatic analyzer; Heliospheric magnetic fields; International Space stations; Ion cyclotron resonance; Laboratory experiments; Magnetic reconnections; Spacecraft propulsion systems; Variable specific impulse magnetoplasma rockets; Magnetoplasma</t>
  </si>
  <si>
    <t>10.2514/6.2014-1422</t>
  </si>
  <si>
    <t>https://www.scopus.com/inward/record.uri?eid=2-s2.0-85085403603&amp;doi=10.2514%2f6.2014-1422&amp;partnerID=40&amp;md5=6115f90f1236b0b805394764c879cd28</t>
  </si>
  <si>
    <t>P71</t>
  </si>
  <si>
    <t>Bayrak, S.</t>
  </si>
  <si>
    <t>Unveiling intrusions: explainable SVM approaches for addressing encrypted Wi-Fi traffic in UAV networks</t>
  </si>
  <si>
    <t>Unmanned aerial vehicles (UAVs), also known as drones, have become instrumental in various domains, including agriculture, geographic information systems, media, logistics, security, and defense. These UAVs often rely on wireless communication networks for data transmission, making them vulnerable to cyberattacks. To address these challenges, it is necessary to detect potential threats by analyzing the encrypted Wi-Fi traffic data generated by UAVs. This study aimed to develop a linear SVM model that is enhanced with explainable artificial intelligence (XAI) techniques and fine-tuned using Bayesian optimization for intrusion detection systems (IDSs); the model is specifically designed to identify malware threats targeting UAVs. This research utilized encrypted Wi-Fi traffic data derived from three different UAV networks, namely, Parrot Bebop 1, DBPower UDI, and DJI Spark, while considering unidirectional and bidirectional communication flow modes. SVM-based intrusion detection models have been modeled on these datasets, identified their key features using the local interpretable model-agnostic explanations (LIME) technique, and conducted a cost analysis of the proposed modeling approach. The incorporation of the LIME method enabled to highlight the features that are highly indicative of cyberattacks and provided valuable insights into the importance of each feature in the context of intrusion detection. In conclusion, this interpretable IDS model, fine-tuned with Bayesian optimization, demonstrated its superiority over the state-of-the-art methods, proving its efficacy in detecting and mitigating threats to UAVs while offering a cost-effective solution. © The Author(s) 2024.</t>
  </si>
  <si>
    <t>Encrypted Wi-Fi traffic classification; Explainable artificial intelligence; Intrusion detection system; Support vector machine; Unmanned aerial vehicles; Aircraft detection; Antennas; Cameras; Cost benefit analysis; Cost effectiveness; Cryptography; Feature extraction; Intrusion detection; Lime; Mobile security; Network security; Unmanned aerial vehicles (UAV); Wi-Fi; Wireless local area networks (WLAN); Aerial vehicle; Cyber-attacks; Encrypted wi-fi traffic classification; Explainable artificial intelligence; Intrusion Detection Systems; Support vectors machine; Traffic classification; Traffic data; Unmanned aerial vehicle; Vehicle network; Support vector machines</t>
  </si>
  <si>
    <t>10.1007/s10115-024-02181-9</t>
  </si>
  <si>
    <t>https://www.scopus.com/inward/record.uri?eid=2-s2.0-85198653149&amp;doi=10.1007%2fs10115-024-02181-9&amp;partnerID=40&amp;md5=c4a05a415e9312abb08a4f218d2df0a8</t>
  </si>
  <si>
    <t>P710</t>
  </si>
  <si>
    <t>Giray, S.M.</t>
  </si>
  <si>
    <t>Anatomy of unmanned aerial vehicle hijacking with signal spoofing</t>
  </si>
  <si>
    <t>An important aspect about unmanned aerial vehicle (UAV, drone) hijacking to emphasize is being highly targeted cyber attack in terms of cyber warfare terminology[1] that covers exploitation, offense, defence and asymmetrical war power as a whole. An attempt of hijacking is a combination of cyber and electronic operations/efforts rather than a single click takeover as it requires several tools and different techniques from cyber and electronic warfare domains simultaneously in a series of actions to achieve its objective particularly when the target is a military vehicle. Multi-stage nature of modern cyber attacks based on the coordination of individual offensive actions [2] encompasses a fully executed UAV capturing assault. GPS spoofing is in the center of these scenarios and an obvious threat against civilian signals but also must be seriously handled in military domain too. Anatomical analysis of UAV hijacking attack delivers insights about vulnerabilities, methods to exploit, mechanisms to detect, how to deter the attack and evaluates the impacts. © 2013 IEEE.</t>
  </si>
  <si>
    <t>cyber warfare; electronic warfare; GPS spoofing; UAV hijacking; Computer crime; Crime; Electronic warfare; Anatomical analysis; Cyber warfare; Cyber-attacks; Military domains; Multi-stage; Unmanned aerial vehicles (UAV)</t>
  </si>
  <si>
    <t>10.1109/RAST.2013.6581320</t>
  </si>
  <si>
    <t>https://www.scopus.com/inward/record.uri?eid=2-s2.0-84883853822&amp;doi=10.1109%2fRAST.2013.6581320&amp;partnerID=40&amp;md5=b539912c6acdb782af51e10a9ee71a93</t>
  </si>
  <si>
    <t>P711</t>
  </si>
  <si>
    <t>Léchevin, N.; Rabbath, C.A.; Maupin, P.</t>
  </si>
  <si>
    <t>Health monitoring of a drone formation affected by a corrupted control system</t>
  </si>
  <si>
    <t>Safe and reliable operation of formations unmanned aerial vehicles (UAVs) necessitates developing situational awareness capacities for assessing and predicting the health status of both network and assets, particularly when evolving in adversarial environments. This chapter proposes a dynamic feature that is instrumental in achieving vulnerability assessment of a network of UAVs, whose control system is possibly affected by the diffusion of malware. The feature consists of the characterization of the transition from stability to instability with probability one. The stability of the networked UAVs can be indirectly affected by malicious attacks targeting the communication units or the control systems. The network is modeled as a discrete-time, jump, linear system whose state- space variables represent the probabilities that each node receives a malware and is infected by it. The stability analysis is obtained by means of a stochastic Lyapunov function argument and yields a sufficient condition expressed as a linear matrix inequality (LMI). This LMI involves the networked asset state- space matrices and the probability that each UAV’s control system is infected. An approximation to the sufficient condition is proposed so that convergence of the system trajectories could be monitored online. The proposed detection technique is validated by simulations of a UAV formation. © Springer Science+Business Media Dordrecht 2015.</t>
  </si>
  <si>
    <t>Aircraft control; Computer crime; Control systems; Drones; Linear matrix inequalities; Linear systems; Lyapunov functions; Malware; Matrix algebra; Network security; Probability; Stability; Stochastic systems; Unmanned aerial vehicles (UAV); Adversarial environments; Health monitoring; Reliable operation; Situational awareness; Stability analysis; State-space matrices; Stochastic lyapunov functions; Vulnerability assessments; Networked control systems</t>
  </si>
  <si>
    <t>10.1007/978-90-481-9707-1_18</t>
  </si>
  <si>
    <t>https://www.scopus.com/inward/record.uri?eid=2-s2.0-84944531216&amp;doi=10.1007%2f978-90-481-9707-1_18&amp;partnerID=40&amp;md5=7c0490bfc60e2f94956400b97162e4f6</t>
  </si>
  <si>
    <t>P712</t>
  </si>
  <si>
    <t>Fazal, M.M.; Pawar, A.G.; Prasad, J.</t>
  </si>
  <si>
    <t>Design of secured, high speed two way RF data link for airborne vehicle communication</t>
  </si>
  <si>
    <t>The data-link is a key subsystem for any Unmanned Arial Vehicle (UAV), Surface to Air Missile (SAM), Air to Air Missile (AAM) and Air to Surface Missile (ASM). It provides two-way communication, either upon demand or on a continuous basis. An up-link provides control of the air vehicle flight path and commands to its payloads. The downlink provides both a low data rate channel to acknowledge commands and transmit status information about the aerial vehicle and a high data rate channel for payload data such as video, radar and navigation. In this paper we describe a novel secured, two way, high speed RF command and video data link system which enables real time, high speed, continuous data exchange between aircraft/missile/high dynamic vehicles and ground entities and vice-versa. This system uses advanced spread spectrum modulation, spread spectrum coding and decoding techniques to ensure signal security and multi-user access. This paper also discusses the RF data link system design issues faced in its development and the methods, technologies employed to overcome these challenges. It describes the system Architecture, behavioral operation and validation of the system. It also details successful demonstration of the technology and future plans for improvement of signal security and range of operation. © 2013 IEEE.</t>
  </si>
  <si>
    <t>Anti jamming; BPSK; C-Band; ECCM; MMIC; RF Data Link; S-Band; Spread Spectrum; Air to air missiles; Air to surface missiles; Communication; Electronic data interchange; Military electronic countermeasures; Monolithic microwave integrated circuits; Satellite communication systems; Spectroscopy; Surface to air missiles; Anti-jamming; BPSK; C-Band; RF data; S-Band; Spread spectra; Vehicles</t>
  </si>
  <si>
    <t>10.1109/IMaRC.2013.6777698</t>
  </si>
  <si>
    <t>https://www.scopus.com/inward/record.uri?eid=2-s2.0-84899121127&amp;doi=10.1109%2fIMaRC.2013.6777698&amp;partnerID=40&amp;md5=31199fe40883708ce0263b5ee55a201c</t>
  </si>
  <si>
    <t>P713</t>
  </si>
  <si>
    <t>Warwick, G.</t>
  </si>
  <si>
    <t>GPS vulnerability drives new thinking on navigation</t>
  </si>
  <si>
    <t>The Global Positioning System has become essential to everyday life not just for navigation and targeting, but for precise timing in communications and power networks. But GPS satellite signals are easily interfered with, intentionally or unintentionally. Many ways of protecting, augmenting or replacing GPS are being pursued. They include advanced antennas and networks able to isolate and eliminate jamming. The need for soldiers and robots to navigate unfamiliar streets, and for unmanned aircraft to fly around and inside buildings, is driving much of the work on alternatives to GPS. Options include chip-sized inertial measurement units small enough to use in micro-UAVs. Other technologies include chip-scale atomic clocks providing precision timing for dead reckoning while GPS is denied, and systems that can sense the UAV's motion through its surroundings. Civil aviation is looking at how airborne radar could augment navigation if GPS is lost on the approach.</t>
  </si>
  <si>
    <t>https://www.scopus.com/inward/record.uri?eid=2-s2.0-77952645226&amp;partnerID=40&amp;md5=afc630bbb158fff85d39bd2a7b1f5d2f</t>
  </si>
  <si>
    <t>P714</t>
  </si>
  <si>
    <t>Drones tested for possible anti-drug role</t>
  </si>
  <si>
    <t>An evaluation of unmanned aircraft in anti-drug operations is underway in Central America, with the U.S. Navy flying a leased Israel Aerospace Industries Heron from El Salvador to detect and identify maritime targets. The Heron medium-altitude long-endurance UAS is being flown from the San Salvador airport, principally to evaluate the ability of its multimode surveillance radar to detect and track surface targets and cue the electro-optical/infrared sensor for identification. The aircraft is also equipped with the vessel automatic identification system (AIS). Simultaneously operating air-to-air and air-to-surface, the radar is also being used for airspace deconfliction. The trials involve coordinated flights with the airborne early-warning E-2C and issues experienced include jamming of the Heron's differential-GPS automatic landing system during an approach to San Salvador by a P-3 testing its satellite communications before flight.</t>
  </si>
  <si>
    <t>https://www.scopus.com/inward/record.uri?eid=2-s2.0-77952347844&amp;partnerID=40&amp;md5=bdabb12f48cfe516f3ad940d8206ea38</t>
  </si>
  <si>
    <t>P715</t>
  </si>
  <si>
    <t>Sean, H.; Taylor, B.</t>
  </si>
  <si>
    <t>A new process for the management and delivery of immr and geoscience data which enables management, interpretation and delivery of extremely high resolution data on any computer</t>
  </si>
  <si>
    <t>Significant advances have been made in the past decades in spatial data management by GIS defense contractors that allow clients to rapidly process, store, and recall large swaths of sub-decimeter resolution imagery generated by satellites, manned aerial surveys, and drones. In onshore oil and gas, similar GIS technology is being adopted to manage assets, logistics, and UAV-surveyed pipeline inspection data, including 3D mapping, change detection, and leak detection data. Adoption of such enterprise grade GIS solutions for survey data along the life of a pipeline, however, has been much slower offshore. Through adopting this defense-grade technology, the full capacity of using GIS as the complete IMMR tool is realized. Pre-lay, as-built, and inspection survey data are able to be managed and rapidly recalled at full, as-surveyed centimeter resolution in a GIS environment. In this manuscript we present a comparison of conventional technology and a new novel custom software package during analysis of a 11,294 km fictitious pipeline originating in Houston, TX and terminating in Alaska. Data refresh rates are dramatically better (on average 7 times better) when working with the data and the data may be served to a variety of applications including a common web browser and many common platforms outside of the Oil and Gas industry. This software allows contractors to generate data products at the resolution of the sensor and allows Oil and Gas clients to move their data from the box in the corner to live and recallable platforms. Copyright © (2015) by the Offshore Technology Conference All rights reserved.</t>
  </si>
  <si>
    <t>Aircraft detection; Antennas; Contractors; Gas industry; Information management; Leak detection; Network security; Offshore oil well production; Offshore pipelines; Petroleum industry; Surveys; Unmanned aerial vehicles (UAV); Change detection; Defense contractor; Geoscience data; High resolution data; Oil and Gas Industry; Pipeline inspection; Resolution imagery; Spatial data management; Offshore technology</t>
  </si>
  <si>
    <t>10.4043/25812-ms</t>
  </si>
  <si>
    <t>https://www.scopus.com/inward/record.uri?eid=2-s2.0-84943261156&amp;doi=10.4043%2f25812-ms&amp;partnerID=40&amp;md5=78ac969d5b852f699dc74c9e68db7fc6</t>
  </si>
  <si>
    <t>P716</t>
  </si>
  <si>
    <t>Pleban, J.-S.; Band, R.; Creutzburg, R.</t>
  </si>
  <si>
    <t>Hacking and securing the AR.Drone 2.0 quadcopter - Investigations for improving the security of a toy</t>
  </si>
  <si>
    <t>In this article we describe the security problems of the Parrot AR.Drone 2.0 quadcopter. Due to the fact that it is promoted as a toy with low acquisition costs, it may end up being used by many individuals which makes it a target for harmful attacks. In addition, the videostream of the drone could be of interest for a potential attacker due to its ability of revealing confidential information. Therefore, we will perform a security threat analysis on this particular drone. We will set the focus mainly on obvious security vulnerabilities like the unencrypted Wi-Fi connection or the user management of the GNU/Linux operating system which runs on the drone. We will show how the drone can be hacked in order to hijack the AR.Drone 2.0. Our aim is to sensitize the end-user of AR.Drones by describing the security vulnerabilities and to show how the AR.Drone 2.0 could be secured from unauthorized access. We will provide instructions to secure the drones Wi-Fi connection and its operation with the official Smartphone App and third party PC software. © 2014 Copyright SPIE.</t>
  </si>
  <si>
    <t>AR.Drone 2.0; drones; quadcopter; security vulnerabilities; UAV; Algorithms; Application programs; Mobile devices; Personal computing; Target drones; Unmanned aerial vehicles (UAV); Acquisition costs; AR.Drone 2.0; Confidential information; drones; quadcopter; Security problems; Security vulnerabilities; Unauthorized access; Security of data</t>
  </si>
  <si>
    <t>10.1117/12.2044868</t>
  </si>
  <si>
    <t>https://www.scopus.com/inward/record.uri?eid=2-s2.0-84896791434&amp;doi=10.1117%2f12.2044868&amp;partnerID=40&amp;md5=8e1ff2889760c5f7fa038057992e16fd</t>
  </si>
  <si>
    <t>P717</t>
  </si>
  <si>
    <t>Harrington, C.</t>
  </si>
  <si>
    <t>USAF seeks more agile combat drone</t>
  </si>
  <si>
    <t>The US Air Force (USAF) is looking for contractors who are interested in building a new armed drone that is faster, more maneuverable, and better equipped to overcome jamming than the current generation of hunter-killer unmanned aircraft. USAF officials have announced that they will release a request for information (RfI) at the end of May 2008 for the Next Generation Unmanned Aerial System (NG UAS) that is a successor to the MQ-1 Predator and MQ-9 Reaper. The NG UAS is an enhanced hunter-killer unmanned system that would focus on two main missions that include intelligence, surveillance, and reconnaissance (ISR) as well as strike missions in low and medium-threat environments. The USAF said the NG UAS would be able to conduct limited suppression of enemy air defense (SEAD) missions, ensuring that the hunter-killer would be among the first aircraft to fly into contested enemy air space.</t>
  </si>
  <si>
    <t>https://www.scopus.com/inward/record.uri?eid=2-s2.0-44949093603&amp;partnerID=40&amp;md5=c44d040099f9536fd65a11cae86530ce</t>
  </si>
  <si>
    <t>P718</t>
  </si>
  <si>
    <t>Shale, Richard; Bader, John</t>
  </si>
  <si>
    <t>Flight test results of the Rockwell MIGITS</t>
  </si>
  <si>
    <t>A new standard of lightweight, low cost, integrated GPS/INS products has been created with the introduction of Rockwell's family of MIGITSTM (Miniature Integrated GPS/INS Tactical System) products. This family takes full advantage of the precision pseudorange and pseudorange rate information available only from an embedded GPS receiver. This information is integrated with inertial data in a single Kalman filter in a synergistic manner which results in superior operation in high dynamic, antenna shading, and jamming environments. As this paper will show, the Rockwell MIGITS has successfully demonstrated ability to tightly couple a tactical grade IMU with GPS to provide precise navigation operation in a dynamic environment. As the primary supplier of GPS user equipment to the military, Rockwell International has played a pioneering role in the development and success of GPS. The introduction of the integrated GPS/INS system advances the evolution of strapdown inertial systems and stand-alone GPS receivers that began over 20 years ago. Rockwell's Collins Avionics &amp; Communications Division (CACD) established itself in the pursuit of integrated systems with leadership in the development of both stand-alone and integrated GPS systems during the technology's infancy in the early seventies, and has continued to help advance the state of the art to where it is today. GPS receivers have continued to advance largely through a decrease in size as well as improved performance in a variety of environments such as jamming. The integrated systems described in this paper build upon the lessons learned and the continued evolution of GPS. Continual refinements in research and development programs at Rockwell have led to this family of small integrated systems, resulting in what we believe is the world's smallest, integrated GPS/INS systems available today, the MIGITS. The MIGITS products are intended to satisfy navigation requirements of a variety of application including missiles, both fixed and rotary aircraft, UAV's, munitions, targets and drones. paper provides an introduction to the qq MIGITS systems, followed by a description qq system testing performed thus far.</t>
  </si>
  <si>
    <t>Calibration; Data processing; Errors; Flight dynamics; Inertial navigation systems; Jamming; Kalman filtering; Navigation; Signal receivers; Stability; Antenna shading; Flight test; Inertial measurement unit; Integrated system; Jamming environments; Miniature integrated GPS INS tactical system; Global positioning system</t>
  </si>
  <si>
    <t>https://www.scopus.com/inward/record.uri?eid=2-s2.0-0028055303&amp;partnerID=40&amp;md5=7d9d83ed337ce0991e0c4fbefc147eb0</t>
  </si>
  <si>
    <t>P719</t>
  </si>
  <si>
    <t>Austin, S.; Robins, P.</t>
  </si>
  <si>
    <t>Fly ash and slag jet-blast resistant concretes</t>
  </si>
  <si>
    <t>Conventional limestone concrete airfield pavements are prone to spalling as a result of jet-blast from vertical take-off and landing aircraft. This paper describes a research programme to develop jet-blast resistant pavement quality concretes containing alternative cementitious materials and aggregates. The concretes were evaluated by subjecting slabs to simulated Harrier jet engine blast, using thermal imaging and video cameras to record surface temperatures, spall times and spalled areas. Slag and fly ash as partial cement replacement materials produced moderate increases in the surface temperature and exposure time at which spalling initiated. Fly ash aggregates produced substantial improvements in spalling resistance under simulated Harrier conditions, particularly when used to replace both the fine and coarse natural aggregates. The spalling mechanism was associated with differential thermal expansion, as opposed to the release of water vapour and the dehydration of cementitious compounds. Spalling observed during field exposure was attributed to laitance and brushing of the surface, which also suffered from drying shrinkage cracking. © 1995 American Concrete Institute. All rights reserved.</t>
  </si>
  <si>
    <t>Airports; Fly ash; Jet blasts; Lightweight aggregates; Pavements; Slags; Spalling; Temperature; Aggregates; Atmospheric temperature; Blast resistance; Concretes; Fighter aircraft; Fly ash; Infrared imaging; Lime; Pavements; Pozzolan; Shrinkage; Silica fume; Slags; Spalling; Surface properties; Thermal expansion; Video cameras; VTOL/STOL aircraft; Cement replacement materials; Cementitious materials; Differential thermal expansion; Limestone concretes; Research programmes; Spalling resistance; Surface temperatures; Vertical take-off and landings; Concrete aggregates</t>
  </si>
  <si>
    <t>https://www.scopus.com/inward/record.uri?eid=2-s2.0-0012735136&amp;partnerID=40&amp;md5=91e25377602aeee130eda356e1ad7715</t>
  </si>
  <si>
    <t>P72</t>
  </si>
  <si>
    <t>Wu, Z.; Fan, K.; Wu, G.; Chen, Y.; He, X.; He, Q.</t>
  </si>
  <si>
    <t>Research on Positioning Deception of Multi-Rotor UAV Based on Adaptive Neural Network Kalman Filtering Algorithm</t>
  </si>
  <si>
    <t>With the gradual popularization of unmanned aerial vehicles (UAVs) and the convenience of the people, it also brings convenience to the society, such as the frequent occurrence of black flight incidents of UAVs, which affects people's normal life and work order, such as privacy issues, safety risks, airspace management, noise pollution, and social security. In order to solve the above problems, the UAV GPS receiving model and the UAV GPS deception model are established, and based on the consideration of objective conditions, the neural network adaptive Kalman filter algorithm is integrated, which can effectively reduce the interference of external noise on the operation of the whole system. Added inverse omega-k algorithm based on HackRf One, Spoofing signals can be generated quickly and efficiently. The method is controlled by the PC, the data is fitted in HackRf One, and then the received location information and output GPS output location information are corrected through the BP neural network, and finally the interference and deception signal is transmitted through a specific antenna. Experiments have proved that the HackRf One deception drone can effectively deceive the GPS of the UAV and ensure the safety of the UAV interception system. © 2024 IEEE.</t>
  </si>
  <si>
    <t>BP Neural Network; Extended Kalman Filter; GPS Spoofing Detection; Adaptive algorithms; Adaptive filtering; Adaptive filters; Air navigation; Air pollution control; Aircraft accidents; Aircraft detection; Global positioning system; Inverse problems; Neural networks; Unmanned aerial vehicles (UAV); Adaptive neural networks; Aerial vehicle; BP neural networks; Filtering algorithm; GPS spoofing detection; Kalman-filtering; Location information; Privacy issue; Safety risks; Work order; Extended Kalman filters</t>
  </si>
  <si>
    <t>10.1109/ICIEA61579.2024.10665078</t>
  </si>
  <si>
    <t>https://www.scopus.com/inward/record.uri?eid=2-s2.0-85205681227&amp;doi=10.1109%2fICIEA61579.2024.10665078&amp;partnerID=40&amp;md5=3a0bbac0cf234f28a41393686c7bf282</t>
  </si>
  <si>
    <t>P720</t>
  </si>
  <si>
    <t>Schneiderman, Ron</t>
  </si>
  <si>
    <t>Desert Storm success gives UAVs a boost</t>
  </si>
  <si>
    <t>Unmanned aerial vehicles (UAVs) aid the US and allies in their bomb damage assessments of Iraq. The author discusses possible applications for unmanned systems. Given their success, UAV missions will very likely be expanded beyond their current reconnaissance and surveillance role with the acquisition of new close- and short-range UAVs to include command and control, electronic jamming, advance weather scouting, and signal intelligence.</t>
  </si>
  <si>
    <t>Aircraft - Target Drones; Unmanned Aerial Vehicles; Aircraft, Military</t>
  </si>
  <si>
    <t>https://www.scopus.com/inward/record.uri?eid=2-s2.0-0026117018&amp;partnerID=40&amp;md5=386e0b5f5ed3269c4cb5e654e88f7dfe</t>
  </si>
  <si>
    <t>P721</t>
  </si>
  <si>
    <t>AIAA Guidance, Navigation, and Control Conference and Exhibit 2003</t>
  </si>
  <si>
    <r>
      <rPr>
        <sz val="11"/>
        <color rgb="FF000000"/>
        <rFont val="Calibri"/>
        <family val="2"/>
        <scheme val="minor"/>
      </rPr>
      <t xml:space="preserve">The proceedings contain 320 papers. The special focus in this conference is on Guidance, Navigation, and Control. The topics include: New analysis techniques for clearance of flight control laws; modelling of longitudinal disturbed aircraft model by flatness approach; a polynomial based clearance method; aircraft control law clearance analysis using bifurcation and continuation methods; adaptive lateral flight control for a winged re-entry vehicle; adaptive control and rejection of persistent disturbances; adaptive control with a nested saturation reference model; optimization of direct adaptive disturbance rejection systems; on gain conditions and convergence of simple adaptive control; robust flight controller design taking account of flying quality; fuzzy logic non-minimum phase autopilot design; regions of attraction for robustness assessment; robust flight control for coordinated turns; a point-to-point concept for improved national airspace system capacity; automated airport surface traffic control; airport surface operation collaborative automation concept; flight clearance tools using a non-linear bifurcation analysis framework; measuring uncertainty in airspace demand predictions for traffic flow management applications; aggregate statistics of the national airspace system; a cluster analysis to classify days in the national airspace system; analysis of ETMS data quality for traffic flow management decisions; modeling and evaluation of miles-in-trail restrictions in the national air space; comparison of pilot and automation generated conflict resolutions; assessing the impact of spacing tolerance on flight crew activity; effect of mixed aircraft types and wind on time based airborne spacing; X-31 VECTOR control law design for ESTOL to the ground; aircraft trim control; sliding mode techniques applied to the control of a micro air-vehicle; a feedback linearizing controller for relative guidance between commercial aircraft; pitch stabilizability of an unstable aircraft; performance analysis and control design for ski-jump takeoff; reconfigurable control of aircraft with partial elevator failure; toward intuitive instrument flight displays; motion planning of a fully actuated unmanned air vehicle; time-optimal paths for lateral navigation of an autonomous underactuated airship; autonomous task achievement by space robot based on Q-learning with environment recognition; concept of flying effectors and preliminary experiments; control allocation for linear systems with four or more objectives; high-integrity production code generation; robust H-infinity decoupling hover control of uncertain nonlinear helicopter; physical reasons for the uncontrollability of a double inverted pendulum; interior-point algorithms for control allocation; a new representation of the generalized relative dynamic gains; stable receding horizon trajectory control for complex environments; parameter transient behavior analysis on fault tolerant control system; a differential game formulation of alert levels in ETMS data for high altitude traffic; eliminating hazards from a medium term conflict detection tool; time shifting air traffic data for quantitative evaluation of a conflict probe; improved aircraft path stretch algorithms for the en route descent advisor (EDA); heuristic methods to post process aircraft radar track data; fault tolerant controller design using hybrid linear parameter-varying control; trajectory optimization via modified genetic algorithm; LPV antiwindup compensation for enhanced flight control performance; an overview of the NASA flying test platform research; flight testing a 3-dimensional guidance display system for small aircraft; enhancements to an atmospheric ascent guidance algorithm; robust neural adaptive control of a hypersonic aircraft; the effect of signature constraints on the F-117 configuration development; challenges in the development of the IFOG; development of flight control systems for jet airliners; development of the 777 flight control system; primary control surface failure detection and identification scheme; backstepping flight control using on-line function approximation; moving waypoint-based fuzzy guidance for unmanned aircraft; formal verification of maneuvering target tracking; neural network based modeling and analysis of Lp control surface allocation; evaluation of an adaptive method for launch vehicle flight control; an adaptive critic approach to reference model adaptation; missile guidance law design based on two-degree-of-freedom bearing control; h infinite robust guidance law in ATBM applications; the threat of supersonic ASM and a countermeasure AMM system; implementation of guidance laws in missiles with dual control systems; seeker based optimal guidance law, a few issues; terminal guidance using a Doppler beam sharpening radar; missile state estimation from telemetry measurements; a GPS tracking system with onboard IIP prediction for sounding rockets; planing, switching, and supercavitating flight control; cooperative systems under communication delay; UAV task assignment with timing constraints; nonlinear control for reconfiguration of UAV formation; adaptive vortex seeking formation flight neurocontrol; multiple aerial vehicle formation using swarm intelligence; genetic algorithm for task allocation in UAV cooperative control; path elongation for UAV task assignment; cooperation between UAVs in a search and destroy mission; distributed control for multiple UAVs with strongly coupled tasks; using stream functions for complex behavior and path generation; energy-efficient coordination of multiple-UAV systems; experimental demonstrations of real-time MILP control; flow control in a driven cavity incorporating excitation phase differential; control systems of the NASA 70-meter antennas; adaptive control of a flexible membrane using acoustic excitation and optical sensing; neural and LQR optimal attitude control of a flexible micro-satellite; benchmark testing for spaceborne global positioning system receivers; navigation of large autonomously controlled formations; </t>
    </r>
    <r>
      <rPr>
        <sz val="11"/>
        <color rgb="FFFF0000"/>
        <rFont val="Calibri"/>
        <family val="2"/>
        <scheme val="minor"/>
      </rPr>
      <t>robust GPS navigation in the presence of jamming and spoofing</t>
    </r>
    <r>
      <rPr>
        <sz val="11"/>
        <color rgb="FF000000"/>
        <rFont val="Calibri"/>
        <family val="2"/>
        <scheme val="minor"/>
      </rPr>
      <t>; regional GRASP for the target tracking problem; periodic fault detection filters with application to satellite systems; modern midcourse guidance law with high-order dynamics; optimal feedback control of the magneto-hydrodynamic generator for a hypersonic vehicle; launch vehicle wind look ahead guidance for ascent load management; modular adaptive control of a nonlinear aeroelastic system; implementation of pilot commands in aircraft control; reconfigurable inner loop control of a space maneuvering vehicle; mission abort scenario of a reentry vehicle with controls degradation; on-board entry trajectory planning expanded to sub-orbital flight; studies for terminal area GNC of reusable launch vehicles; sub-optimal analytical guidance laws for reusable launch vehicles; robust nonlinear model predictive control with partial state information; an iterative LMI approach for H2 control law adjustment; thermal snap disturbance identification via in-flight data; unfalsified adaptive spacecraft attitude control; precision beacon-assisted attitude control for spaceway; demonstration of capabilities of an autonomous fault-tolerant flight control system; software enabled flight control using receding horizon techniques; integrated diagnosis and control for hybrid dynamic systems; 3D conflict resolution of multiple aircraft via dynamic optimization; an improved three-pulse algorithm for axisymmetric RCS control; control of flexible satellites using analytic on-off thruster commands; control of attitude and vibration of a tethered space solar power satellite; unscented filtering for spacecraft attitude estimation; global magnetometer-based spacecraft attitude and rate estimation; gyro modeling and estimation of its random noise sources; development of static earth horizon sensors; benchmark problems for spacecraft formation flying missions; reorientation of rotating deep space tethered constellations; spacecraft formation-flying in eccentric orbits; guaranteed initialization of distributed spacecraft formations; demonstration of GPS on the AlSAT-1 disaster monitoring satellite; a state-space approach to computing spacecraft pointing jitter; nonlinear momentum transfer control by using neural networks; decentralized estimation algorithms for formation flying spacecraft; navigation accuracy guidelines for orbital formation flying; performance evaluation of rendezvous using model predictive control; on the impact of cross-link delays on spacecraft formation control; evaluation of a drag-free control concept for missions in low earth orbit; tracking and identification of a maneuvering reentry vehicle; trajectory generation with probabilistic bounds; dynamic noise avoidance routing through terminal airspace; time-based conflict resolution algorithm and application to descent conflicts; a combined MBPC/2 DOF H infinity controller for a quad rotor UAV; design of a rate command mu-controller for a shrouded-fan uninhabited aerial vehicle; on-line trajectory optimization for autonomous air vehicles; flight test results of UAV automatic control using a single-antenna GPS receiver; filter comparison for integrated navigation systems for unmanned aerial vehicles and adaptive flight control of a carrier based unmanned air vehicle.</t>
    </r>
  </si>
  <si>
    <t>https://www.scopus.com/inward/record.uri?eid=2-s2.0-84896897670&amp;partnerID=40&amp;md5=f0fb01624e366d5257afb50f5e58df60</t>
  </si>
  <si>
    <t>P722</t>
  </si>
  <si>
    <t>Turns, D.</t>
  </si>
  <si>
    <t>Droning on: some international humanitarian law aspects of the use of unmanned aerial vehicles in contemporary armed conflicts</t>
  </si>
  <si>
    <t>If anyone doubted the technological future of the means of warfare in the early twenty-first century, such doubts will have been dispelled by the Pentagon’s announcement, in February 2013, of the creation of a new medal for US troops for ‘extraordinary achievement’ in combat operations. The putative recipients of this award, directors of cyber-attacks and the operators of unmanned aerial vehicles (UAVs, often referred to as ‘drones’), do not physically participate in ground operations or directly risk their own lives. It is the first new US military combat award to be created since the Bronze Star Medal during the Second World War. The journey from recognising the meritorious service of those who ‘lead miserable lives of extreme discomfort and […] who must close in personal combat with the enemy’ to a non-combat ‘accomplishment so exceptional and outstanding as to clearly set the individual apart from comrades or from other persons in similar situations’ speaks volumes for the direction in which the nature of warfare has evolved over the last seven decades. Although a certain element of physical bravery undoubtedly retains its place on contemporary battlefields, and will no doubt continue to do so in the future, the need to bash an enemy’s brains out with a club – or at least to have visual contact in order to shoot him with a rifle – has been replaced by the firing of a missile at a target on a computer screen, with the push of a button, in an air-conditioned office up to thousands of kilometres away from the scene of the engagement. © Cambridge University Press 2014. All rights reserved.</t>
  </si>
  <si>
    <t>10.1017/CBO9781107478725.013</t>
  </si>
  <si>
    <t>https://www.scopus.com/inward/record.uri?eid=2-s2.0-84953291894&amp;doi=10.1017%2fCBO9781107478725.013&amp;partnerID=40&amp;md5=cf4b3e51216840b80b751c17546908fc</t>
  </si>
  <si>
    <t>P723</t>
  </si>
  <si>
    <t>Spicer, J.; Perkins, A.; Dressel, L.; James, M.; Chen, Y.-H.; De Lorenzo, D.S.; Enge, P.</t>
  </si>
  <si>
    <t>The JAGER project: GPS Jammer hunting with a multi-purpose UAV test platform</t>
  </si>
  <si>
    <t>The Jammer Acquisition with GPS Exploration &amp; Reconnaissance (JAGER) project is designed to eliminate disruption caused by GPS jammers through their rapid localization. The jamming of the GPS satellite signal by a powerful, ground-based transmitter represents a grave threat to the many industries that rely on GPS for operation. This paper presents research demonstrating the development of a fully autonomous, unmanned aerial vehicle (UAV)-based system for locating GPS jammers. The goal of our work is to localize a jammer to within 30 m in under 15 minutes in an area comparable to that of an airport, to be able to locate multiple, simultaneous jammers, and navigate in intermittent GPS and GPS-denied environments using a combination of GPS and alternate navigation aids. The system should be inexpensive and built from commercially available or open-source parts, software, avionics, and sensors. We have modified a commercially available airframe to be able to fly at high speed for up to 20 minutes with a 5 kg experimental payload. Experiments can be easily switched in and out using a unique, quick-release fastening mechanism. The UAV's central autopilot and flight controller communicates navigation and status information between experimental payloads and the ground station using MAVLink protocol. For the jammer-hunting scenario, we implement both alternate position, navigation, and timing (APNT) and tracking experiments. The APNT equipment records position data at a wide range of frequencies and can determine the vehicle's position in GPS-denied conditions. The tracking equipment uses a directional antenna and partially observable Markov decision process (POMDP)-based algorithms to calculate the jammer's believed location. We present results of flight tests performed at JIFX 15-1 at Camp Roberts, CA, that recorded GPS, universal access transceiver (UAT), and distance measuring equipment (DME) data at a range of altitudes. The vehicle's position can be calculated not only using GPS, but also from the UAT and DME information collected. This is the first step towards true, real-time GPS-denied navigation. We also present the path forward for integration and testing of the tracking equipment and algorithms over the coming months.</t>
  </si>
  <si>
    <t>Aircraft control; Amphibious vehicles; Controllers; Directive antennas; Equipment; Integration testing; Jamming; Markov processes; Navigation; Open source software; Open systems; Radio transceivers; Unmanned aerial vehicles (UAV); Vehicles; Directional Antenna; Distance measuring equipments; Flight controllers; Ground stations; Ground-based transmitters; Partially observable Markov decision process; Status informations; Universal access transceiver; Global positioning system</t>
  </si>
  <si>
    <t>https://www.scopus.com/inward/record.uri?eid=2-s2.0-84938792376&amp;partnerID=40&amp;md5=d55f4a310cd3a80f621220e6bae78b16</t>
  </si>
  <si>
    <t>P724</t>
  </si>
  <si>
    <t>Taylor, R.R.; Bendowski, M.A.; McFeaters, R.C.</t>
  </si>
  <si>
    <t>Demonstrated delivery/employment systems for unattended ground sensors</t>
  </si>
  <si>
    <t>This paper describes the payload delivery system developed and proven to deploy an electronic warfare device to specific, predetermined locations on the battlefield. Initially called the Artillery Delivered Expendable Jammer (AD/EXJAM), it is now designated the Air Delivered-Ground (Deployed) Expendable Jammer (AD-G/EXJAM). The initial units were demonstrated from 155 MM artillery; the later units, from UAV's, helicopters and slow moving, fixed wing aircraft. While these two delivery systems were originally designed specifically for the EXJAM system, the concept is directly applicable to unattended ground sensors that require unmanned remote emplacement. Keys to the success of the jammer included design, development and field testing of power supplies, antennas, deployment systems and packaging to allow payloads to withstand high-g impact and other severe environments typically encountered. The artillery deployed systems were designed to be "wooden" rounds needing no special handling and storing. These systems treat the payload as independent elements which are self-ejected from a fired M483A1 or M864 round and are completely automatic upon hitting the ground. The more recent payloads can be delivered from UAV's and include remote control capabilities, increased operating life and increased power output. The present payload is packaged into a cylindrical shape, approximately six inches in diameter and 6.5 inches long and are contained within a carrier, attached to an Unmanned Air Vehicle (UAV) or any other air vehicle. Upon reaching the dispensing point, the release command can be issue by either the UAV or a separate ground control unit in RF contact with the carrier. The carrier then begins a timed dispensing sequence that has been selected for optimum payload emplacement in the target area. New developments include a design and subsystem demonstration of a tactical munitions dispenser variant of the deployment system. Operational characteristics of any specific sensors or payloads will not be addressed. ©2004 Copyright SPIE - The International Society for Optical Engineering.</t>
  </si>
  <si>
    <t>AD/EXJAM; Artillery; Deployment; Payload; Remote; UAV; Unattended; Unmanned; URSDS; Aircraft; Civil aviation; Customer satisfaction; Electronic warfare; Jamming; Ordnance; Remotely operated vehicles; Rock mechanics; Sensors; Unmanned vehicles; AD/EXJAM; Artillery; Deployment; Payload; Remote; UAV; Unattended; Unmanned; URSDS; Unmanned aerial vehicles (UAV)</t>
  </si>
  <si>
    <t>10.1117/12.280651</t>
  </si>
  <si>
    <t>https://www.scopus.com/inward/record.uri?eid=2-s2.0-58649110016&amp;doi=10.1117%2f12.280651&amp;partnerID=40&amp;md5=dadf947f1ee395fdd484e9baebc69e11</t>
  </si>
  <si>
    <t>P725</t>
  </si>
  <si>
    <t>Shepard, D.P.; Bhatti, J.A.; Humphreys, T.E.</t>
  </si>
  <si>
    <t>Drone Hack: Spoofing Attack Demonstration on a Civilian Unmanned Aerial Vehicle</t>
  </si>
  <si>
    <t>The article describes how Iran captured a US Central Intelligence Agency (CIA) surveillance drone with only minor damage to the undercarriage of the drone in December 2011. Although the Iranian claims are highly questionable, this incident left many unanswered questions as to the security of GPS systems on unmanned aerial vehicles (UAV). In February of 2012, the US Congress passed the FAA Modernization and Reform Act of 2012. Such civilian UAVs would be primarily guided by civil GPS, which has been shown to readily spoofable in the lab. On invitation of the Department of Homeland Security (DHS), unclassified spoofing tests against a UAV were performed at White Sands Missile Range (WSMR) on June 19, 2012 during the DHS GYPSY test exercise. The civil GPS spoofer used for these tests is an advanced version of the spoofer reported in 'Assessing the Spoofing Threat,' GPS World, January 2009.</t>
  </si>
  <si>
    <t>United States; air transportation; GPS; surveillance and enforcement; unmanned vehicle</t>
  </si>
  <si>
    <t>https://www.scopus.com/inward/record.uri?eid=2-s2.0-84865590662&amp;partnerID=40&amp;md5=306a6b6df306106a31b2e52bc2e3e4d3</t>
  </si>
  <si>
    <t>P726</t>
  </si>
  <si>
    <t>Ilaya, O.; Bil, C.; Evans, M.</t>
  </si>
  <si>
    <t>Distributed and cooperative decision making for multi-UAV systems with application to collaborative electronic warfare</t>
  </si>
  <si>
    <t>In this paper, a theoretical control framework for distributed cooperative decision making for an ensemble of UAVs is presented. A decentralized optimization problem was proposed for the control of multiple UAVs for cooperative decoy jamming of an ISAR radar system. Each vehicle was treated as a socially capable and intelligent agent that used neighboring information to influence its own behavior and achieve the desired group behavior. The optimization problem was formulated using a linear superposition of individual and group tasks and decentralized using a neighborhood construction. Neighboring vehicles were coupled using the aggregate cost function and consensus protocols. To achieve coordination and consensus a decentralized control scheme based on a decentralized model predictive control strategy was developed and implemented. The decentralized model predictive control algorithm synchronized the input of neighboring vehicles and achieved a consensus in the output at each prediction horizon. The consensus of neighboring vehicles was described by the group task. The algorithm was simulated for an ensemble of small-scale UAVs for decoy jamming. Given a specific radar cross section for each UAV, the UAVs were able to self-organize and coordinate their behavior using the developed algorithm and achieve a collective radar signature comparable to a given aircraft model. Preliminary results also demonstrated optimal and closed-loop stable behavior. © 2007 by the American Institute of Aeronautics and Astronautics, Inc.</t>
  </si>
  <si>
    <t>Aircraft models; Algorithms; Aviation; Decision making; Electronic warfare; Integration; Jamming; Optimization; Radar cross section; Radar systems; Vehicles; Consensus protocols; Cooperative decision making; Decentralized model predictive controls; Decentralized optimization; Linear superpositions; Neighborhood construction; Neighboring information; Optimization problems; Predictive control systems</t>
  </si>
  <si>
    <t>https://www.scopus.com/inward/record.uri?eid=2-s2.0-84885031827&amp;partnerID=40&amp;md5=4810b2da7c6ac4badb10b17119f28cf0</t>
  </si>
  <si>
    <t>P727</t>
  </si>
  <si>
    <t>Johnson, K.; Leveson, N.</t>
  </si>
  <si>
    <t>Investigating safety and cybersecurity design tradespace for manned-unmanned aerial systems integration using systems theoretic process analysis</t>
  </si>
  <si>
    <t>Safety and cybersecurity are two emergent behaviors critical to mission success of Unmanned Aerial Vehicles (UAVs). This paper presents the concepts driving the initial research investigation of a hazard and vulnerability analysis for the integration of manned-unmanned aerial systems (UAS) usin g System-Theoretic Process Analysis (STPA). The motivation for this analysis is the need to engineer safe and secure UAS integration into the National Airspace System, or any system where manned and UASs will operate together. In contrast to more traditional safety and vulnerability assessments, this research aims to develop systems engineering methods and processes that are beneficial for initial design space exploration and developing system design requirements from the beginning of systems engineering phases. It is expected that research results will provide system architecture and design engineers the system framework and requirements necessary to engineer safe and secure integrated flight operations.</t>
  </si>
  <si>
    <t>Antennas; Engineers; Integration; Safety engineering; Systems analysis; Systems engineering; Unmanned aerial vehicles (UAV); Emergent behaviors; National airspace system; Research results; System architectures; Systems engineering methods; Unmanned aerial systems; Vulnerability analysis; Vulnerability assessments; Big data</t>
  </si>
  <si>
    <t>https://www.scopus.com/inward/record.uri?eid=2-s2.0-84922563798&amp;partnerID=40&amp;md5=c5ac5f8adf867327e60794d37d0b1f03</t>
  </si>
  <si>
    <t>P728</t>
  </si>
  <si>
    <t>Raquet, J.F.; Amt, J.H.R.</t>
  </si>
  <si>
    <t>Flight and ground testing of a beacon-based precision navigation system at non-GPS frequencies</t>
  </si>
  <si>
    <t>This paper describes both algorithm development and field testing of a beacon-based navigation system that operates within the 2.4 GHz ISM band. By doing so, this system operates outside of GPS frequencies, thus being unaffected by GPS jamming or interference. This work is being done by the Advanced Navigation Technology (ANT) Center at the Air Force Institute of Technology (AFIT) for the 746th Test Squadron at Holloman AFB. The system currently being used is built by Locata, Inc., and it has the capability of synchronizing each of the transmitters to a very high level of precision, enabling near cm-level positioning accuracy without the use of any differential techniques (so only a single receiver is required). This paper describes the algorithms being used to perform the positioning. It also describes several approaches for mitigating the degraded performance that often results from beacon-based navigation systems due to geometry effects. For example, if all of the transmitters are on the ground, and the vehicle under test approaches the ground, everything is nearly co-planar, and vertical errors will typically grow. Several approaches for mitigating this effect will be described, including primary component analysis, aiding with height constraints, or augmenting with an airborne beacon. The system has been ground tested in a variety of environments and flight tested on the ANT Center UAVs, and sample performance results will be presented, showing that the system attains agreement to precision DGPS within a few cm.</t>
  </si>
  <si>
    <t>Air navigation; Military aviation; Navigation systems; Transmitters; Air force institute of technologies; Algorithm development; Component analysis; Degraded performance; Differential technique; Field testing; Geometry effects; Ground testing; ISM bands; Navigation technology; Positioning accuracy; Precision navigation; Global positioning system</t>
  </si>
  <si>
    <t>https://www.scopus.com/inward/record.uri?eid=2-s2.0-77958183957&amp;partnerID=40&amp;md5=2705bb3a0c623e1783c780b57d167ed9</t>
  </si>
  <si>
    <t>P729</t>
  </si>
  <si>
    <t>Czernik, P.; Olszyna, J.</t>
  </si>
  <si>
    <t>Secure real - Time wireless video streaming in the Aeronautical Telecommunications Network</t>
  </si>
  <si>
    <t>As Air Traffic Control Systems move from a voice only environment to one in which clearances are issued via data link, there is a risk that an unauthorized entity may attempt to masquerade as either the pilot or controller. In order to protect against this and related attacks, air - ground communications must be secured. The challenge is to add security in an environment in which bandwidth is limited. The Aeronautical Telecommunications Network (ATN) is an enabling digital network communications technology that addresses capacity and efficiency issues associated with current aeronautical voice communication systems. Equally important, the ATN facilitates migration to free flight, where direct computer - to - computer communication will automate air traffic management, minimize controller and pilot workload, and improve overall aircraft routing efficiency. Protecting ATN communications is critical since safety - of - flight is seriously affected if an unauthorized entity, a hacker for example, is able to penetrate an otherwise reliable communications system and accidentally or maliciously introduce erroneous information that jeopardizes the overall safety and integrity of a given airspace. However, an ATN security implementation must address the challenges associated with aircraft mobility, limited bandwidth communication channels, and uninterrupted operation across organizational and geopolitical boundaries. This paper provides a brief overview of the ATN, the ATN security concept, and begins a basic introduction to the relevant security concepts of security threats, security services and security mechanisms. Security mechanisms are further examined by presenting the fundamental building blocks of symmetric encipherment, asymmetric encipherment, and hash functions. The second part of this paper presents the project of cryptographiclly secure wireless communication between Unmanned Aerial Vehicles (UAV) and the ground station in the ATM system, based on the ARM9 processor development kid and Embedded Linux operation system. © 2010 SPIE.</t>
  </si>
  <si>
    <t>Aeronautical Telecommunications Network (ATN); Air Traffic Management (ATM) systems; ARM9 processor; Embedded Linux; Hash function; Private - Key cryptography; Public - Key cryptography; Random number generation; Air navigation; Aircraft communication; Aircraft control; Astronomy; Automatic teller machines; Communication systems; Computer crime; Computer operating systems; Embedded systems; Flight control systems; Free flight; Hash functions; High energy physics; Internet protocols; Personal computing; Public key cryptography; Random number generation; Remotely operated vehicles; Videotex; Wireless telecommunication systems; Aeronautical telecommunications networks; Air Traffic Management (ATM) systems; ARM9 processor; Embedded Linux; Private-key; Random Numbers; Air traffic control</t>
  </si>
  <si>
    <t>10.1117/12.872102</t>
  </si>
  <si>
    <t>https://www.scopus.com/inward/record.uri?eid=2-s2.0-77958075600&amp;doi=10.1117%2f12.872102&amp;partnerID=40&amp;md5=f74a64ad8103ee9d0309f2ceeb72e4f7</t>
  </si>
  <si>
    <t>P73</t>
  </si>
  <si>
    <t>Shah, I.A.; Jhanjhi, N.Z.</t>
  </si>
  <si>
    <t>Cybersecurity issues and challenges in the drone industry</t>
  </si>
  <si>
    <t>Cybersecurity Issues and Challenges in the Drone Industry is a comprehensive exploration of the critical cybersecurity problems faced by the rapidly expanding drone industry. With the widespread adoption of drones in military, commercial, and recreational sectors, the need to address cybersecurity concerns has become increasingly urgent. In this book, cybersecurity specialists collaborate to present a multifaceted approach to tackling the unique challenges posed by drones. They delve into essential topics such as establishing robust encryption and authentication systems, conducting regular vulnerability assessments, enhancing software security, advocating industry-wide standards and best practices, and educating drone users about the inherent cybersecurity risks. As drones, or unmanned aerial vehicles (UAVs), gain popularity and are deployed for various applications, ranging from aerial photography and surveillance to delivery services and infrastructure inspections, this book emphasizes the criticality of safeguarding the security, integrity, and privacy of drone systems and the data they handle. It highlights the growing vulnerability of drones to cybersecurity threats as these devices become increasingly connected and integrated into our everyday lives. This book is an invaluable resource for drone manufacturers, government agencies, regulators, cybersecurity professionals, and academia and research institutions invested in understanding and mitigating the cybersecurity risks in the drone industry. It provides insights into the use of advanced technologies, such as artificial intelligence, in addressing security issues, the importance of cyber-physical systems security, and the development of efficient and secure models for image detection using deep learning. Furthermore, the book explores the security concerns associated with AI-based drones in smart cities and offers guidelines for measuring appropriate security measures. Cybersecurity Issues and Challenges in the Drone Industry serves as a roadmap for protecting the integrity and resilience of drone systems in the face of evolving cybersecurity threats. By promoting a collaborative and proactive approach, this book equips stakeholders with the knowledge and strategies necessary to ensure the safe and secure operation of drones in today's interconnected world. © 2024 by IGI Global. All rights reserved.</t>
  </si>
  <si>
    <t>10.4018/979-8-3693-0774-8</t>
  </si>
  <si>
    <t>https://www.scopus.com/inward/record.uri?eid=2-s2.0-85191256888&amp;doi=10.4018%2f979-8-3693-0774-8&amp;partnerID=40&amp;md5=6862c71754a665f0eee0fc57b1e4245e</t>
  </si>
  <si>
    <t>P730</t>
  </si>
  <si>
    <t>Beaudoin, L.; Gademer, A.; Avanthey, L.; Germain, V.; Vittori, V.</t>
  </si>
  <si>
    <t>Potential threats of UAS swarms and the countermeasure's need</t>
  </si>
  <si>
    <t>The rising capabilities and growing accessibility of recent Unmanned Aerial Systems (UAS) widen the risks of success of a terrorists attack through the current aerial defence systems. We will examine first the complexity of the threats from a single unmanned vehicle, to a team of unmanned vehicles and finally to a swarm of unmanned vehicles (and any other association of these three combinations). Then, from an operational point of view, we will see that early detection of danger - a critical stage in the development of counter-attacks - has become very difficult because small unmanned vehicles like UASs precisely possess the ability to take off directly within the sphere of attack. The next stage, equally critical, consists in elaborating the response that best fits the attack. We distinguish three general categories of active and passive countermeasures: destruction, incapacitation and jamming of the enemy UASs. We will then study several possible countermeasures appropriate to the type of attack (enemy's formation: isolated drone, team, swarm; weapon type: bomb, kamikaze, bacteriological etc.). We first present countermeasures that are rather conventional (they usually come from air defense systems) and others specific to the UAS case. We will finish by a case study in which we will tackle the use of simplified physical models for calculating positions in real time in an optimized way in a UAS swarm under constraints.</t>
  </si>
  <si>
    <t>Countermeasure; Swarms; Terrorism; Unmanned aerial system; Models; Terrorism; Air-defense system; Best fit; Countermeasure; Defence systems; Physical model; Potential threats; Real time; Swarms; Terrorists attack; Unmanned aerial systems; Unmanned vehicles</t>
  </si>
  <si>
    <t>https://www.scopus.com/inward/record.uri?eid=2-s2.0-84872897209&amp;partnerID=40&amp;md5=5abee658604399dc4cbe049e11d48a26</t>
  </si>
  <si>
    <t>P731</t>
  </si>
  <si>
    <t>Faughnan, M.S.; Hourican, B.J.; Macdonald, G.C.; Srivastava, M.; Wright, J.-P.A.; Haimes, Y.Y.; Andrijcic, E.; Guo, Z.; White, J.C.</t>
  </si>
  <si>
    <t>Risk analysis of Unmanned Aerial Vehicle hijacking and methods of its detection</t>
  </si>
  <si>
    <t>The Federal Aviation Administration (FAA) is in the process of integrating Unmanned Aerial Vehicles (UAVs) into the National Airspace System (NAS) through the Next Generation Air Transportation System (NextGen). A critical component of integrating UAVs into the NAS is the timely identification and mitigation of cyber attacks that could overtake control of a UAV, without the UAV operator's knowledge of a security breach. In an effort to address this risk, this paper aims to achieve two objectives: (i) identify risks of cyber attacks on a UAV and (ii) create a methodology through which UAV operators are informed of such a security breach. The results of this study are intended to support the MITRE Corporation's efforts to identify and control risks associated with UAV integration into the NAS. To achieve the first objective the Capstone team utilized established risk assessment methodologies to identify risk scenarios and filter those scenarios into a manageable list. To achieve the second objective the team developed a methodology that measures the UAV velocity through two on-board systems and any significant difference in the two measures indicates a potential security breach. The team designed and performed an experiment using car movement to simulate UAV flight and performed statistical analysis on the results of the experiment. This contributed to a framework for determining a detection threshold for an alarm system to indicate a UAV may have been hijacked. The threshold accounts for a minimum difference between the two calculations of the velocity data and the duration of time in which this difference occurs, which can be calibrated to minimize Type I (false positive) and Type II (false negative) errors. The recommendation to the MITRE Corporation will contribute to the ongoing efforts to securely integrate UAVs into the NAS. © 2013 IEEE.</t>
  </si>
  <si>
    <t>Air transportation; Alarm systems; Crime; Experiments; Industry; Risk assessment; Risk perception; Detection threshold; Federal Aviation Administration; National airspace system; Next-generation air transportation systems; Risk assessment methodologies; Significant differences; Timely identification; Unmanned aerial vehicle (UAVs); Unmanned aerial vehicles (UAV)</t>
  </si>
  <si>
    <t>10.1109/SIEDS.2013.6549509</t>
  </si>
  <si>
    <t>https://www.scopus.com/inward/record.uri?eid=2-s2.0-84881323002&amp;doi=10.1109%2fSIEDS.2013.6549509&amp;partnerID=40&amp;md5=8164cd19d6207484b08d931724b730e6</t>
  </si>
  <si>
    <t>P732</t>
  </si>
  <si>
    <t>Mohammed, A.B., Chaari Fourati, L., Fakhrudeen, A.M.</t>
  </si>
  <si>
    <t>Isolation Forest Algorithm Against UAV's GPS Spoofing Attack</t>
  </si>
  <si>
    <t>Nowadays, Unmanned Aerial Vehicle (UAV) platforms are a valuable source of data for inspection, surveillance, mapping, and 3D modeling issues. Embedded electronic and communication systems within UAVs are based on the integration of the Internet of Things (IoT) into UAV systems (commonly called the Internet of Drone Things (IoDT)). Nevertheless, the vulnerability of this interconnected environment to malicious activities, such as GPS spoofing, threatens the dependability and security of UAV operations. To countermeasure this challenging issue, this article uses an effective anomaly detection method, the Isolation Forest algorithm, for mitigating GPS spoofing threats. A well-curated dataset specifically targeting the detection of GPS deception in UAVs has been utilized. Extensive experiments were conducted to compare our proposal with its counterparts (Random Forest and Naive Bayes). The experimental outcomes demonstrate the Isolation Forest algorithm’s efficiency in anomaly detection, attaining a noteworthy accuracy rate of (95.85%). However, Random Forest and Naive Bayes achieved (93.63%) and (92.38%), respectively. Other performance evaluation metrics show that the Isolation Forest works better than others, which supports its potential as a reliable way for anomaly detection when GPS spoofing happens in UAVs. The insight obtained from this research can provide valuable input for creating proactive security protocols to guarantee the secure implementation and functioning of UAVs.</t>
  </si>
  <si>
    <t>10.1109/iThings-GreenCom-CPSCom-SmartData-Cybermatics62450.2024.00090</t>
  </si>
  <si>
    <t>P733</t>
  </si>
  <si>
    <t>Wan, Z., Cho, J.-H., Zhu, M., Anwar, A., Kamhoua, C., Singh, M.</t>
  </si>
  <si>
    <t>Optimizing Effectiveness and Defense of Drone Surveillance Missions via Honey Drones</t>
  </si>
  <si>
    <t>P734</t>
  </si>
  <si>
    <t>Rimoli, G.P., Palmieri, F., Ficco, M.</t>
  </si>
  <si>
    <t>Synthetic threat Dataset Generation by UAV fleet Simulation</t>
  </si>
  <si>
    <t>P735</t>
  </si>
  <si>
    <t>Corraro, G., Corraro, F., Flora, A., Cuciniello, G., Garbarino, L., Senatore, R.</t>
  </si>
  <si>
    <t>Dual-Frequency Multi-Constellation Global Navigation Satellite System/Inertial Measurements Unit Tight Hybridization for Urban Air Mobility Applications</t>
  </si>
  <si>
    <t>P74</t>
  </si>
  <si>
    <t>Yang, F.; Wang, C.; Xiong, J.; Deng, N.; Zhao, N.; Li, Y.</t>
  </si>
  <si>
    <t>UAV-Enabled Robust Covert Communication Against Active Wardens</t>
  </si>
  <si>
    <t>This correspondence investigates the robust unmanned aerial vehicle (UAV) enabled covert communication system with active ground wardens of collusive detection and location uncertainty. The three-dimensional (3D) trajectory and transmit power of UAV are jointly optimized to maximize the average covert transmission rate subject to the worst-case covertness constraint. The problem is intractable due to its nonconvexity and semi-positive definite matrix constraint, and an iterative suboptimal algorithm is proposed based on the block coordinate descent, S-procedure and successive convex optimization to tackle it. Numerical results demonstrate that the proposed scheme is effective and robust for UAV-enabled covert communications against active wardens. © 2024 IEEE. Personal use is permitted, but republication/redistribution requires IEEE permission.</t>
  </si>
  <si>
    <t>Active detection; covert communication; covert transmission rate; unmanned aerial vehicle (UAV); Aircraft detection; Antennas; Autonomous vehicles; Convex optimization; Drones; Jamming; Three dimensional displays; Vehicle to vehicle communications; Vehicle transmissions; Active detection; Aerial vehicle; Covert communications; Covert transmission rate; Jamming; Optimisations; Three-dimensional display; Transmission rates; Uncertainty; Unmanned aerial vehicle; Iterative methods</t>
  </si>
  <si>
    <t>10.1109/TVT.2024.3360998</t>
  </si>
  <si>
    <t>https://www.scopus.com/inward/record.uri?eid=2-s2.0-85184324852&amp;doi=10.1109%2fTVT.2024.3360998&amp;partnerID=40&amp;md5=fdd4d57e75da137373fd83672661ec2c</t>
  </si>
  <si>
    <t>P75</t>
  </si>
  <si>
    <t>Wang, X.; Liang, J.; Rongliang, L.</t>
  </si>
  <si>
    <t>In-site experimental study on the effects of infrared thermal imaging technology on levee leakage detection</t>
  </si>
  <si>
    <t>Excessive seepage significantly affects the stability of levees during flood seasons. Recently, infrared thermal imaging technology has been proposed to detect the seepage leakage of levees for its simplicity, high efficiency and non-contact. However, previous studies mainly focused on theoretical and laboratory tests to verify its effect, which involve many assumptions and simplification. This paper aims to study the practical application effects of infrared thermal imaging technology on levee leakage detection. A typical embankment in Xiangyin County, Hunan Province is selected as the studied area, where a specific point containing water is considered as the potential leakage point. Then, DJI M300RTK UAV equipped with Zenith H20T gimbal is adopted to collect the visible and infrared images of the embankment’s leaking point. The visible and infrared image data collected at different times and at different measurement heights are analyzed to investigate the detection accuracy of infrared thermal imaging technology. Results show that the infrared thermal imaging technology can accurately identify the potential seepage leakage point of levees. Compared with the visible light recognition method, the infrared thermal imaging technology can identify the location and scope of leakage hazards more clearly and accurately at night. During the daytime, infrared detection is less effective than visible light method. Moreover, the measurement altitude between the drone and the target leakage points significantly affects the detection accuracy of infrared thermal imaging technology. © The Author(s) 2024.</t>
  </si>
  <si>
    <t>Hidden hazard detection; Infrared thermography; Levees; Seepage; Seepage heat transfer; adult; altitude; article; drone; experimental study; female; heat transfer; human; human experiment; infrared radiation; laboratory test; male; night; thermography; water</t>
  </si>
  <si>
    <t>10.1038/s41598-024-77383-w</t>
  </si>
  <si>
    <t>https://www.scopus.com/inward/record.uri?eid=2-s2.0-85208167829&amp;doi=10.1038%2fs41598-024-77383-w&amp;partnerID=40&amp;md5=d5795546b56c65b6ff29a3df2426124a</t>
  </si>
  <si>
    <t>P76</t>
  </si>
  <si>
    <t>Veksler, M.; Akkaya, K.; Uluagac, S.</t>
  </si>
  <si>
    <t>Catch me if you can: Covert Information Leakage from Drones using MAVLink Protocol</t>
  </si>
  <si>
    <t>The number of applications of unmanned aerial vehicles (UAVs) (aka drones) is rapidly expanding. However, the wireless and broadcast nature of communications between the drones and their operators (i.e., Ground control station (GCS)) presents a risk for this channel to be exploited by outsiders. Specifically, an attacker can abuse benign communications as a cover to leak sensitive drone data secretly to nearby adversaries within the transmission range of a drone. Therefore, in this paper, we investigate the threat of information leakage through MAVLink, a drone control protocol that is widely used in the majority of drone autopilot systems and is considered a de-facto standard. We show that multiple covert channels can be created in MAVLink by exploiting its lack of security mechanisms, default broadcast messages, and redundant features. We design and implement the novel covert channels on a realistic drone testbed in practical settings and assess their feasibility. Our extensive results demonstrate that attackers can effectively exfiltrate different types of sensitive data from drones with a high throughput via MAVLink-based covert channels in the presence of an active warden at the GCS. Finally, we provide an in-depth analysis of several countermeasures for MAVLink-based covert channels to improve the protocol’s security. To the best of our knowledge, this is the first work exploiting the popular MAVLink protocol for covert communications and demonstrating how it can be manipulated by the adversary for secret communications over commodity drones. © 2024 Copyright held by the owner/author(s).</t>
  </si>
  <si>
    <t>covert channels; drones; information leakage; MAVLink; unmanned aerial vehicles (UAVs); Antennas; Rock mechanics; Sensitive data; Aerial vehicle; Autopilot systems; Control protocols; Covert channels; De facto standard; Ground-control stations; Information leakage; MAVLink; Transmission ranges; Unmanned aerial vehicle; Drones</t>
  </si>
  <si>
    <t>10.1145/3634737.3637672</t>
  </si>
  <si>
    <t>https://www.scopus.com/inward/record.uri?eid=2-s2.0-85199291347&amp;doi=10.1145%2f3634737.3637672&amp;partnerID=40&amp;md5=3727fa9e100c2574c8d9630df5e22976</t>
  </si>
  <si>
    <t>P77</t>
  </si>
  <si>
    <t>Schäffer, S.; Wolfrum, J.; Lueck, M.; Osterholz, J.</t>
  </si>
  <si>
    <t>Decomposition and vulnerability of CFRP under laser impact with powers of up to 120 kW</t>
  </si>
  <si>
    <t>The use of drones and unmanned aerial vehicles (UAVs) poses an increasing aerial threat in both military and civilian sectors. High-energy laser (HEL) systems emerge as a promising way to countermeasure these threats with excellent precision and minimal collateral damage. Considering that UAVs and drones are predominantly constructed from lightweight construction materials like carbon fiber-reinforced polymer (CFRP), investigating the vulnerability of this material class becomes crucial, as it directly impacts the resistance of these platforms against high-energy laser countermeasures. This study presents research on HEL interactions with carbon fiber-reinforced polymer (CFRP) composites, exploring the effects of continuous wave (CW) laser powers of up to 120 kW. We established a laboratory environment that meets the demands of operational safety requirements for laser processing of CFRP including a robot-controlled sample exchange and automatic laser beam shut-off. The interaction of the laser with the composite material was evaluated using high-speed images showing the rapid expansion of a smoke cloud, that contains fragments of fibers and a partially ionized plasma. Experiments reveal a decrease in perforation times with increasing laser power, which can be described by a power law. A detailed examination of the damaged samples, visually and via micro-focused computed X-ray tomography, offers insights into heat affected zones and ablation dynamics. Furthermore, compression after impact (CAI) tests assess the residual strength of the irradiated CFRP panels. A decrease of the compressive strength of a factor of about 2 is observed. The outcomes of this research contribute to the understanding of CFRP behavior under extreme laser conditions, providing valuable knowledge of the dynamic interactions between high-energy lasers and complex composite materials, highlighting potential applications for countermeasures in defense technology. © 2024 SPIE.</t>
  </si>
  <si>
    <t>CFRP; composite; High-Energy Laser; Laser effects; Laser-impact; Volume-ablation; vulnerability; Carbon carbon composites; Carbon fiber reinforced plastics; Cracking (chemical); Fighter aircraft; Glass ceramics; Gluing; Health hazards; Laser ablation; Laser beam machining; Laser damage; Laser materials processing; Laser safety; Military vehicles; Radar countermeasures; Snow and ice removal; Aerial vehicle; Carbon fibre reinforced polymer; Composites material; High-energy lasers; Laser effects; Laser power; Laser-impact; Power; Volume ablation; Vulnerability; Drones</t>
  </si>
  <si>
    <t>10.1117/12.3031480</t>
  </si>
  <si>
    <t>https://www.scopus.com/inward/record.uri?eid=2-s2.0-85210031693&amp;doi=10.1117%2f12.3031480&amp;partnerID=40&amp;md5=1e7d0efef595cb9dcfd37c94396dc02c</t>
  </si>
  <si>
    <t>P78</t>
  </si>
  <si>
    <t>Tufekci, B.; Arslan, A.; Tunc, C.; Morozov, K.</t>
  </si>
  <si>
    <t>Enhancing the Security of the MAVLink with Symmetric Authenticated Encryption for Drones</t>
  </si>
  <si>
    <t>The Micro Air Vehicle Link (MAVLink) protocol plays a crucial role in enabling communication between drones and Ground Control Stations (GCS). With the increasing adoption of drones, the security and integrity of MAVLink protocol have also become paramount. This paper delves into the fundamental aspects of MAVLink, highlighting its security challenges and proposing potential solutions to enhance its resilience against cyber threats. The study presents findings on the vulnerabilities of the MAVLink protocol and introduces a novel approach to securing communications on the MAVLink protocol for drones. The paper evaluates different Authenticated Encryption with Associated Data (AEAD) schemes and their impact on the performance of MAVLink, emphasizing the importance of encryption and authentication for ensuring data security. The results demonstrate the efficiency of the Chacha20Poly1305 encryption mechanism in execution time, the AES-OCB3 scheme as the least CPU-intensive, and AES-CCM in terms of memory usage. By adding the AEAD scheme into the MAVLink payload, we not only provide message confidentiality, integrity, and authenticity but also provide MAVLink header integrity to the drone environment.  © 2024 IEEE.</t>
  </si>
  <si>
    <t>cryptography; cybersecurity; Drone; GCS; MAVLink; UAV; Authentication; Authentication Protocol; Cybersecurity; Micro air vehicle (MAV); Target drones; Authenticated encryption; Cyber security; Cyber threats; Ground-control stations; Link protocols; Micro air vehicle link; Micro air-vehicles; Performance; Security challenges; Symmetrics; Drones</t>
  </si>
  <si>
    <t>10.1109/IOTSMS62296.2024.10710297</t>
  </si>
  <si>
    <t>https://www.scopus.com/inward/record.uri?eid=2-s2.0-85208075442&amp;doi=10.1109%2fIOTSMS62296.2024.10710297&amp;partnerID=40&amp;md5=76380e1984541f2b9d942cb04739f7d3</t>
  </si>
  <si>
    <t>P79</t>
  </si>
  <si>
    <t>Al-lQubaydhi, N.; Alenezi, A.; Alanazi, T.; Senyor, A.; Alanezi, N.; Alotaibi, B.; Alotaibi, M.; Razaque, A.; Hariri, S.</t>
  </si>
  <si>
    <t>Deep learning for unmanned aerial vehicles detection: A review</t>
  </si>
  <si>
    <t>As a new type of aerial robotics, drones are easy to use and inexpensive, which has facilitated their acquisition by individuals and organizations. This unequivocal and widespread presence of amateur drones may cause many dangers, such as privacy breaches by reaching sensitive locations of authorities and individuals. In this paper, we summarize the performance-affecting factors and major obstacles to drone use and provide a brief background of deep learning. Then, we summarize the types of UAVs and the related unethical behaviors, safety, privacy, and cybersecurity concerns. Then, we present a comprehensive literature review of current drone detection methods based on deep learning. This area of research has arisen in the last two decades because of the rapid advancement of commercial and recreational drones and their combined risk to the safety of airspace. Various deep learning algorithms and their frameworks with respect to the techniques used to detect drones and their areas of applications are also discussed. Drone detection techniques are classified into four categories: visual, radar, acoustics, and radio frequency-based approaches. The findings of this study prove that deep learning-based detection and classification of drones looks promising despite several challenges. Finally, we provide some recommendations to meet future expectations. © 2023 Elsevier Inc.</t>
  </si>
  <si>
    <t>Convolutional neural network; Deep learning; Drone detection; Recurrent neural network; Unmanned aerial vehicle; Aircraft detection; Antennas; Convolutional neural networks; Deep neural networks; Drones; Learning algorithms; Safety engineering; Aerial robotics; Aerial vehicle; Affecting factors; Convolutional neural network; Deep learning; Drone detection; Performance; Privacy breaches; Unmanned aerial vehicle; Vehicles detection; Recurrent neural networks</t>
  </si>
  <si>
    <t>10.1016/j.cosrev.2023.100614</t>
  </si>
  <si>
    <t>https://www.scopus.com/inward/record.uri?eid=2-s2.0-85184656031&amp;doi=10.1016%2fj.cosrev.2023.100614&amp;partnerID=40&amp;md5=7df130c44b36740e21b9b30c7ad7908a</t>
  </si>
  <si>
    <t>P8</t>
  </si>
  <si>
    <t>Kumar, N.; Chaudhary, A.</t>
  </si>
  <si>
    <t>Surveying cybersecurity vulnerabilities and countermeasures for enhancing UAV security</t>
  </si>
  <si>
    <t>Drones and other forms of Unmanned Aerial Vehicles (UAVs) usages are increasing with time from military operations like surveillance, reconnaissance to commercial operations such as transportation, agriculture. The Drone market will be grown to around 43 billion USD by the 2025. With the increase in the usages, there is increase in cyber-attacks. So, Drone security and privacy are of major concern as they are used to perform the critical operations. The rapid adoption of UAVs in various sectors has prompted the need for robust and comprehensive cyber security measures. By implementing robust countermeasures, such as authentication, encryption etc. the risks posed by cyber threats can be significantly mitigated. The study investigates cyber security vulnerabilities and countermeasures in UAV systems within the scope of Authentication techniques, Physical Layer Security, Covert Communication. Relaying and Trajectory Optimization techniques are also discussed so that the flight trajectory can be optimized. It also discusses the communication modes used in UAV communication. An analysis of communication protocols is also carried out in this survey. The goal of the survey is to get the idea of cyber security threats involved in UAV communication. Our analysis emphasizes the importance of a holistic approach to UAV cyber security, leveraging the synergies among these domains to enhance overall resilience. © 2024 Elsevier B.V.</t>
  </si>
  <si>
    <t>Authentication; Covert communication; Cryptography; Cyber-attacks; GCS; Physical layer security; Relaying; Trajectory optimization; UAV; Aerodynamics; Antennas; Commercial vehicles; Cryptography; Cybersecurity; Drones; Military operations; Military vehicles; Network security; Aerial vehicle; Covert communications; Cyber security; Cyber-attacks; GCS; Physical layer security; Relaying; Trajectory optimization; Unmanned aerial vehicle; Vehicle communications; Authentication</t>
  </si>
  <si>
    <t>10.1016/j.comnet.2024.110695</t>
  </si>
  <si>
    <t>https://www.scopus.com/inward/record.uri?eid=2-s2.0-85200806532&amp;doi=10.1016%2fj.comnet.2024.110695&amp;partnerID=40&amp;md5=b9ac0c4a03c15f1d66aefbbd47166ef1</t>
  </si>
  <si>
    <t>P80</t>
  </si>
  <si>
    <t>Sophia, S.; Paulraj, G.J.L.; Jebadurai, I.J.</t>
  </si>
  <si>
    <t>Internet of Drones Security and Privacy</t>
  </si>
  <si>
    <t>The usage of unmanned aerial vehicles has increased in the recent past in various applications due to their ability to transport objects, take images, and feed live videos. Incorporated with the Internet of Things, the unmanned aerial vehicle has been renamed the Internet of Drones. Applications of the Internet of Drones include traffic surveillance, defense, agriculture crops monitoring, cinematography, underwater purposes, healthcare, logistics, commercial aids, GIS (geographic information system) mapping, environmental management, smart cities, disaster management, search and rescue operations, and various military applications. The decentralized network and management architecture of drones are connected and controlled to form the Internet of Drones. In the Internet of Drone environment, a network made up of numerous drones transmits and receives data from one another. A lack of security makes it possible for an attacker to exploit this vulnerability and manipulate or abuse sensor inputs or functions, or deactivate them to launch cyber-attacks and produce unpleasant failsafe measures. The possibility and frequency of these attacks are very high, which affects the privacy, confidentiality, availability, integrity, and trust of drone data. Thus, the security and privacy threats have to be addressed and it is necessary to take preventive and protective countermeasures. This chapter surveys the possible cyber-attacks and the security against such attacks. Also, it comes up with new technologies and techniques to overcome cyber-attacks on the Internet of Drones. Finally, it guides future research to help in the identification of the most recent Internet of Drone research opportunities. © 2024 River Publishers. All rights reserved.</t>
  </si>
  <si>
    <t>https://www.scopus.com/inward/record.uri?eid=2-s2.0-85201577894&amp;partnerID=40&amp;md5=02d3410fc148daa2e09e829ee063cdbe</t>
  </si>
  <si>
    <t>P81</t>
  </si>
  <si>
    <t>Ștefan, O.; Codrean, A.</t>
  </si>
  <si>
    <t>Networked Control of a Small Drone Resilient to Cyber Attacks</t>
  </si>
  <si>
    <t>With increasing advances in networked systems and networked control systems in everyday life, the problem of cybersecurity becomes crucial. Moreover, in some applications like small UAVs, the safety and integrity of the system and its surroundings are highly susceptible to cyberattacks. In this context, the current paper proposes a resilient networked control approach. The control structure is split into an inner and an outer loop. The outer position control loop uses measurements from motion cameras connected to a remote computer, while the commands are sent through the network. We consider the resilience problem for two types of cyberattacks: denial of service (DoS), emulated as an increase in the network transmission delay, and man in the middle (MitM), emulated as additive input disturbances. The mitigation for the DoS attack is performed through the help of a reference governor (RG), which uses the delay estimates and the system’s model to predict future safety violations and adapts the reference accordingly. The MitM attack is mitigated by an unknown input disturbance observer (UIDO) together with a RG. Experimental results on a Parrot Mambo drone show that both types of attacks are rejected successfully, ensuring a safe and stable flight. © 2024 by the authors.</t>
  </si>
  <si>
    <t>networked control; resilience to cyber attacks; small drones; Computer viruses; Delay control systems; Denial-of-service attack; Drones; Networked control systems; Target drones; Cyber security; Cyber-attacks; Man in the middle; Networked controls; Networked systems; Reference governors; Resilience to cybe attack; Small drone; Small UAV; System control; Cyber attacks</t>
  </si>
  <si>
    <t>10.3390/drones8100552</t>
  </si>
  <si>
    <t>https://www.scopus.com/inward/record.uri?eid=2-s2.0-85207657008&amp;doi=10.3390%2fdrones8100552&amp;partnerID=40&amp;md5=ec0e760a41f1a291b526a7d5eb7f3d40</t>
  </si>
  <si>
    <t>P82</t>
  </si>
  <si>
    <t>Panda, D.K.; Guo, W.</t>
  </si>
  <si>
    <t>Action Robust Reinforcement Learning for Air Mobility Deconfliction Against Conflict Induced Spoofing</t>
  </si>
  <si>
    <t>Increased dynamic drone usage has increased complexity in aerial navigation and often demands distributed local deconfliction. Due to the high velocities and few landmarks, robust deconfliction relies on precise positioning and synchronization. However, intentional spoofing attacks aimed at inducing navigation conflicts threaten the reliability of conventional techniques. Here, we address these concerns by establishing a baseline on the impact of novel conflict-inducing spoofing attacks on existing geometric navigation methods. Based on the impact of the attacks on the navigation, reinforcement learning (RL) strategy is used to counter the effects of spoofing attacks. In order to counter the effect of spoofing in randomized dynamic airspace conditions, a zero-sum action-robust (ZSAR) RL based on mixed Nash equilibrium objective is used. The proposed methodology yields an improved number of conflict-free paths while reducing average conflicts compared to existing state of the art RL strategies, thus making it suitable for deploying autonomous aircrafts. © 2000-2011 IEEE.</t>
  </si>
  <si>
    <t>adversarial network; conflict resolution; deconfliction; reinforcement learning; Spoofing; UAV; Air mobility; Air navigation; Contrastive Learning; Reinforcement learning; Unmanned aerial vehicles (UAV); Adversarial networks; Aerial navigation; Conflict Resolution; Deconfliction; High velocity; Learning strategy; Precise positioning; Reinforcement learnings; Spoofing; Spoofing attacks; Adversarial machine learning</t>
  </si>
  <si>
    <t>10.1109/TITS.2024.3454354</t>
  </si>
  <si>
    <t>https://www.scopus.com/inward/record.uri?eid=2-s2.0-85205009274&amp;doi=10.1109%2fTITS.2024.3454354&amp;partnerID=40&amp;md5=f7b9894733327ac9f4b8f6d9bc8e8bbb</t>
  </si>
  <si>
    <t>P83</t>
  </si>
  <si>
    <t>Mehta, S.; Kundra, D.</t>
  </si>
  <si>
    <t>Improving Drone Operational Efficiency through IoT-Blockchain Integration</t>
  </si>
  <si>
    <t>This article presented a new hybrid modular framework incorporating IoT technologies and blockchain. One of the proposed framework's main goals is to eliminate the flaws related to drone communication networks, including security risks and performance inefficiency. The article reveals the examination that helps drone operations become more secure, efficient, and reliable using the alternate framework. There is tremendous progress, which is visible when you compare it to ordinary communication methods. These are the significant findings from the experiment in which 120 milliseconds were reduced to 90 milliseconds of transmitting time. Also, from 50 Mbps to 70 Mbps, the amount of data sent each second is improved, and the operational time improved from 95% to 99%. Besides, integrated mechanisms also increase and reach up to 95% of the initial 70% of the capability of fighting cyber-attacks. However, it offers perfect data integrity at the whooping rate of 100%. This directs blockchain technology as the pillar of drone communications because it provides safe access and secures communications from unauthorized tampering. Moreover, the 5 Wh of energy saved from 40 Wh to 35 Wh suggests that the framework is the most efficient while solving the need for sustainability and the effectiveness of drone operations. Moreover, these achievements reveal the framework's superiority in resolving drone communication systems' challenges and, ultimately, fuel the evolution of drone technology used in various sectors by providing a reliable and flexible system. © 2024 IEEE.</t>
  </si>
  <si>
    <t>Blockchain-based Access Control Scheme; Ground Station Server; Internet of Drones (IoD); Privacy Preservation; Secure Communication; Unmanned Aerial Vehicles (UAVs); Aircraft communication; Antenna grounds; Blockchain; Data privacy; Secure communication; Access control schemes; Aerial vehicle; Block-chain; Blockchain-based access control scheme; Ground station server; Ground stations; Internet of drone; Operational efficiencies; Privacy preservation; Unmanned aerial vehicle; Drones</t>
  </si>
  <si>
    <t>10.1109/CONIT61985.2024.10626752</t>
  </si>
  <si>
    <t>https://www.scopus.com/inward/record.uri?eid=2-s2.0-85202761774&amp;doi=10.1109%2fCONIT61985.2024.10626752&amp;partnerID=40&amp;md5=454d6fb6a6b347224c2fd7b68d3b7dbf</t>
  </si>
  <si>
    <t>P84</t>
  </si>
  <si>
    <t>Alabidy, A.; Zaben, A.; Abu-Sharkh, O.M.F.; Noman, H.A.</t>
  </si>
  <si>
    <t>A Survey on AI-Based Detection Methods of GPS Spoofing Attacks on UAVs</t>
  </si>
  <si>
    <t>Global Positioning System (GPS) spoofing attacks on unmanned aerial vehicles (UAVs) can cause severe consequences, including abnormal behavior, privacy breaches, safety hazards, financial losses, and national security risks. Hence, detecting and preventing GPS spoofing attacks on UAVs is paramount to ensure their safety and security. This survey paper explores the cutting-edge techniques based on artificial intelligence (AI) proposed in the literature for detecting GPS spoofing attacks on UAVs. We present an overview of the UAV navigation system and then delve into the concept of GPS spoofing, encompassing its various forms, such as soft and hard spoofing. Furthermore, we discuss the advantages of utilizing AI in developing detection methods compared to traditional approaches. Subsequently, we analyze the detection methods based on deep learning (DL) and machine learning (ML) proposed in the literature, evaluating their strengths and weaknesses whenever feasible. Our survey provides valuable insights for researchers and practitioners working in the fields of AI and UAV security with the target of developing more advanced and effective AI-based methods for GPS spoofing detection on UAVs.  © 2024 IEEE.</t>
  </si>
  <si>
    <t>deep learning; detection; drone; GPS spoofing; machine learning; UAV; unmanned aerial vehicle; Adversarial machine learning; Aircraft detection; Deep learning; Target drones; Aerial vehicle; Deep learning; Detection; Global positioning; Global positioning system spoofing; Machine-learning; Positioning system; Unmanned aerial vehicle; Global positioning system</t>
  </si>
  <si>
    <t>10.1109/IS61756.2024.10705273</t>
  </si>
  <si>
    <t>https://www.scopus.com/inward/record.uri?eid=2-s2.0-85208417620&amp;doi=10.1109%2fIS61756.2024.10705273&amp;partnerID=40&amp;md5=88445a0f6064bd8b4d8b27915838bddb</t>
  </si>
  <si>
    <t>P85</t>
  </si>
  <si>
    <t>Moudoud, H.; El Houda, Z.A.; Brik, B.</t>
  </si>
  <si>
    <t>Reputation-Aware Scheduling for Secure Internet of Drones: A Federated Multi-Agent Deep Reinforcement Learning Approach</t>
  </si>
  <si>
    <t>The rapid integration of unmanned aerial vehicles (UAVs) into the Internet of Things (IoT) has paved the way for the Internet of Drones (IoD). Leveraging advanced technologies, including 5G, IoD introduces new opportunities across various industries. However, with the rapid proliferation of insecure drones, the perspective on IoD has changed from being a facilitator of smart cities to becoming a powerful tool for cyberattacks. To tackle this issue, this paper introduces a novel framework that uses a Multi-Agent federated learning and deep reinforcement learning approach to secure IoD networks against new emerging threats while preserving privacy. Moreover, we develop a reputation-aware scheduling algorithm that allocates bandwidth to reliable drones, emphasizing the reduction of communication expenses during the learning process and prioritizing participants demonstrating superior model learning performance. The effectiveness of our proposed framework is evaluated using real-world IoD-based attack data. The results obtained confirm that our proposed framework improves IoD security while ensuring privacy and resilient defense against potential threats in the IoD ecosystem. © 2024 IEEE.</t>
  </si>
  <si>
    <t>Deep Q Learning (DQL); Internet of Drones (IoD); Multi-Agent Federated Learning (MAFL); 5G mobile communication systems; Adversarial machine learning; Contrastive Learning; Deep learning; Deep reinforcement learning; Differential privacy; Drones; Multi agent systems; Reinforcement learning; Scheduling algorithms; % reductions; Advanced technology; Aerial vehicle; Cyber-attacks; Deep Q learning; Internet of drone; Multi agent; Multi-agent federated learning; Q-learning; Reinforcement learning approach; Federated learning</t>
  </si>
  <si>
    <t>10.1109/INFOCOMWKSHPS61880.2024.10620746</t>
  </si>
  <si>
    <t>https://www.scopus.com/inward/record.uri?eid=2-s2.0-85202350603&amp;doi=10.1109%2fINFOCOMWKSHPS61880.2024.10620746&amp;partnerID=40&amp;md5=bc8e16274fb3d577a675dada8a0f51e5</t>
  </si>
  <si>
    <t>P86</t>
  </si>
  <si>
    <t>Vanitha, N.; Rakshun Selvaa, S.K.</t>
  </si>
  <si>
    <t>Cyber Security Investigation of GPS-Spoofing Attack in Military UAV Networks</t>
  </si>
  <si>
    <t>Unmanned Aerial Vehicles (UAV) in military are prone to attacks by hackers and terrorists and this concern deals with a Nation’s security. GPS-Spoofing is a technique used by attackers to bring down a UAV to ground or to capture drone and perform Reverse Engineering which posses a key threat to Defense Systems and software suites being stolen. An UAV is captured when a spoofer gains the ability to eventually specify the UAV’s position and velocity estimates. Both overt and covert spoofing strategies are estimated. GPS-Spoofing incidents have led to Military drones being captured in overseas territories while flying in restricted airspace. GPS-Spoofing is a threat to UAV’s as they misguide the drones to think enemy bases as home base and they fall as a prey to the wrong hands. The paper aims to Explore through the theoretical frameworks to counter GPS-Spoofing with enhanced security and reliable navigation techniques. Averting a GPS-Spoofing attack through the integration of inertial as well as sensor reference data is theorized in this paper further. © The Author(s), under exclusive license to Springer Nature Switzerland AG 2024.</t>
  </si>
  <si>
    <t>GPS-Spoofing; Military; Reverse Engineering; UAV; Aircraft accidents; Cyber attacks; Direct air capture; Global positioning system; Military helicopters; Reverse engineering; Software design; Terrorism; Aerial vehicle; Cyber security; Defence systems; GPS-spoofing; Military; Software suite; Spoofing attacks; Systems and software; Unmanned aerial vehicle; Vehicle network; Drones</t>
  </si>
  <si>
    <t>10.1007/978-3-031-61929-8_17</t>
  </si>
  <si>
    <t>https://www.scopus.com/inward/record.uri?eid=2-s2.0-85204558206&amp;doi=10.1007%2f978-3-031-61929-8_17&amp;partnerID=40&amp;md5=4cc9840387d3a2dbc64fe6b70151d408</t>
  </si>
  <si>
    <t>P87</t>
  </si>
  <si>
    <t>Zhang, X.-K.; Li, J.-G.; Yang, J.</t>
  </si>
  <si>
    <t>Plume Finding with Frontier-Based Planner</t>
  </si>
  <si>
    <t>Toxic/hazardous gas leaks seriously jeopardize public safety and the ecological environment, and how to utilize drones with on-board gas sensors to quickly detect gas plumes at an early stage of a gas leak and take timely measures can effectively prevent the expansion of the accident. Traditional plume finding methods have the disadvantages of poor targeting, long search times, and repeated exploration in some areas. In view of this, this paper proposes a method of plume finding with frontier-based planner, where a heuristic function is designed to select optimal observation points and thus plan path to search plume. Here an air-mass path model is constructed to estimate the region that would likely be observed by the UAV at a candidate observation site on the frontier, and the area of the unknown part in the region is considered as the environmental exploration gain. The change in flight direction and the distance traveled by the UAV are used as environmental exploration costs when it will fly from its current pose to the candidate observation site. Simulation results show that the proposed frontier-based exploration method for plume finding has good performance in odor source localization tasks in outdoor environments. © 2024 IEEE.</t>
  </si>
  <si>
    <t>Air-mass Path Model; frontier-based planner; heuristic function; plume finding; Flight paths; Odorization; Target drones; Air mass; Air-mass path model; Environmental exploration; Frontier-based planner; Gas leaks; Hazardous gas; Heuristic functions; Path models; Plume finding; Public safety; Direct air capture</t>
  </si>
  <si>
    <t>10.1109/IAI63275.2024.10730632</t>
  </si>
  <si>
    <t>https://www.scopus.com/inward/record.uri?eid=2-s2.0-85209672731&amp;doi=10.1109%2fIAI63275.2024.10730632&amp;partnerID=40&amp;md5=80d33e02be64c9ba6d6fa8285e421b5c</t>
  </si>
  <si>
    <t>P88</t>
  </si>
  <si>
    <t>Pärlin, K.; Riihonen, T.; Le Nir, V.; Adrat, M.</t>
  </si>
  <si>
    <t>Physical-Layer Reliability of Drones and Their Counter-Measures: Full Versus Half Duplex</t>
  </si>
  <si>
    <t>— In this article, we study the advantages and disadvantages that full-duplex (FD) radio technology brings to remote-controlled drone and counter-drone systems in comparison to classical half-duplex (HD) radio technology. We consider especially the physical-layer reliability perspective that has not yet been comprehensively studied. For establishing a solid analytical background, we first derive original closed-form expressions to evaluate demodulation and detection performance of frequency-hopped and frequency-shift keyed drone remote control signals under external or self-inflicted interference. The developed analytical tools are verified by comparison to simulated results and then used to study the impact that the operation mode has on the operable area of drones and effectiveness of counter-drone systems in different scenarios, linking the physical layer performance to practical safety. Analysis of the scenarios shows that FD operation compared to HD can improve the effectiveness of a counter-drone system and that in FD mode a drone can detect the attacks from the counter-drone system from a greater distance than in HD mode. However, two-way communication between the remote controller and drone in FD mode compared to HD significantly reduces the drone’s operable area when targeted by a smart counter-drone system. © 2024 Institute of Electrical and Electronics Engineers Inc.. All rights reserved.</t>
  </si>
  <si>
    <t>counter-drone; drone; energy detection; full-duplex; half-duplex; jamming; Reliability; UAV; Aircraft control; Aircraft detection; Finite difference method; Jamming; Network layers; Reliability; Remote control; Communication system security; Counter-drone; Energy detection; Frequency control; Full-duplex; Half-duplex; Jamming; Receiver; Security; Wireless communications; Drones</t>
  </si>
  <si>
    <t>10.1109/TWC.2023.3290257</t>
  </si>
  <si>
    <t>https://www.scopus.com/inward/record.uri?eid=2-s2.0-85164447694&amp;doi=10.1109%2fTWC.2023.3290257&amp;partnerID=40&amp;md5=906182ec6c7e845cb185bbe31c2c74e5</t>
  </si>
  <si>
    <t>P89</t>
  </si>
  <si>
    <t>Gao, A.; Wang, Q.; Hu, Y.; Liang, W.; Zhang, J.</t>
  </si>
  <si>
    <t>Dynamic Role Switching Scheme With Joint Trajectory and Power Control for Multi-UAV Cooperative Secure Communication</t>
  </si>
  <si>
    <t>Due to the high flexibility and mobility, unmanned aerial vehicles (UAVs) can be deployed as aerial relays touring to serve ground users (GUs), especially when the ground base station is temporally damaged. However, the broadcasting nature of wireless channels makes such communication vulnerable to be wiretapped by malicious eavesdropping users (EUs). Besides the collecting offloading data for legitimate GUs, UAVs are also expected to be friendly jammers, i.e., generating artificial noise (AN) to deteriorate the wiretapping of EUs. With this in mind, a novel role switching scheme (RSS) is proposed in the paper to guarantee the secure communication by the cooperation of multiple UAVs, where each UAV is allowed to switch its role as a collector or a jammer autonomously to explore a wider trajectory space. It's worthy to be noticed that the joint optimization for the trajectory of UAVs and the transmission power of GUs and UAVs with role switching scheme is a non-convex mixed integer non-linear programming (MINLP) problem. Since the relaxation of binary variables will lead the solution dropping into local minimum, a deep reinforcement learning (DRL) combined successive convex approximate (SCA) algorithm is further designed to maximize the achievable secrecy rate (ASR) of GUs. Numerical results illustrate that compared with the role fixed scheme (RFS) and relaxation based SCA approaches, the proposed DRL-SCA algorithm endows UAVs the capacity to fly close enough to target users (both GUs and EUs) with less moving distance which brings better ASR and less energy consumption.  © 2002-2012 IEEE.</t>
  </si>
  <si>
    <t>deep reinforcement learning; role switching; secure communication; successive convex approximate; Unmanned aerial vehicles; Antennas; Convex optimization; Cooperative communication; Deep learning; Drones; Heuristic algorithms; Jamming; Military applications; Nonlinear programming; Reinforcement learning; Secure communication; Trajectories; Vehicle to vehicle communications; Aerial vehicle; Deep reinforcement learning; Energy-consumption; Heuristics algorithm; Jamming; Reinforcement learnings; Role switching; Successive convex approximate; Unmanned aerial vehicle; Wireless communications; Energy utilization</t>
  </si>
  <si>
    <t>10.1109/TWC.2023.3287849</t>
  </si>
  <si>
    <t>https://www.scopus.com/inward/record.uri?eid=2-s2.0-85163707801&amp;doi=10.1109%2fTWC.2023.3287849&amp;partnerID=40&amp;md5=5e1c66b4fa41a6d2973152f473f4c809</t>
  </si>
  <si>
    <t>P9</t>
  </si>
  <si>
    <t>Liu, Z.; Zhu, B.; Xie, Y.; Ma, K.; Guan, X.</t>
  </si>
  <si>
    <t>UAV-Aided Secure Communication With Imperfect Eavesdropper Location: Robust Design for Jamming Power and Trajectory</t>
  </si>
  <si>
    <t>This paper exploits the mobility of an unmanned aerial vehicle (UAV) to improve the physical layer (PLS) security against potential eavesdropping scenarios, where the sensitive data transmitted from a ground base station (GBS) to multiple information receivers (IRs) is easily eavesdropped by multiple non-colluding eavesdroppers (Eves). Specifically, the UAV is employed as a friendly jammer to transmit artificial noise to degrade the wiretap channels. By leveraging the UAV's mobility and the possibility of establishing line-of-sight links, the UAV can move close to the Eves and opportunistically jam them. Especially, two practical factors, namely, the imperfect location information of Eves and the existence of no-fly zones are considered. Since only the partial position information of the Eves can be known, as the worst case, the minimum average secrecy rate of IRs is robustly optimized by jointly designing the trajectory and jamming power of the UAV, and the transmission power of the GBS to ensure the security of all IRs. However, the formulated problem with coupled variables is non-convex and intractable. As such, an efficient alternative iterative suboptimal algorithm is proposed to solve this problem by applying the block coordinate descent, successive convex approximation, slack variables, and mathcal {S}-Procedure. Numerical results reveal that the proposed robust algorithm can substantially improve the max-min average secrecy rate, and the effectiveness of the proposed algorithm is further verified by comparing it with three benchmark schemes.  © 1967-2012 IEEE.</t>
  </si>
  <si>
    <t>no-fly-zone; physical layer security; robust design; trajectory optimization; transmit power optimization; UAV-adied communication; Antennas; Approximation algorithms; Autonomous vehicles; Base stations; Cryptography; Drones; Iterative methods; Jamming; Network layers; Security systems; Sensitive data; Aerial vehicle; Communication system security; Jamming; No-fly-zone; Physical layer security; Power Optimization; Robust designs; Security; Trajectory optimization; Transmit power; Transmit power optimization; Unmanned aerial vehicle-adied communication; Wireless communications; Trajectories</t>
  </si>
  <si>
    <t>10.1109/TVT.2023.3347769</t>
  </si>
  <si>
    <t>https://www.scopus.com/inward/record.uri?eid=2-s2.0-85181572608&amp;doi=10.1109%2fTVT.2023.3347769&amp;partnerID=40&amp;md5=0ffc3036a4f824d4629aa556876b17a5</t>
  </si>
  <si>
    <t>P90</t>
  </si>
  <si>
    <t>Tufekci, B.; Quach, V.; Tunc, C.; Dantu, R.</t>
  </si>
  <si>
    <t>DUDE-IDS: A Framework for Efficiently Detecting Network-Related Drone Cyberattacks</t>
  </si>
  <si>
    <t>Drones have become essential to various industries due to their capabilities in inspections, transportation, mapping, and delivery. As the drone market expands rapidly, so does the need for robust security measures to safeguard against cyberattacks. This paper introduces DUDE-IDS, a novel intrusion detection system (IDS) specifically designed for drones. Firstly, we introduce a time interval approach for generating labeled data. Then, we propose new features that can capture time-related patterns in drone network data. This approach enriches the representation of network flows, providing a better understanding of the dynamics of cyberattacks over time. DUDE-IDS takes advantage of knowledge derived from the time interval approach and the augmented feature set, which leads to improved detection capabilities. It utilizes supervised machine learning to analyze network traffic and detect anomalies, achieving high accuracy (95.84%), precision (96.18%), recall (95.84%), and F1 scores (95.62%). Experimental results also demonstrate the efficiency of DUDE-IDS in real-time analysis, utilizing minimal memory resources. Through a series of experiments, the paper showcases the capability of DUDE-IDS to successfully detect and differentiate between various attack scenarios such as TCP SYN flood, Man-in-the-Middle (MITM), TCP reset, UDP flood, and deauthentication.  © 2024 IEEE.</t>
  </si>
  <si>
    <t>CPS; cybersecurity; drone; IDPS; IDS; machine learning; UAV; Cybersecurity; Intelligent systems; Intrusion detection; Network intrusion; Network security; Supervised learning; CPS; Cyber security; Cyber-attacks; IDPS; Intrusion Detection Systems; Labeled data; Machine-learning; Robust security; Security measure; Time interval; Drones</t>
  </si>
  <si>
    <t>10.1109/IOTSMS62296.2024.10710230</t>
  </si>
  <si>
    <t>https://www.scopus.com/inward/record.uri?eid=2-s2.0-85208067719&amp;doi=10.1109%2fIOTSMS62296.2024.10710230&amp;partnerID=40&amp;md5=74434bfcaaa1058dfe681775acdf7f74</t>
  </si>
  <si>
    <t>P91</t>
  </si>
  <si>
    <t>Kolbeinsson, B.; Mikolajczyk, K.</t>
  </si>
  <si>
    <t>DDOS: The Drone Depth and Obstacle Segmentation Dataset</t>
  </si>
  <si>
    <t>The advancement of autonomous drones, essential for sectors such as remote sensing and emergency services, is hindered by the absence of training datasets that fully capture the environmental challenges present in real-world scenarios, particularly operations in non-optimal weather conditions and the detection of thin structures like wires. We present the Drone Depth and Obstacle Segmentation (DDOS) dataset to fill this critical gap with a collection of synthetic aerial images, created to provide comprehensive training samples for semantic segmentation and depth estimation. Specifically designed to enhance the identification of thin structures, DDOS allows drones to navigate a wide range of weather conditions, significantly elevating drone training and operational safety. Additionally, this work introduces innovative drone-specific metrics aimed at refining the evaluation of algorithms in depth estimation, with a focus on thin structure detection. These contributions not only pave the way for substantial improvements in autonomous drone technology but also set a new benchmark for future research, opening avenues for further advancements in drone navigation and safety. © 2024 IEEE.</t>
  </si>
  <si>
    <t>aerial; dataset; depth estimation; drones; obstacle detection; semantic segmentation; UAV; Aerial photography; Aircraft detection; Benchmarking; Drones; Obstacle detectors; Condition; Dataset; Depth Estimation; Environmental challenges; Obstacle segmentation; Obstacles detection; Remote-sensing; Semantic segmentation; Thin structure; Training dataset; Semantic Segmentation</t>
  </si>
  <si>
    <t>10.1109/CVPRW63382.2024.00728</t>
  </si>
  <si>
    <t>https://www.scopus.com/inward/record.uri?eid=2-s2.0-85206454529&amp;doi=10.1109%2fCVPRW63382.2024.00728&amp;partnerID=40&amp;md5=37fda3a32fc5392cfed027cf3fba306b</t>
  </si>
  <si>
    <t>P92</t>
  </si>
  <si>
    <t>Allmamun, M.; Akter, F.; Talukdar, M.B.U.; Chakraborty, S.; Uddin, J.</t>
  </si>
  <si>
    <t>Drone Detection and Tracking using Deep Convolutional Neural Networks from Real-time CCTV Footage</t>
  </si>
  <si>
    <t>Drones are flying objects that may be controlled remotely or programmed to do a wide range of tasks, including aerial photography, videography, surveys, crop and animal monitoring, search and rescue missions, package delivery, and military operations. Unrestrained use, however, can pose a significant threat to safety, privacy, and security through eavesdropping, flying close to prohibited locations, interfering with public events, and delivering illicit items. Hence, real-time drone detection and tracking are indispensable and appropriate measures. This study developed real-time drone detection and tracking using the most efficient deep-learning approaches. The models were fine-tuned first to suit the required purpose and yield the desired outcome. The performance of the developed system was better than that of earlier endeavors in terms of accuracy and loss. Of the seven fined-tuned models, the Xception model constantly rendered the maximum accuracy with negligible loss. The model outperformed other state-of-the-art architectures, exhibiting an accuracy and loss of 99.18% and 3.83, respectively. Copyrights © 2024 The Institute of Electronics and Information Engineers.</t>
  </si>
  <si>
    <t>Computer vision; Deep learning; Drone detection; Drone tracking; Object detection; OpenCV; UAV; Xception; Aircraft detection; Convolutional neural networks; Deep neural networks; Drones; Image recording; Military photography; Video recording; Convolutional neural network; Deep learning; Detection and tracking; Drone detection; Drone tracking; Flying objects; Objects detection; Opencv; Real- time; Xception; Aerial photography</t>
  </si>
  <si>
    <t>10.5573/IEIESPC.2024.13.4.313</t>
  </si>
  <si>
    <t>https://www.scopus.com/inward/record.uri?eid=2-s2.0-85203458123&amp;doi=10.5573%2fIEIESPC.2024.13.4.313&amp;partnerID=40&amp;md5=2d1e1eb8a070cc11f72fe07c508bc1ce</t>
  </si>
  <si>
    <t>P93</t>
  </si>
  <si>
    <t>Devi, B.R.; Sarveshwaran, V.</t>
  </si>
  <si>
    <t>A Nouvelle Optimal Intelligent Learning (OIL) Framework for Secured Data Transmission and Link Quality Analysis in UAV Systems</t>
  </si>
  <si>
    <t>Unmanned Aerial Vehicles (UAVs), also known as drones, have gained popularity recently and are being used for a number of reasons. They are common aerial vehicles that have connections with the internet and are capable of identifying themselves and interact with other devices by transmitting information through intelligent gadgets. UAVs are flying vehicles that can fly on their own or with manned operator assistance. For certain crucial applications, the security of UAVs and their wireless communications is crucial. This research presents a new framework, the Optimal Intelligent Learning (OIL) model that facilitates successful data exchange in UAV systems. In order to provide reliable data transfer with the least amount of information loss, a Deep Attention Predictor (DAP) methodology is applied in this instance to precisely detect the links between communication devices. The Heap Optimized Routing Model (HORM) is then used to determine plausible, reliable routes from the source to the destination. In addition, the Recurrent Auto Encoding based Assault Detector (RAE-AD) method looks at a number of characteristics, including travel duration, signal strength, packet size, delivery rate, connection quality, and data transmission priority, in order to identify malicious nodes inside the communication network. Moreover, three d's such as delivery rate, detection rate, and latency-are used to compare and contrast the simulation results and conclusions of the suggested OIL framework.  © 2024 IEEE.</t>
  </si>
  <si>
    <t>and Link Prediction; Artificial Intelligence (AI); Cyber Security; Deep Learning; Optimization; Unmanned Aerial Vehicle (UAV); Antennas; Cybersecurity; Data communication systems; Data transfer; Deep learning; Learning systems; Unmanned aerial vehicles (UAV); Vehicle transmissions; Aerial vehicle; And link prediction; Artificial intelligence; Cyber security; Deep learning; Intelligent learning; Learning frameworks; Link prediction; Optimisations; Unmanned aerial vehicle; Electronic data interchange</t>
  </si>
  <si>
    <t>10.1109/ACCAI61061.2024.10601850</t>
  </si>
  <si>
    <t>https://www.scopus.com/inward/record.uri?eid=2-s2.0-85200551102&amp;doi=10.1109%2fACCAI61061.2024.10601850&amp;partnerID=40&amp;md5=58ea9f31e7e4c91763db88a32bc9ab3c</t>
  </si>
  <si>
    <t>P94</t>
  </si>
  <si>
    <t>Guo, W.; Zhang, Z.; Chang, L.; Song, Y.; Yin, L.</t>
  </si>
  <si>
    <t>A DDoS Tracking Scheme Utilizing Adaptive Beam Search with Unmanned Aerial Vehicles in Smart Grid</t>
  </si>
  <si>
    <t>As IoT technology advances, the smart grid (SG) has become crucial to industrial infrastructure. However, SG faces security challenges, particularly from distributed denial of service (DDoS) attacks, due to inadequate security mechanisms for IoT devices. Moreover, the extensive deployment of SG exposes communication links to attacks, potentially disrupting communications and power supply. Link flooding attacks (LFAs) targeting congested backbone links have increasingly become a focal point of DDoS attacks. To address LFAs, we propose integrating unmanned aerial vehicles (UAVs) into the Smart Grid (SG) to offer a three-dimensional defense perspective. This strategy includes enhancing the speed and accuracy of attack path tracking as well as alleviating communication congestion. Therefore, our new DDoS tracking scheme leverages UAV mobility and employs beam search with adaptive beam width to reconstruct attack paths and pinpoint attack sources. This scheme features a threshold iterative update mechanism that refines the threshold each round based on prior results, improving attack path reconstruction accuracy. An adaptive beam width method evaluates the number of abnormal nodes based on the current threshold, enabling precise tracking of multiple attack paths and enhancing scheme automation. Additionally, our path-checking and merging method optimizes path reconstruction by merging overlapping paths and excluding previously searched nodes, thus avoiding redundant searches and infinite loops. Simulation results on the Keysight Ixia platform demonstrate a 98.89% attack path coverage with a minimal error tracking rate of 2.05%. Furthermore, simulations on the NS-3 platform show that drone integration not only bolsters security but also significantly enhances network performance, with communication effectiveness improving by 88.05% and recovering to 82.70% of normal levels under attack conditions. © 2024 by the authors.</t>
  </si>
  <si>
    <t>adaptive beam width; beam search; DDoS tracking; IoT; smart grid; UAV; Aircraft communication; Aircraft detection; Particle beam tracking; Smart antennas; Static random access storage; Vehicle-to-grid; Adaptive beam width; Aerial vehicle; Attack path; Beam search; Beam widths; Distributed denial of service; Distributed denial of service tracking; IoT; Smart grid; Unmanned aerial vehicle; Unmanned aerial vehicles (UAV)</t>
  </si>
  <si>
    <t>10.3390/drones8090437</t>
  </si>
  <si>
    <t>https://www.scopus.com/inward/record.uri?eid=2-s2.0-85205075766&amp;doi=10.3390%2fdrones8090437&amp;partnerID=40&amp;md5=6a0c20989280a35fc1782abe610de469</t>
  </si>
  <si>
    <t>P95</t>
  </si>
  <si>
    <t>Sheng, H.; Chen, G.; Xu, Q.; Li, X.; Men, J.; Zhou, L.; Zhao, J.</t>
  </si>
  <si>
    <t>An advanced gas leakage traceability &amp; dispersion prediction methodology using unmanned aerial vehicle</t>
  </si>
  <si>
    <t>Rapid prediction of gas leakage traceability &amp; dispersion (GLTD) is critical for the emergency management of chemical industrial parks (CIPs). Existing GLTD prediction methods are limited by the spatial coverage and number of fixed gas sensors. It is also not possible to provide any specific information about the leak scene. Inspired by emerging drone technologies, this work proposed an advanced UAV-driven GLTD prediction methodology. The dispersion concentration field of the hazardous chemical leakage is simulated based on an improved Gaussian plume model, and then high precision and efficiency prediction is achieved by an improved sparrow search algorithm (ISSA), which can periodically update the flight strategy of UAVs. The proposed methodology is validated by a case study of a CIP in China. The results indicate that, compared with the traditional fixed sensors-driven strategy based on PSO, GA and SSA, the involvement of UAVs based on ISSA can reduce the prediction errors by 86.7%, 88.2% and 53.4%. Further analysis is conducted on the impact of algorithm parameters (UAV locations, number of UAVs, sampling frequency and step size) on search efficiency. The optimal algorithm parameters are discussed from the perspectives of cost effectiveness and computational efficiency. This work has the potentials to assist in constructing an intelligent emergency decision support system for CIPs. © 2024</t>
  </si>
  <si>
    <t>Gas leakage traceability &amp; dispersion (GLTD); Hazardous chemical leakage; Improve sparrow search algorithm (ISSA); Improved Gaussian plume model; Unmanned aerial vehicle (UAV); Antennas; Artificial intelligence; Computational efficiency; Cost effectiveness; Decision support systems; Dispersions; Hazards; Learning algorithms; Parameter estimation; Risk management; Unmanned aerial vehicles (UAV); Aerial vehicle; Chemicals leakage; Gas leakage traceability &amp; dispersion; Gas leakages; Gaussian plume models; Hazardous chemical leakage; Hazardous chemicals; Improve sparrow search algorithm; Improved gaussian plume model; Search Algorithms; Unmanned aerial vehicle; Forecasting</t>
  </si>
  <si>
    <t>10.1016/j.jlp.2024.105276</t>
  </si>
  <si>
    <t>https://www.scopus.com/inward/record.uri?eid=2-s2.0-85186490212&amp;doi=10.1016%2fj.jlp.2024.105276&amp;partnerID=40&amp;md5=4b5a07c01ebd5db2b7a6087809cdd4cf</t>
  </si>
  <si>
    <t>P96</t>
  </si>
  <si>
    <t>Ouadah, M.; Merazka, F.</t>
  </si>
  <si>
    <t>Securing UAV Communication: Authentication and Integrity</t>
  </si>
  <si>
    <t>Recent technological advancements have seen the integration of unmanned aerial networks (UAVs) into various sectors, from civilian missions to military operations. In this context, ensuring security, precisely authentication, is essential to prevent data theft and manipulation. A Man-in-the-Middle attack not only compromises network integrity but also threatens the original data, potentially leading to theft or alteration. In this work, we proposed an authentication method to secure UAV data exchange over an insecure communication channel. Our solution combines Diffie-Hellman (DH) key exchange and Hash-based Message Authentication Code (HMAC) within ROS communication channels to authenticate exchanged UAV data. We evaluated our method by measuring transmission time and simulating key tampering, finding acceptable performance for DH key sizes below 4096 bits but longer times for larger sizes due to increased complexity. Both drones successfully detected tampered keys, affirming our method's efficacy in protecting UAV communication. However, scalability challenges in resource-constrained environments warrant further research.  © 2024 IEEE.</t>
  </si>
  <si>
    <t>Authentication; CIA; Drone; Gazebo; Integrity; ROS; UAV; Aircraft communication; Authentication; Authentication Protocol; Crime; Data privacy; Military communications; Network security; Aerial networks; CIA; Data manipulations; Data thefts; Gazebo; Integrity; Man in the middle; Network integrity; ROS; Technological advancement; Drones</t>
  </si>
  <si>
    <t>10.1109/WINCOM62286.2024.10656843</t>
  </si>
  <si>
    <t>https://www.scopus.com/inward/record.uri?eid=2-s2.0-85204309734&amp;doi=10.1109%2fWINCOM62286.2024.10656843&amp;partnerID=40&amp;md5=8e3c2151cdc206620fe0e0780cd87b4a</t>
  </si>
  <si>
    <t>P97</t>
  </si>
  <si>
    <t>Bouzabia, H.; Meftah, A.; Kaddoum, G.</t>
  </si>
  <si>
    <t>Federated Learning-Enabled Smart Jammer Detection in Terrestrial and Non-Terrestrial Heterogeneous Joint Sensing and Communication Networks</t>
  </si>
  <si>
    <t>In this letter, we propose a novel federated learning (FL) framework for detecting smart jamming in heterogeneous joint sensing and communication within terrestrial and non-terrestrial (HJSAC-TNT) networks. Our approach addresses the threat that signal-replicating smart jammers pose to unmanned aerial vehicle (UAV) operations by integrating a specially designed filtering technique, called a dynamic adaptive spectro-temporal resilience filter (DASTRF), into a local variational autoencoder (VAE) that has been enhanced with vision transformer (ViT) and long short-term memory (LSTM) units, called an FL-based ViT-LSTM-VAE. This setup effectively distinguishes between authentic signals and jamming interference by applying the DASTRF to the time-frequency distribution (TFD). It extracts discriminating features from unknown jamming without prior knowledge and refines waveform discrimination. Our FL framework significantly enhances the tradeoff between sensing and communication, thereby improving detection accuracy and jamming resistance with moderate time and resource complexity. This advancement ensures more reliable communications and secure target detection in complex network scenarios. © 1997-2012 IEEE.</t>
  </si>
  <si>
    <t>FL; jammers; JSAC; security; TNT networks; VAE; waveform fingerprinting; Aircraft detection; Antennas; Complex networks; Drones; Jamming; Palmprint recognition; Signal detection; Tracking radar; Auto encoders; Chirp; Federated learning; Fingerprint Recognition; Jammers; Jamming; JSAC; Radar detection; Security; TNT network; Variational autoencoder; Waveform fingerprinting; Waveforms; Long short-term memory</t>
  </si>
  <si>
    <t>10.1109/LCOMM.2024.3428973</t>
  </si>
  <si>
    <t>https://www.scopus.com/inward/record.uri?eid=2-s2.0-85198748953&amp;doi=10.1109%2fLCOMM.2024.3428973&amp;partnerID=40&amp;md5=83e071f7b04b602a11bc5cefa78a38e7</t>
  </si>
  <si>
    <t>P98</t>
  </si>
  <si>
    <t>Alsumayt, A.; Nagy, N.; Alsharyofi, S.; Al Ibrahim, N.; Al-Rabie, R.; Alahmadi, R.; Alesse, R.A.; Alahmadi, A.A.</t>
  </si>
  <si>
    <t>Detecting Denial of Service Attacks (DoS) over the Internet of Drones (IoD) Based on Machine Learning</t>
  </si>
  <si>
    <t>The use of Unmanned Aerial Vehicles (UAVs) or drones has increased lately. This phenomenon is due to UAVs’ wide range of applications in fields such as agriculture, delivery, security and surveillance, and construction. In this context, the security and the continuity of UAV operations becomes a crucial issue. Spoofing, jamming, hijacking, and Denial of Service (DoS) attacks are just a few categories of attacks that threaten drones. The present paper is focused on the security of UAVs against DoS attacks. It illustrates the pros and cons of existing methods and resulting challenges. From here, we develop a novel method to detect DoS attacks in UAV environments. DoS attacks themselves have many sub-categories and can be executed using many techniques. Consequently, there is a need for robust protection and mitigation systems to shield UAVs from DoS attacks. One promising security solution is intrusion detection systems (IDSs). IDs paired with machine learning (ML) techniques provide the ability to greatly reduce the risk, as attacks can be detected before they happen. ML plays an important part in improving the performance of IDSs. The many existing ML models that detect DoS attacks on UAVs each carry their own strengths and limitations. © 2024 by the authors.</t>
  </si>
  <si>
    <t>Denial of Service (DoS); Internet of Drones (IoD); intrusion detection system (IDS); machine learning (ML); Unmanned Aerial Vehicle (UAV)</t>
  </si>
  <si>
    <t>10.3390/sci6030056</t>
  </si>
  <si>
    <t>https://www.scopus.com/inward/record.uri?eid=2-s2.0-85205056508&amp;doi=10.3390%2fsci6030056&amp;partnerID=40&amp;md5=cd7de952eb57a7b4935f283caf9fecb1</t>
  </si>
  <si>
    <t>P99</t>
  </si>
  <si>
    <t>Raj, M.; N B, H.; Gupta, S.; Atiquzzaman, M.; Rawlley, O.; Goel, L.</t>
  </si>
  <si>
    <t>Leveraging precision agriculture techniques using UAVs and emerging disruptive technologies</t>
  </si>
  <si>
    <t>The next great innovation in Unmanned Aerial Vehicles (UAV) technology is smart UAVs, which aim to provide new possibilities in numerous applications. There is an increasing usage of UAVs in various fields of civil applications including live tracking, wireless connectivity, distribution of goods, remote sensing, protection and surveillance, precision agriculture, and review of civil infrastructure. UAVs or drones have a tremen- dous potential to provide smart farming with various productive solutions. Internet of Things (IoT) technologies together with UAVs are anticipated to transform agriculture, allowing decision- making in days rather than weeks, offering substantial cost savings and yield increases. These technologies are employed in a number of different ways, from monitoring crop status and amount of moisture in soil in real time to using drones to help with activities such as the application of pesticide spray. Nonethe- less, the employment of such IoT and smart networking technol- ogy, exposes the smart farming ecosystem to cyber security risks and vulnerabilities. This survey gives a detailed understanding of UAV applications in Precision Agriculture (PA). In this survey, we demonstrate a comprehensive analysis on security and privacy in a smart farming scenario. In this complex and dispersed cyber- physical environment, we describe how Blockchain technology along with 5 G in UAVs communication network can dissipate the security issues of the network. The survey addresses possible scenarios for cyber threats and the advancement in the fields of machine learning and artificial intelligence that can boost cybersecurity. At last, the survey outlines open research issues and future directions in the field of cybersecurity in UAVs and PA. © 2024</t>
  </si>
  <si>
    <t>Artificial Intelligence; Blockchain; Cyber Attacks; Internet of things; Machine Learning; Precision agri- culture; Smart farming; Unmanned aerial vehicles</t>
  </si>
  <si>
    <t>10.1016/j.nexus.2024.100300</t>
  </si>
  <si>
    <t>https://www.scopus.com/inward/record.uri?eid=2-s2.0-85191292329&amp;doi=10.1016%2fj.nexus.2024.100300&amp;partnerID=40&amp;md5=70833dc8d67c6ddeaf01ffcaaab83369</t>
  </si>
  <si>
    <t>Scores</t>
  </si>
  <si>
    <t>Description</t>
  </si>
  <si>
    <t>N° of papers</t>
  </si>
  <si>
    <t>Available</t>
  </si>
  <si>
    <t>Screening</t>
  </si>
  <si>
    <t>ToT papers</t>
  </si>
  <si>
    <t>Discarded</t>
  </si>
  <si>
    <t>Selected</t>
  </si>
  <si>
    <t>ToT Eligible</t>
  </si>
  <si>
    <t>N° of papers Eligible</t>
  </si>
  <si>
    <t>Included</t>
  </si>
  <si>
    <t>Eligibility</t>
  </si>
  <si>
    <t>Eligible papers</t>
  </si>
  <si>
    <t>Included papers</t>
  </si>
  <si>
    <t>Papers focused on examples or approaches or method of cyber-attacks (DDOS, jamming, spoofing, etc) in AAM. These papers provide at least an introduction on cyberattacks in AAM.</t>
  </si>
  <si>
    <t>Papers focused on Cyber-resilience &amp; AAM: taxonomy of cyber-attacks, countermeasures, recommendations, safety and resilience perspective.</t>
  </si>
  <si>
    <t>Identification</t>
  </si>
  <si>
    <t>Start Eligibility</t>
  </si>
  <si>
    <t>Papers focused on Cyber-resilience &amp; AAM: Literature review and surveys</t>
  </si>
  <si>
    <t>Total available</t>
  </si>
  <si>
    <t>Out of scope 0: technical publications that cover cybersecurity, communication, robust protocols, integrated network, blockchain, and other approaches to defending or addressing cyber-attacks in aviation or AAM.</t>
  </si>
  <si>
    <t>NA</t>
  </si>
  <si>
    <t>Out of scope 1: papers on UAVs operations to monitoring, inspections, identification, assessment (industrial plants, agricolture, pipeline,wildlife,…)</t>
  </si>
  <si>
    <t>Out of scope 2: papers focused on enhancing or adding new AAM/UAV features (Positioning through GPS, security, communication, flight mechanics, image acquisition, detection, antennas interference), other operational use.</t>
  </si>
  <si>
    <t>Out of scope 3:  papers on enhancing or adding new features applying neural network, AI, blockchain, machine learning algorithm, with little to none focus on cybersecurity, cyber-resilience, AAM, drones.</t>
  </si>
  <si>
    <t>Out of scope 4: paper focused on different topic than AAM &amp; Cybersecurity, completely out of scope</t>
  </si>
  <si>
    <t>Discarded: type of document</t>
  </si>
  <si>
    <t>Duplicate</t>
  </si>
  <si>
    <t>Duplicates paper from the advanced search</t>
  </si>
  <si>
    <t>ID</t>
  </si>
  <si>
    <t>ID_1</t>
  </si>
  <si>
    <t>ID_2</t>
  </si>
  <si>
    <t>PR</t>
  </si>
  <si>
    <t>PR_1</t>
  </si>
  <si>
    <t>PR_2</t>
  </si>
  <si>
    <t>PR_3</t>
  </si>
  <si>
    <t>PR_4</t>
  </si>
  <si>
    <t>PR_5</t>
  </si>
  <si>
    <t>DE</t>
  </si>
  <si>
    <t>DE_1</t>
  </si>
  <si>
    <t>DE_2</t>
  </si>
  <si>
    <t>RS</t>
  </si>
  <si>
    <t>RS_1</t>
  </si>
  <si>
    <t>RS_2</t>
  </si>
  <si>
    <t>RS_3</t>
  </si>
  <si>
    <t>RS_4</t>
  </si>
  <si>
    <t>RC</t>
  </si>
  <si>
    <t>RC_1</t>
  </si>
  <si>
    <t>R</t>
  </si>
  <si>
    <t>M</t>
  </si>
  <si>
    <t>B</t>
  </si>
  <si>
    <t>C</t>
  </si>
  <si>
    <t>S</t>
  </si>
  <si>
    <t>Communication Attacks</t>
  </si>
  <si>
    <t>Hybrid or Multi-vector Attacks</t>
  </si>
  <si>
    <t>Authentication &amp; Access Control Attacks</t>
  </si>
  <si>
    <t>Network-based Attacks</t>
  </si>
  <si>
    <t>Data Security &amp; Privacy Attacks</t>
  </si>
  <si>
    <t>Software &amp; Firmware Vulnerabilities</t>
  </si>
  <si>
    <t>Miscellanea</t>
  </si>
  <si>
    <t>Physical Attacks</t>
  </si>
  <si>
    <t>Malware &amp; Exploits</t>
  </si>
  <si>
    <t>Author full names</t>
  </si>
  <si>
    <t>Author(s) ID</t>
  </si>
  <si>
    <t>Year</t>
  </si>
  <si>
    <t>Source title</t>
  </si>
  <si>
    <t>Volume</t>
  </si>
  <si>
    <t>Issue</t>
  </si>
  <si>
    <t>Art. No.</t>
  </si>
  <si>
    <t>Page start</t>
  </si>
  <si>
    <t>Page end</t>
  </si>
  <si>
    <t>Page count</t>
  </si>
  <si>
    <t>Link</t>
  </si>
  <si>
    <t>Author Keywords</t>
  </si>
  <si>
    <t>EID</t>
  </si>
  <si>
    <t>Novák A.; Kováčiková K.; Kandera B.; Sedláčková A.N.</t>
  </si>
  <si>
    <t>Novák, Andrej (9241050100); Kováčiková, Kristína (57226781703); Kandera, Branislav (57204831935); Sedláčková, Alena Novák (57842588600)</t>
  </si>
  <si>
    <t>9241050100; 57226781703; 57204831935; 57842588600</t>
  </si>
  <si>
    <t>Drones</t>
  </si>
  <si>
    <t>8</t>
  </si>
  <si>
    <t>3</t>
  </si>
  <si>
    <t>109</t>
  </si>
  <si>
    <t>GNSS; interference; jamming; UAV</t>
  </si>
  <si>
    <t>2-s2.0-85188723814</t>
  </si>
  <si>
    <t>Vélez S.; Ariza-Sentís M.; Panić M.; Ivošević B.; Stefanović D.; Kaivosoja J.; Valente J.</t>
  </si>
  <si>
    <t>Vélez, Sergio (57215185725); Ariza-Sentís, Mar (56964491300); Panić, Marko (33368184800); Ivošević, Bojana (56538600400); Stefanović, Dimitrije (58038387300); Kaivosoja, Jere (49861371000); Valente, João (42062501000)</t>
  </si>
  <si>
    <t>57215185725; 56964491300; 33368184800; 56538600400; 58038387300; 49861371000; 42062501000</t>
  </si>
  <si>
    <t>Smart Agricultural Technology</t>
  </si>
  <si>
    <t/>
  </si>
  <si>
    <t>100488</t>
  </si>
  <si>
    <t>2-s2.0-85196262805</t>
  </si>
  <si>
    <t>Periyasami K.; Katina P.F.; Ramasamy R.</t>
  </si>
  <si>
    <t>Periyasami, Karthikeyan (59279792400); Katina, Polinpapilinho F. (39361629100); Ramasamy, Rajagopal (57254725400)</t>
  </si>
  <si>
    <t>59279792400; 39361629100; 57254725400</t>
  </si>
  <si>
    <t>2-s2.0-85201595905</t>
  </si>
  <si>
    <t>Guo D.; Tang L.; Zhang X.; Liang Y.-C.</t>
  </si>
  <si>
    <t>Guo, Delin (57215897646); Tang, Lan (35504073000); Zhang, Xinggan (7410277485); Liang, Ying-Chang (36071330300)</t>
  </si>
  <si>
    <t>57215897646; 35504073000; 7410277485; 36071330300</t>
  </si>
  <si>
    <t>IEEE Transactions on Mobile Computing</t>
  </si>
  <si>
    <t>23</t>
  </si>
  <si>
    <t>5</t>
  </si>
  <si>
    <t>10238835</t>
  </si>
  <si>
    <t>power allocation; Proactive eavesdropping; reinforcement learning (RL); trajectory planning; unmanned aerial vehicles (UAVs)</t>
  </si>
  <si>
    <t>2-s2.0-85171565918</t>
  </si>
  <si>
    <t>Hu M.; Yan X.; Qiu M.; Zhang P.; Wang S.</t>
  </si>
  <si>
    <t>Hu, Manman (59144293500); Yan, Xiao (58000704500); Qiu, Mingjie (58599992300); Zhang, Peng (58787459400); Wang, Shengli (54992019700)</t>
  </si>
  <si>
    <t>59144293500; 58000704500; 58599992300; 58787459400; 54992019700</t>
  </si>
  <si>
    <t>Interference Resource Allocation Method Based on Constrained Reinforcement Learning</t>
  </si>
  <si>
    <t>13283</t>
  </si>
  <si>
    <t>1328340</t>
  </si>
  <si>
    <t>10.1117/12.3037194</t>
  </si>
  <si>
    <t>https://www.scopus.com/inward/record.uri?eid=2-s2.0-85212823571&amp;doi=10.1117%2f12.3037194&amp;partnerID=40&amp;md5=c1ff7e4f34130e8989d86f0ee9f5d90e</t>
  </si>
  <si>
    <t>In modern manned-unmanned cooperative flight formations confronting advanced ground-based radar networks, traditional UAV swarm jamming strategies rely heavily on centralized command from fixed nodes. This centralization, while optimizing decision quality through global situational awareness, also introduces significant vulnerabilities. Dependence on a single node makes the system prone to failure in high-intensity and uncertain environments. Additionally, UAV platform constraints, such as limited power, sensing range, and communication bandwidth, challenge the feasibility of centralized information processing across the entire network. To address these issues, this study presents a decentralized decision-making framework, incorporating an adaptive cluster jamming resource allocation strategy based on collaborative multi-agent reinforcement learning. The Actor-Critic (AC) algorithm is employed to enable autonomous behavior analysis of UAV swarms via policy networks, while a value network is utilized to evaluate and guide policy iterations. The simulation results showed an interference mode allocation result of 20 drones interfering with 3 radars, verifying the possibility of this strategy working in complex dynamic environments. © 2024 SPIE.</t>
  </si>
  <si>
    <t>Distributed Decision-Making Framework; Multi-Agent Reinforcement Learning; Unmanned Aerial Vehicles (UAVs)</t>
  </si>
  <si>
    <t>2-s2.0-85212823571</t>
  </si>
  <si>
    <t>Alharthi R.</t>
  </si>
  <si>
    <t>Alharthi, Raed (57203659754)</t>
  </si>
  <si>
    <t>57203659754</t>
  </si>
  <si>
    <t>Enhancing unmanned aerial vehicle and smart grid communication security using a ConvLSTM model for intrusion detection</t>
  </si>
  <si>
    <t>Frontiers in Energy Research</t>
  </si>
  <si>
    <t>12</t>
  </si>
  <si>
    <t>1491332</t>
  </si>
  <si>
    <t>10.3389/fenrg.2024.1491332</t>
  </si>
  <si>
    <t>https://www.scopus.com/inward/record.uri?eid=2-s2.0-85212753771&amp;doi=10.3389%2ffenrg.2024.1491332&amp;partnerID=40&amp;md5=b6ba95c0928536816d94e84406a7688e</t>
  </si>
  <si>
    <t>The emergence of small-drone technology has revolutionized the way we use drones. Small drones leverage the Internet of Things (IoT) to deliver location-based navigation services, making them versatile tools for various applications. Unmanned aerial vehicle (UAV) communication networks and smart grid communication protocols share several similarities, particularly in terms of their architecture, the nature of the data they handle, and the security challenges they face. To ensure the safe, secure, and reliable operation of both, it is imperative to establish a secure and dependable network infrastructure and to develop and implement robust security and privacy mechanisms tailored to the specific needs of this domain. The research evaluates the performance of deep learning models, including convolutional neural networks (CNN), long short-term memory (LSTM), CNN-LSTM, and convolutional long short-term memory (ConvLSTM), in detecting intrusions within UAV communication networks. The study utilizes five diverse and realistic datasets, namely, KDD Cup-99, NSL-KDD, WSN-DS, CICIDS 2017, and Drone, to simulate real-world intrusion scenarios. Notably, the ConvLSTM model consistently achieves an accuracy of 99.99%, showcasing its potential in securing UAVs from cyber threats. By demonstrating its superior performance, this work highlights the importance of tailored security mechanisms in safeguarding UAV technology against evolving cyber threats. Ultimately, this research contributes to the growing body of knowledge on UAV security, emphasizing the necessity of high-quality datasets and advanced models in ensuring the safe, secure, and reliable operation of UAV systems across various industries. Copyright © 2024 Alharthi.</t>
  </si>
  <si>
    <t>communication security; cyber resilience; intrusion detection; smart grid; unmanned aerial vehicles</t>
  </si>
  <si>
    <t>2-s2.0-85212753771</t>
  </si>
  <si>
    <t>Basak S.; Rajendran S.; Pollin S.; Scheers B.</t>
  </si>
  <si>
    <t>Basak, Sanjoy (57191051079); Rajendran, Sreeraj (57191669277); Pollin, Sofie (8601601500); Scheers, Bart (23478501400)</t>
  </si>
  <si>
    <t>57191051079; 57191669277; 8601601500; 23478501400</t>
  </si>
  <si>
    <t>IEEE Transactions on Cognitive Communications and Networking</t>
  </si>
  <si>
    <t>10</t>
  </si>
  <si>
    <t>2</t>
  </si>
  <si>
    <t>Deep learning; spectrum prediction; UAVs</t>
  </si>
  <si>
    <t>2-s2.0-85176301898</t>
  </si>
  <si>
    <t>Kumar N.; Chaudhary A.</t>
  </si>
  <si>
    <t>Kumar, Naveen (59253135800); Chaudhary, Ankit (36600087600)</t>
  </si>
  <si>
    <t>59253135800; 36600087600</t>
  </si>
  <si>
    <t>Computer Networks</t>
  </si>
  <si>
    <t>252</t>
  </si>
  <si>
    <t>110695</t>
  </si>
  <si>
    <t>Authentication; Covert communication; Cryptography; Cyber-attacks; GCS; Physical layer security; Relaying; Trajectory optimization; UAV</t>
  </si>
  <si>
    <t>2-s2.0-85200806532</t>
  </si>
  <si>
    <t>Liu Z.; Zhu B.; Xie Y.; Ma K.; Guan X.</t>
  </si>
  <si>
    <t>Liu, Zhixin (55714815900); Zhu, Ben (58796416200); Xie, Yuanai (57325394200); Ma, Kai (36650969700); Guan, Xinping (57392292000)</t>
  </si>
  <si>
    <t>55714815900; 58796416200; 57325394200; 36650969700; 57392292000</t>
  </si>
  <si>
    <t>IEEE Transactions on Vehicular Technology</t>
  </si>
  <si>
    <t>73</t>
  </si>
  <si>
    <t>no-fly-zone; physical layer security; robust design; trajectory optimization; transmit power optimization; UAV-adied communication</t>
  </si>
  <si>
    <t>2-s2.0-85181572608</t>
  </si>
  <si>
    <t>Gupta S.K.; Kumar M.; Nayyar A.; Mahajan S.</t>
  </si>
  <si>
    <t>Gupta, Sachin Kumar (57213337960); Kumar, Manoj (59315839100); Nayyar, Anand (55201442200); Mahajan, Shubham (57209224750)</t>
  </si>
  <si>
    <t>57213337960; 59315839100; 55201442200; 57209224750</t>
  </si>
  <si>
    <t>Unmanned Aircraft Systems</t>
  </si>
  <si>
    <t>10.1002/9781394230648</t>
  </si>
  <si>
    <t>https://www.scopus.com/inward/record.uri?eid=2-s2.0-85213776471&amp;doi=10.1002%2f9781394230648&amp;partnerID=40&amp;md5=7d85f7ff56c8353d7c530259fa997e81</t>
  </si>
  <si>
    <t>This book is an essential resource for anyone looking to understand the cutting-edge applications and evolving technologies of Unmanned Aerial Systems, showcasing how they enhance safety and efficiency in monitoring, emergency response, and smart city development. With the evolution of Unmanned Aircraft Systems (UAS), its applications can be observed in the fields of monitoring for fire detection, sustainable computing, emergencies, and law enforcement. They can be useful for monitoring or screening applications, as well as the deployment of smart cities, security monitoring, and communication establishments at rare locations or unapproachable locations. Thus, the wireless ad-hoc networks of Unmanned Aerial Vehicles (UAVs) and infrastructure-based UAVs can be utilized in this proposal. Unmanned aircraft systems (UAS) extend human potential and allow us to execute dangerous or difficult tasks safely and efficiently, saving time, money, and, most importantly, lives. UAS can help police, fire, and other public workers save lives in emergencies like natural disasters, locate missing animals and children, or help fight fighters. Unmanned Aircraft Systems contains novel contributions and emerging trends in the area of Unmanned Aerial Vehicles (UAV), drones, and aircraft without a human pilot aboard. It has three segments incorporating technological advancements and future trends in UAS, the policies and security aspects of UAVs, and their applications as an intelligent system. Along with these state-of-the-art techniques, this book also incorporates advances in AI and machine learning, deep learning, IoT technology, cybersecurity and Blockchain, UAV regulation policies in the United States and Europe, SOTA in ITS, and many more technological advancements, which makes this book the pioneer and benchmarking reference in these areas. © 2025 Scrivener Publishing LLC.</t>
  </si>
  <si>
    <t>2-s2.0-85213776471</t>
  </si>
  <si>
    <t>Lu F.; Liu G.; Lu W.; Gao Y.; Cao J.; Zhao N.; Nallanathan A.</t>
  </si>
  <si>
    <t>Lu, Fangwei (57216841914); Liu, Gongliang (15065645300); Lu, Weidang (59454513400); Gao, Yuan (57113859700); Cao, Jiang (57215003444); Zhao, Nan (45562028800); Nallanathan, Arumugam (6603561059)</t>
  </si>
  <si>
    <t>57216841914; 15065645300; 59454513400; 57113859700; 57215003444; 45562028800; 6603561059</t>
  </si>
  <si>
    <t>IEEE Transactions on Communications</t>
  </si>
  <si>
    <t>72</t>
  </si>
  <si>
    <t>maritime communications; MEC; Secure transmission; UAV-relay</t>
  </si>
  <si>
    <t>2-s2.0-85177032462</t>
  </si>
  <si>
    <t>Choi S.; Lee J.; Park B.; Jo J.</t>
  </si>
  <si>
    <t>Choi, Seungho (56889987900); Lee, Junghoon (56545183700); Park, Byungkoo (16639040400); Jo, Jeil (57202046191)</t>
  </si>
  <si>
    <t>56889987900; 56545183700; 16639040400; 57202046191</t>
  </si>
  <si>
    <t>Implementation and Validation of a Real-time Spoofing System</t>
  </si>
  <si>
    <t>2024 21st European Radar Conference, EuRAD 2024</t>
  </si>
  <si>
    <t>10.23919/EuRAD61604.2024.10734883</t>
  </si>
  <si>
    <t>https://www.scopus.com/inward/record.uri?eid=2-s2.0-85210863711&amp;doi=10.23919%2fEuRAD61604.2024.10734883&amp;partnerID=40&amp;md5=599a5368e2cdaa9dde477a71c8cf6cc8</t>
  </si>
  <si>
    <t>Satellite navigation deception, also known as spoof jamming technology, is crucial as an anti-drone technology being developed alongside the revitalization of the drone industry. Unlike existing simulator-type or non-real-time signal generators, this advanced drone jamming technology combines a spoofing deception signal generator with real-time target information and navigation satellite orbit data. In this study, we outlined the design, manufacturing results, and core real time performance metrics, including time and navigation message synchronization. To validate the possibility of directional guidance of an autonomous UAV through spoofing techniques, we developed a novel deception procedure and successfully demonstrated its effectiveness in controlling the flight direction of an autonomous UAV through spoof jamming. © 2024 European Microwave Association (EuMA).</t>
  </si>
  <si>
    <t>anti-drone; counter-measuring UAV; GNSS spoofing</t>
  </si>
  <si>
    <t>2-s2.0-85210863711</t>
  </si>
  <si>
    <t>Belfadel D.; Haessig D.</t>
  </si>
  <si>
    <t>Belfadel, Djedjiga (55915134800); Haessig, David (59389740600)</t>
  </si>
  <si>
    <t>55915134800; 59389740600</t>
  </si>
  <si>
    <t>FUSION 2024 - 27th International Conference on Information Fusion</t>
  </si>
  <si>
    <t>IMU; Navigation; Optical Flow; UAVs</t>
  </si>
  <si>
    <t>2-s2.0-85207692634</t>
  </si>
  <si>
    <t>Zahid M.U.; Nisar M.D.; Fazil A.; Ryu J.; Shah M.H.</t>
  </si>
  <si>
    <t>Zahid, Muhammad Usama (57965916300); Nisar, Muhammad Danish (17435054000); Fazil, Adnan (56121926300); Ryu, Jihyoung (36519735000); Shah, Maqsood Hussain (57206854889)</t>
  </si>
  <si>
    <t>57965916300; 17435054000; 56121926300; 36519735000; 57206854889</t>
  </si>
  <si>
    <t>Sensors</t>
  </si>
  <si>
    <t>24</t>
  </si>
  <si>
    <t>17</t>
  </si>
  <si>
    <t>5618</t>
  </si>
  <si>
    <t>deep ensemble learning; deep learning; drone fingerprint; ensemble learning; RF fingerprinting; specific emitter identification</t>
  </si>
  <si>
    <t>2-s2.0-85203871690</t>
  </si>
  <si>
    <t>Liaquat S.; Faizan M.; Chattha J.N.; Butt F.A.; Mahyuddin N.M.; Naqvi I.H.</t>
  </si>
  <si>
    <t>Liaquat, Salman (58725072100); Faizan, Muhammad (57195627743); Chattha, Jawwad Nasar (26029321500); Butt, Faran Awais (55825797000); Mahyuddin, Nor Muzlifah (24448238900); Naqvi, Ijaz Haider (23009130600)</t>
  </si>
  <si>
    <t>58725072100; 57195627743; 26029321500; 55825797000; 24448238900; 23009130600</t>
  </si>
  <si>
    <t>Ain Shams Engineering Journal</t>
  </si>
  <si>
    <t>15</t>
  </si>
  <si>
    <t>102707</t>
  </si>
  <si>
    <t>Digital beamforming; Drones; Global Positioning System (GPS); Pulse-Doppler radar; Software-Defined Radios (SDRs); Spoofing; Unmanned Aerial Vehicles (UAVs)</t>
  </si>
  <si>
    <t>2-s2.0-85186886308</t>
  </si>
  <si>
    <t>Thangam S.; Gupta P.K.; Kartthikeyan N.; Mukil L.D.; Niranjan D.K.</t>
  </si>
  <si>
    <t>Thangam, S. (35173605500); Gupta, Pradeep Kumar (59421081700); Kartthikeyan, N. (59420934200); Mukil, L.D. (59420022400); Niranjan, D.K. (57219282984)</t>
  </si>
  <si>
    <t>35173605500; 59421081700; 59420934200; 59420022400; 57219282984</t>
  </si>
  <si>
    <t>Proceedings of the 5th International Conference on Smart Electronics and Communication, ICOSEC 2024</t>
  </si>
  <si>
    <t>2.4 GHz; Network disturbance; Security; Wi-Fi disturbance</t>
  </si>
  <si>
    <t>2-s2.0-85209943378</t>
  </si>
  <si>
    <t>Petro P.; Bauer P.</t>
  </si>
  <si>
    <t>Petro, Peter (59309498100); Bauer, Peter (57220722317)</t>
  </si>
  <si>
    <t>59309498100; 57220722317</t>
  </si>
  <si>
    <t>IFAC-PapersOnLine</t>
  </si>
  <si>
    <t>58</t>
  </si>
  <si>
    <t>4</t>
  </si>
  <si>
    <t>GPS spoofing detection; mono camera relative motion; UAV</t>
  </si>
  <si>
    <t>2-s2.0-85202902745</t>
  </si>
  <si>
    <t>Alquwayzani A.A.; Albuali A.A.</t>
  </si>
  <si>
    <t>Alquwayzani, Alanoud A. (58297749000); Albuali, Abdullah A. (57196185950)</t>
  </si>
  <si>
    <t>58297749000; 57196185950</t>
  </si>
  <si>
    <t>IEEE Access</t>
  </si>
  <si>
    <t>Over the last couple of years, the application of autonomous systems such as drones has been widely accepted, and these applications are used in the defense, safety, logistics, delivery, and consumer sectors. Unmanned Aerial Vehicles (UAVs) play a major role in contemporary battles by collecting intelligence, surveillance, reconnaissance, and aiding tactical procedures. Although the intricate interlinking of these systems and the high rate of cyber risk pose security challenges, there are ways to overcome them. Traditional security approaches based on border patrols and protective measures are unreliable against advanced and persistent threats. As a result, the Zero Trust (ZT) approach, which operates under the notion that no faith can be taken for granted in the network, is certainly the most appropriate way to deal with this issue. The main purpose of zero trust in UAV security is to reduce the vulnerability of the system to cyber threats. The core of zero trust is based on observing all activities and risks. This approach will help military UAV operators allow only genuine users to access UAV systems, thereby reducing the possibility of illegal access, hacking, and data breaches. This project aims to analyze the applicability of a zero-trust architecture model and machine learning to enhance the security of military drones. This study conducted a systematic review aimed at identifying different aspects of cybersecurity strategies for protecting UAV systems. Furthermore, a zero-trust architecture is presented in this study as an effective prospective solution to the security issues.  © 2013 IEEE.</t>
  </si>
  <si>
    <t>cybersecurity; drone; Internet of Battlefield Things (IoBT); military UAVs; Security; suspicious behavior; UAV; UAV security; zero trust architecture (ZTA)</t>
  </si>
  <si>
    <t>2-s2.0-85210298511</t>
  </si>
  <si>
    <t>Sabuwala N.A.; Daruwala R.D.</t>
  </si>
  <si>
    <t>Sabuwala, Noshin A. (58122117800); Daruwala, Rohin D. (35795271200)</t>
  </si>
  <si>
    <t>58122117800; 35795271200</t>
  </si>
  <si>
    <t>Journal of Supercomputing</t>
  </si>
  <si>
    <t>80</t>
  </si>
  <si>
    <t>7</t>
  </si>
  <si>
    <t>Communication security; Internet of things (IoT); MAVLink; Stream cipher; Unmanned aerial vehicles (UAVs)</t>
  </si>
  <si>
    <t>2-s2.0-85179310352</t>
  </si>
  <si>
    <t>Anghuwo J.S.; Imanuel P.; Nangolo S.S.</t>
  </si>
  <si>
    <t>Anghuwo, John Shivute (59129871600); Imanuel, Peter (59129684000); Nangolo, Sam Shimakeleni (59128922100)</t>
  </si>
  <si>
    <t>59129871600; 59129684000; 59128922100</t>
  </si>
  <si>
    <t>Journal of Transportation Security</t>
  </si>
  <si>
    <t>1</t>
  </si>
  <si>
    <t>2-s2.0-85193254114</t>
  </si>
  <si>
    <t>Alzahrani M.Y.</t>
  </si>
  <si>
    <t>Alzahrani, Mohammed Y. (56125509600)</t>
  </si>
  <si>
    <t>56125509600</t>
  </si>
  <si>
    <t>SN Computer Science</t>
  </si>
  <si>
    <t>651</t>
  </si>
  <si>
    <t>2-s2.0-85195944082</t>
  </si>
  <si>
    <t>Vithalani M.; Vaghela R.S.; Gohil J.A.; Gaylah K.D.</t>
  </si>
  <si>
    <t>Vithalani, Manav (59463957500); Vaghela, Ravirajsinh S. (57195488524); Gohil, Jaypalsinh A. (57215415981); Gaylah, Kwitee D. (58114309900)</t>
  </si>
  <si>
    <t>59463957500; 57195488524; 57215415981; 58114309900</t>
  </si>
  <si>
    <t>Drone Neutralization: A Comprehensive Framework for Detecting and Disrupting Malicious Drone Operations</t>
  </si>
  <si>
    <t>Lecture Notes in Networks and Systems</t>
  </si>
  <si>
    <t>1095 LNNS</t>
  </si>
  <si>
    <t>10.1007/978-981-97-6318-4_35</t>
  </si>
  <si>
    <t>https://www.scopus.com/inward/record.uri?eid=2-s2.0-85211320869&amp;doi=10.1007%2f978-981-97-6318-4_35&amp;partnerID=40&amp;md5=cddd2b819c88abf76f339b00b5dfc136</t>
  </si>
  <si>
    <t>With the increasing prevalence of drones and their susceptibility to wireless attacks, the need for effective countermeasures is crucial to safeguard civilian and military areas. This research paper presents a comprehensive methodology for neutralizing drones engaged in malicious activities, utilizing wireless network scanning, packet injection techniques, and cyber-attack approaches. The proposed framework encompasses four major steps: detection, reconnaissance, deauthentication, and gaining access or deactivation. Experimental testing demonstrates the successful implementation of the methodology, achieving results in detecting, disconnecting, and neutralizing drones. The framework offers distinct advantages over existing countermeasures, providing a proactive and real-time approach to countering the drone threat. This research contributes to the field of drone security by providing practical insights and tactics for mitigating potential risks posed by malicious drone operations, thus enhancing the overall protection of civilian and military sectors. © The Author(s), under exclusive license to Springer Nature Singapore Pte Ltd. 2024.</t>
  </si>
  <si>
    <t>Drone detection systems; Drone neutralization; Drone-to-ground communication; Drones security; Unmanned Aerial Vehicle (UAV); Wireless attacks</t>
  </si>
  <si>
    <t>2-s2.0-85211320869</t>
  </si>
  <si>
    <t>Adel A.; Jan T.</t>
  </si>
  <si>
    <t>Adel, Amr (57219892693); Jan, Tony (7004322283)</t>
  </si>
  <si>
    <t>57219892693; 7004322283</t>
  </si>
  <si>
    <t>Future Internet</t>
  </si>
  <si>
    <t>16</t>
  </si>
  <si>
    <t>250</t>
  </si>
  <si>
    <t>drone cybersecurity; drone forensics; forensic methodologies; security challenges; threat models; unmanned aerial vehicles (UAVs)</t>
  </si>
  <si>
    <t>2-s2.0-85199668263</t>
  </si>
  <si>
    <t>Selvan C.; Ragunathan A.; Ashwinkumar U.M.</t>
  </si>
  <si>
    <t>Selvan, C. (57191914884); Ragunathan, Aravindhan (58964794700); Ashwinkumar, U.M. (55201370200)</t>
  </si>
  <si>
    <t>57191914884; 58964794700; 55201370200</t>
  </si>
  <si>
    <t>Analyzing and Mitigating Security Risks in Cloud Computing</t>
  </si>
  <si>
    <t>2-s2.0-85189125432</t>
  </si>
  <si>
    <t>Ajakwe S.O.; Kim D.-S.</t>
  </si>
  <si>
    <t>Ajakwe, Simeon Okechukwu (57414321100); Kim, Dong-Seong (55586876300)</t>
  </si>
  <si>
    <t>57414321100; 55586876300</t>
  </si>
  <si>
    <t>IET Intelligent Transport Systems</t>
  </si>
  <si>
    <t>18</t>
  </si>
  <si>
    <t>S1</t>
  </si>
  <si>
    <t>artificial intelligence; blockchain; cyber attacks; drones; logistics; security; smart mobility; zero trust architecture</t>
  </si>
  <si>
    <t>2-s2.0-85209788941</t>
  </si>
  <si>
    <t>Wang J.; Wang R.</t>
  </si>
  <si>
    <t>Wang, Jubo (59326695600); Wang, Ruixin (59446141400)</t>
  </si>
  <si>
    <t>59326695600; 59446141400</t>
  </si>
  <si>
    <t>Applied Sciences (Switzerland)</t>
  </si>
  <si>
    <t>14</t>
  </si>
  <si>
    <t>7844</t>
  </si>
  <si>
    <t>area coverage; channel and spatial attention mechanism; flight path planning; multi-UAV; Voronoi graph</t>
  </si>
  <si>
    <t>2-s2.0-85203857976</t>
  </si>
  <si>
    <t>Psilias D.; Milidonis A.; Lentaris G.; Voyiatzis I.</t>
  </si>
  <si>
    <t>Psilias, Dimitrios (57222337130); Milidonis, Athanasios (9734400200); Lentaris, George (23987718500); Voyiatzis, Ioannis (18438856600)</t>
  </si>
  <si>
    <t>57222337130; 9734400200; 23987718500; 18438856600</t>
  </si>
  <si>
    <t>Secure Video and Telemetry FPGA Architecture For UAVs</t>
  </si>
  <si>
    <t>Proceedings - 2024 9th South-East Europe Design Automation, Computer Engineering, Computer Networks and Social Media Conference, SEEDA-CECNSM 2024</t>
  </si>
  <si>
    <t>10.1109/SEEDA-CECNSM63478.2024.00021</t>
  </si>
  <si>
    <t>https://www.scopus.com/inward/record.uri?eid=2-s2.0-85210857383&amp;doi=10.1109%2fSEEDA-CECNSM63478.2024.00021&amp;partnerID=40&amp;md5=46d785e5cff9afabcd907d18f3143694</t>
  </si>
  <si>
    <t>Unmanned Aerial Vehicles (UAVs) are used in a wide range of applications. However, since they are vulnerable to cyberattacks security protocols for their data are used. Common existing approaches for data encryption/decryption are based on commercial software platforms which execute their tasks with latency and consume a lot of energy. Moreover, they focus mostly on encrypting/decrypting telemetry data. This paper proposes a Field Programming Gate Array (FPGA)-based architecture for encrypting/decrypting all data exchanged between UAVs and their Ground Station (GS). This architecture uses the Advanced Encryption Standard (AES), known for its robustness, to enhance the confidentiality, integrity, and security. Experimental results show that the proposed architecture performs faster than implementations on well-known software platforms while it consumes less power. © 2024 IEEE.</t>
  </si>
  <si>
    <t>AES; decryption; drone; encryption; FPGA; UAV</t>
  </si>
  <si>
    <t>2-s2.0-85210857383</t>
  </si>
  <si>
    <t>Usamentiaga R.</t>
  </si>
  <si>
    <t>Usamentiaga, Ruben (6507926393)</t>
  </si>
  <si>
    <t>6507926393</t>
  </si>
  <si>
    <t>IEEE Transactions on Industrial Informatics</t>
  </si>
  <si>
    <t>20</t>
  </si>
  <si>
    <t>Active learning; detection and tracking; infrared thermography; pipeline inspection; unmanned aerial vehicles (UAVs)</t>
  </si>
  <si>
    <t>2-s2.0-85165902794</t>
  </si>
  <si>
    <t>Faouz S.A.E.; Souri A.; Inanc N.</t>
  </si>
  <si>
    <t>Faouz, Sami Abou El (59485953500); Souri, Alireza (56901126500); Inanc, Nihat (7004144256)</t>
  </si>
  <si>
    <t>59485953500; 56901126500; 7004144256</t>
  </si>
  <si>
    <t>LSTM-based Deep Learning Model for Cyber-attack Detection Systems in the Internet of Drones</t>
  </si>
  <si>
    <t>2024 15th International Conference on Computing Communication and Networking Technologies, ICCCNT 2024</t>
  </si>
  <si>
    <t>10.1109/ICCCNT61001.2024.10726101</t>
  </si>
  <si>
    <t>https://www.scopus.com/inward/record.uri?eid=2-s2.0-85213037317&amp;doi=10.1109%2fICCCNT61001.2024.10726101&amp;partnerID=40&amp;md5=4276a4851028bbacf8b9e0e0a38b29e5</t>
  </si>
  <si>
    <t>The Internet of drones (IoD) has emeregd as a hot topic in the technology industry and is deemed important and useful to several applications and fields where we see dozens of drones deployed to achieve a particular mission. The huge benefits sometimes can be a mask for some of the crucial issues that can affect this field of the UAVs crucially and we are talking about security and privacy. The internet of drones comes to connect between drones making them smart but leaving an open door for intruders to exploit. This paper will uphold a model that utilizes the wonders of deep learning to improve it greatly. In this proposed model, a LSTM algorithm is applied to further enhance the capability and reliability of the deep learning model. Using evaluation factors such as accuracy, precision, and etc. we can see that our model outperforms other ML algorithms and classifiers while having a low training time which showcases the efficiency of LSTM-based deep learning model. © 2024 IEEE.</t>
  </si>
  <si>
    <t>Deep Learning; IDS; Internet Of Drones; LSTM; UAV</t>
  </si>
  <si>
    <t>2-s2.0-85213037317</t>
  </si>
  <si>
    <t>Tedeschi P.; Al Nuaimi F.A.; Awad A.I.; Natalizio E.</t>
  </si>
  <si>
    <t>Tedeschi, Pietro (57205428562); Al Nuaimi, Fatima Ali (57219701927); Awad, Ali Ismail (42961080300); Natalizio, Enrico (8897972900)</t>
  </si>
  <si>
    <t>57205428562; 57219701927; 42961080300; 8897972900</t>
  </si>
  <si>
    <t>Anonymity; privacy; remote ID; security; unmanned aerial vehicles (UAVs)</t>
  </si>
  <si>
    <t>2-s2.0-85161566703</t>
  </si>
  <si>
    <t>Kloepper L.N.; Taylor G.K.; Domski P.; Vanderelst D.; Eveland K.; Stevenson R.L.</t>
  </si>
  <si>
    <t>Kloepper, L.N. (36462426000); Taylor, G.K. (7404202352); Domski, P. (59155508700); Vanderelst, D. (23480664700); Eveland, K. (59155884400); Stevenson, R.L. (7402603265)</t>
  </si>
  <si>
    <t>36462426000; 7404202352; 59155508700; 23480664700; 59155884400; 7402603265</t>
  </si>
  <si>
    <t>Methods in Ecology and Evolution</t>
  </si>
  <si>
    <t>2-s2.0-85195141100</t>
  </si>
  <si>
    <t>Mon Y.-J.</t>
  </si>
  <si>
    <t>Mon, Yi-Jen (6602110291)</t>
  </si>
  <si>
    <t>6602110291</t>
  </si>
  <si>
    <t>Electronics (Switzerland)</t>
  </si>
  <si>
    <t>13</t>
  </si>
  <si>
    <t>468</t>
  </si>
  <si>
    <t>2-s2.0-85184468487</t>
  </si>
  <si>
    <t>Elia R.; Rak M.; Pascarella D.</t>
  </si>
  <si>
    <t>Elia, Raffaele (59144040600); Rak, Massimiliano (8966231800); Pascarella, Domenico (25823435600)</t>
  </si>
  <si>
    <t>59144040600; 8966231800; 25823435600</t>
  </si>
  <si>
    <t>Proceedings - 2024 IEEE 21st International Conference on Mobile Ad-Hoc and Smart Systems, MASS 2024</t>
  </si>
  <si>
    <t>Cybersecurity; Drones; SecRAM; Security Risk Assessment; U-space; UAS; UAV; Unmanned Traffic Management</t>
  </si>
  <si>
    <t>2-s2.0-85210256685</t>
  </si>
  <si>
    <t>Maqbool A.; Slimane J.B.; Khediri N.; Ammar M.B.; Kachoukh A.; Alshammari A.</t>
  </si>
  <si>
    <t>Maqbool, Albia (58885542400); Slimane, Jihane Ben (36844049300); Khediri, Nouha (57447487200); Ammar, Mohamed Ben (36800833900); Kachoukh, Amani (57744142900); Alshammari, Ahmad (59000865700)</t>
  </si>
  <si>
    <t>58885542400; 36844049300; 57447487200; 36800833900; 57744142900; 59000865700</t>
  </si>
  <si>
    <t>Journal of Theoretical and Applied Information Technology</t>
  </si>
  <si>
    <t>102</t>
  </si>
  <si>
    <t>2-s2.0-85206446209</t>
  </si>
  <si>
    <t>Mohammed A.B.; Chaari Fourati L.; Fakhrudeen A.M.</t>
  </si>
  <si>
    <t>Mohammed, Ahmed Burhan (57686887900); Chaari Fourati, Lamia (58235960400); Fakhrudeen, Ahmed M. (57193843395)</t>
  </si>
  <si>
    <t>57686887900; 58235960400; 57193843395</t>
  </si>
  <si>
    <t>Proceedings - IEEE Congress on Cybermatics: 2024 IEEE International Conferences on Internet of Things, iThings 2024, IEEE Green Computing and Communications, GreenCom 2024, IEEE Cyber, Physical and Social Computing, CPSCom 2024, IEEE Smart Data, SmartData 2024</t>
  </si>
  <si>
    <t>https://www.scopus.com/inward/record.uri?eid=2-s2.0-85210552942&amp;doi=10.1109%2fiThings-GreenCom-CPSCom-SmartData-Cybermatics62450.2024.00090&amp;partnerID=40&amp;md5=62370c6f688e4bd751b2f26b425ca266</t>
  </si>
  <si>
    <t>Nowadays, Unmanned Aerial Vehicle (UAV) platforms are a valuable source of data for inspection, surveillance, mapping, and 3D modeling issues. Embedded electronic and communication systems within UAVs are based on the integration of the Internet of Things (IoT) into UAV systems (commonly called the Internet of Drone Things (IoDT)). Nevertheless, the vulnerability of this interconnected environment to malicious activities, such as GPS spoofing, threatens the dependability and security of UAV operations. To countermeasure this challenging issue, this article uses an effective anomaly detection method, the Isolation Forest algorithm, for mitigating GPS spoofing threats. A well-curated dataset specifically targeting the detection of GPS deception in UAVs has been utilized. Extensive experiments were conducted to compare our proposal with its counterparts (Random Forest and Naive Bayes). The experimental outcomes demonstrate the Isolation Forest algorithm's efficiency in anomaly detection, attaining a noteworthy accuracy rate of (95.85%). However, Random Forest and Naive Bayes achieved (93.63%) and (92.38%), respectively. Other performance evaluation metrics show that the Isolation Forest works better than others, which supports its potential as a reliable way for anomaly detection when GPS spoofing happens in UAVs. The insight obtained from this research can provide valuable input for creating proactive security protocols to guarantee the secure implementation and functioning of UAVs.  © 2024 IEEE.</t>
  </si>
  <si>
    <t>Anomaly Detection; GPS spoofing; Internet of Things; Isolation Forest algorithm; UAV</t>
  </si>
  <si>
    <t>2-s2.0-85210552942</t>
  </si>
  <si>
    <t>Khan M.A.; Javaid S.; Mohsan S.A.H.; Tanveer M.; Ullah I.</t>
  </si>
  <si>
    <t>Khan, Muhammad Asghar (59397585700); Javaid, Shumaila (57212490992); Mohsan, Syed Agha Hassnain (57218375194); Tanveer, Muhammad (57214601656); Ullah, Insaf (59435184600)</t>
  </si>
  <si>
    <t>59397585700; 57212490992; 57218375194; 57214601656; 59435184600</t>
  </si>
  <si>
    <t>IEEE Open Journal of the Communications Society</t>
  </si>
  <si>
    <t>Post-quantum cryptography; privacy; quantum attacks; security; UAVs</t>
  </si>
  <si>
    <t>2-s2.0-85208113366</t>
  </si>
  <si>
    <t>Nyangaresi V.O.; Al-Joboury I.M.; Al-sharhanee K.A.; Najim A.H.; Abbas A.H.; Hariz H.M.</t>
  </si>
  <si>
    <t>Nyangaresi, Vincent Omollo (57220777100); Al-Joboury, Istabraq M. (57197755180); Al-sharhanee, Kareem Ali (58577672100); Najim, Ali Hamzah (57216411619); Abbas, Ali Hashim (57387015700); Hariz, Hussein Muhi (57348783800)</t>
  </si>
  <si>
    <t>57220777100; 57197755180; 58577672100; 57216411619; 57387015700; 57348783800</t>
  </si>
  <si>
    <t>e-Prime - Advances in Electrical Engineering, Electronics and Energy</t>
  </si>
  <si>
    <t>100471</t>
  </si>
  <si>
    <t>2-s2.0-85186492164</t>
  </si>
  <si>
    <t>Miao S.; Pan Q.; Zheng D.; Mohi-ud-din G.</t>
  </si>
  <si>
    <t>Miao, Shangting (57716814700); Pan, Quan (7202997700); Zheng, Dongxiao (58861178900); Mohi-ud-din, Ghulam (57904661300)</t>
  </si>
  <si>
    <t>57716814700; 7202997700; 58861178900; 57904661300</t>
  </si>
  <si>
    <t>Vehicular Communications</t>
  </si>
  <si>
    <t>46</t>
  </si>
  <si>
    <t>100726</t>
  </si>
  <si>
    <t>2-s2.0-85184024780</t>
  </si>
  <si>
    <t>Procksch N.; Guimarães M.; Trindade M.R.; Ott P.H.; Perez M.S.; Veronez M.R.; de Oliveira L.R.</t>
  </si>
  <si>
    <t>Procksch, Natália (57219932317); Guimarães, Murilo (40461390800); Trindade, Marcela Regina (59219552400); Ott, Paulo Henrique (23390585200); Perez, Martin Sucunza (57681863400); Veronez, Maurício Roberto (26023922300); de Oliveira, Larissa Rosa (55191597100)</t>
  </si>
  <si>
    <t>57219932317; 40461390800; 59219552400; 23390585200; 57681863400; 26023922300; 55191597100</t>
  </si>
  <si>
    <t>Journal of Experimental Marine Biology and Ecology</t>
  </si>
  <si>
    <t>579</t>
  </si>
  <si>
    <t>152042</t>
  </si>
  <si>
    <t>Arctocephalus australis; Behavior; Drone disturbance; Otaria flavescens</t>
  </si>
  <si>
    <t>2-s2.0-85198567597</t>
  </si>
  <si>
    <t>Branco B.; Silva J.S.; Correia M.</t>
  </si>
  <si>
    <t>Branco, Bruno (59487292200); Silva, José Silvestre (57197594594); Correia, Miguel (22333381700)</t>
  </si>
  <si>
    <t>59487292200; 57197594594; 22333381700</t>
  </si>
  <si>
    <t>D3S: A Drone Security Scoring System</t>
  </si>
  <si>
    <t>Information (Switzerland)</t>
  </si>
  <si>
    <t>811</t>
  </si>
  <si>
    <t>10.3390/info15120811</t>
  </si>
  <si>
    <t>https://www.scopus.com/inward/record.uri?eid=2-s2.0-85213081002&amp;doi=10.3390%2finfo15120811&amp;partnerID=40&amp;md5=6a6f3f7aa60fd21b01e7b0c8c0df5ee2</t>
  </si>
  <si>
    <t>This paper explores the problem of the security of unmanned aerial vehicles (UAV) by introducing the drone security scoring system (D3S). D3S is a security assessment method that analyzes the security of a UAV model by analyzing its components. Penetration tests were carried out to support D3S and identify potential vulnerabilities in UAVs. Specific cyber-attacks, such as deauthentication, flooding, and replay, were executed in an effort to take full control of the UAVs. Eight different UAV models were assessed using D3S, revealing notable variations in performance, both in control communications and video transmission. Security scores ranging from 0.9 to 4.5 out of 5 were obtained, showing significantly divergent security levels. © 2024 by the authors.</t>
  </si>
  <si>
    <t>command and control; communication; cyber-attacks; cybersecurity; drone security scoring system; unmanned aerial vehicle; vulnerability</t>
  </si>
  <si>
    <t>2-s2.0-85213081002</t>
  </si>
  <si>
    <t>Xu Q.; Yi J.; Wang X.; Niu M.-B.; Miah M.S.; Wang L.</t>
  </si>
  <si>
    <t>Xu, Qian (56834870900); Yi, Jia (59387434300); Wang, Xianyu (59387640000); Niu, Ming-Bo (57881091800); Miah, Md. Sipon (55843135700); Wang, Ling (59088364400)</t>
  </si>
  <si>
    <t>56834870900; 59387434300; 59387640000; 57881091800; 55843135700; 59088364400</t>
  </si>
  <si>
    <t>581</t>
  </si>
  <si>
    <t>beamforming; constructive interference; drone communications; dual-function radar communication; physical layer security</t>
  </si>
  <si>
    <t>2-s2.0-85207660625</t>
  </si>
  <si>
    <t>Pu C.; Warner C.; Choo K.-K.R.; Lim S.; Ahmed I.</t>
  </si>
  <si>
    <t>Pu, Cong (56430573100); Warner, Clare (58725451900); Choo, Kim-Kwang Raymond (57208540261); Lim, Sunho (8437951300); Ahmed, Imtiaz (57196854804)</t>
  </si>
  <si>
    <t>56430573100; 58725451900; 57208540261; 8437951300; 57196854804</t>
  </si>
  <si>
    <t>group authentication; Information privacy and security; Internet of Drones; signaling congestion</t>
  </si>
  <si>
    <t>2-s2.0-85178014504</t>
  </si>
  <si>
    <t>Tang C.; Ding J.; Qi H.; Zhang L.</t>
  </si>
  <si>
    <t>Tang, Chengkai (36643012300); Ding, Jiawei (58068845800); Qi, Huaiyuan (58481366500); Zhang, Lingling (57193262550)</t>
  </si>
  <si>
    <t>36643012300; 58068845800; 58481366500; 57193262550</t>
  </si>
  <si>
    <t>IET Radar, Sonar and Navigation</t>
  </si>
  <si>
    <t>6</t>
  </si>
  <si>
    <t>feedforward neural nets; GNSS jamming; normal distribution; optimisation</t>
  </si>
  <si>
    <t>2-s2.0-85185666095</t>
  </si>
  <si>
    <t>Hong Y.-W.; Yoo D.-Y.</t>
  </si>
  <si>
    <t>Hong, Young-Woo (59216961400); Yoo, Dong-Young (59217825800)</t>
  </si>
  <si>
    <t>59216961400; 59217825800</t>
  </si>
  <si>
    <t>5487</t>
  </si>
  <si>
    <t>2-s2.0-85198432615</t>
  </si>
  <si>
    <t>Jin W.-C.; Kim K.; Choi J.-W.</t>
  </si>
  <si>
    <t>Jin, Woo-Cheol (57216269989); Kim, Kyungtae (56401277600); Choi, Ji-Woong (23392263200)</t>
  </si>
  <si>
    <t>57216269989; 56401277600; 23392263200</t>
  </si>
  <si>
    <t>Anti-UAV system; beam misalignment; beamforming; jamming; radar</t>
  </si>
  <si>
    <t>2-s2.0-85173026426</t>
  </si>
  <si>
    <t>Gutsa T.; Trois C.; de Vries R.; Mani T.</t>
  </si>
  <si>
    <t>Gutsa, Tadiwanashe (59165610700); Trois, Cristina (14042684600); de Vries, Robin (57618415400); Mani, Thomas (56996987800)</t>
  </si>
  <si>
    <t>59165610700; 14042684600; 57618415400; 56996987800</t>
  </si>
  <si>
    <t>Science of the Total Environment</t>
  </si>
  <si>
    <t>955</t>
  </si>
  <si>
    <t>176791</t>
  </si>
  <si>
    <t>Coast; Hotspots; Hydro-meteorological; Macro-debris; River; Unmanned Aerial Vehicles; Waste management</t>
  </si>
  <si>
    <t>2-s2.0-85206258227</t>
  </si>
  <si>
    <t>Adel A.; Alani N.H.S.; Thompson Whiteside S.; Jan T.</t>
  </si>
  <si>
    <t>Adel, Amr (57219892693); Alani, Noor H. S. (57647203200); Thompson Whiteside, Scott (56747977500); Jan, Tony (7004322283)</t>
  </si>
  <si>
    <t>57219892693; 57647203200; 56747977500; 7004322283</t>
  </si>
  <si>
    <t>drones attacks; Drones forensics; drones security; drones vulnerabilities; UAV</t>
  </si>
  <si>
    <t>2-s2.0-85210280023</t>
  </si>
  <si>
    <t>Tassielli G.; Cananà L.; Spalatro M.</t>
  </si>
  <si>
    <t>Tassielli, Giuseppe (55838747400); Cananà, Lucianna (54411829800); Spalatro, Miriam (59330610000)</t>
  </si>
  <si>
    <t>55838747400; 54411829800; 59330610000</t>
  </si>
  <si>
    <t>Sustainability (Switzerland)</t>
  </si>
  <si>
    <t>7748</t>
  </si>
  <si>
    <t>climate change; drone; fugitive emissions; landfill; methane; TDLAS; UAS</t>
  </si>
  <si>
    <t>2-s2.0-85204151488</t>
  </si>
  <si>
    <t>Niyonsaba S.; Konate K.; Soidridine M.M.</t>
  </si>
  <si>
    <t>Niyonsaba, Simon (58686037000); Konate, Karim (37074805000); Soidridine, Moussa Moindze (56073699000)</t>
  </si>
  <si>
    <t>58686037000; 37074805000; 56073699000</t>
  </si>
  <si>
    <t>International Conference on Electrical, Computer, and Energy Technologies, ICECET 2024</t>
  </si>
  <si>
    <t>CICIDS2017; CNN; cyberattacks; Cybersecurity; Deep Learning; LR; LSTM; Machine Learning; NB; UA V</t>
  </si>
  <si>
    <t>2-s2.0-85207461245</t>
  </si>
  <si>
    <t>Shariq M.; Conti M.; Singh K.; Dwivedi S.K.; Abdussami M.; Amin R.; Masud M.</t>
  </si>
  <si>
    <t>Shariq, Mohd (57225464047); Conti, Mauro (15019127200); Singh, Karan (55450561600); Dwivedi, Sanjeev Kumar (56041002800); Abdussami, Mohammad (57821507500); Amin, Ruhul (57210228243); Masud, Mehedi (17338820600)</t>
  </si>
  <si>
    <t>57225464047; 15019127200; 55450561600; 56041002800; 57821507500; 57210228243; 17338820600</t>
  </si>
  <si>
    <t>Computer Communications</t>
  </si>
  <si>
    <t>228</t>
  </si>
  <si>
    <t>107971</t>
  </si>
  <si>
    <t>AIDC; Authentication; IoT; Privacy; RFID; Security</t>
  </si>
  <si>
    <t>2-s2.0-85206458091</t>
  </si>
  <si>
    <t>Yao L.; Qin H.; Gu B.; Shi G.; Sha H.; Wang M.; Xian D.; Chen F.; Lu Z.</t>
  </si>
  <si>
    <t>Yao, Lihao (59005567900); Qin, Honglei (8248112800); Gu, Boyun (59005970300); Shi, Guangting (58566012400); Sha, Hai (55235420200); Wang, Mengli (59122871900); Xian, Deyong (57194210260); Chen, Feiqiang (26323196600); Lu, Zukun (57213726777)</t>
  </si>
  <si>
    <t>59005567900; 8248112800; 59005970300; 58566012400; 55235420200; 59122871900; 57194210260; 26323196600; 57213726777</t>
  </si>
  <si>
    <t>164</t>
  </si>
  <si>
    <t>low Earth orbit satellite; SCCI algorithms; signal of opportunity; UAV positioning</t>
  </si>
  <si>
    <t>2-s2.0-85191558904</t>
  </si>
  <si>
    <t>Luo J.; Oracevic A.</t>
  </si>
  <si>
    <t>Luo, Jiaze (59473906000); Oracevic, Alma (55229307000)</t>
  </si>
  <si>
    <t>59473906000; 55229307000</t>
  </si>
  <si>
    <t>Adaptive Machine Learning for Efficient Anomaly Detection in Autonomous UAVs Swarm Operations</t>
  </si>
  <si>
    <t>2024 International Symposium on Networks, Computers and Communications, ISNCC 2024</t>
  </si>
  <si>
    <t>10.1109/ISNCC62547.2024.10758945</t>
  </si>
  <si>
    <t>https://www.scopus.com/inward/record.uri?eid=2-s2.0-85212208057&amp;doi=10.1109%2fISNCC62547.2024.10758945&amp;partnerID=40&amp;md5=f16819886bc7d507bff713ed6f5feb6f</t>
  </si>
  <si>
    <t>Unmanned Aerial Vehicles (UAVs), commonly known as drones are aircraft without a human pilot, crew, or passenger on board. An Unmanned Aerial Vehicle swarm (UAV swarm) usually consists of three or more drones and can execute complex tasks and missions. UAV and UAV Swarm have proliferated these years and have significantly impacted vari-ous fields, including military, agriculture, disaster relief, rescue supplies, and energy management. However, these advantages require enhanced safety measures to prevent group collisions, secure communication within the swarm, and detect abnormal behaviours, including sensor faults and cyber-attacks (e.g., GPS spoofing and command hijacking). This paper proposes an anomaly detection method based on Bi-LSTM with an attention mechanism to identify abnormal behaviours within a UAV swarm. The proposed method uses a supervised approach, training and validating the model with data collected and labelled from self-designed simulated UAV swarm flight experiments. These swarm flight tests include normal flights, flights in windy environments, flights with simulated cyber-attacks and fault injection. These multiple flights enable the model to learn to detect anomalies during formation missions across different conditions. Experimental results demonstrate that the anomaly detection model effectively processes time series data and learns its features from UAV swarm. The evaluation confirms that this method is a sensible solution for detecting anomalies within UAV swarm flights.  © 2024 IEEE.</t>
  </si>
  <si>
    <t>anomaly detection; machine learning; UAV; UAV swarms</t>
  </si>
  <si>
    <t>2-s2.0-85212208057</t>
  </si>
  <si>
    <t>Singh B.</t>
  </si>
  <si>
    <t>Singh, Bhupinder (58806881100)</t>
  </si>
  <si>
    <t>58806881100</t>
  </si>
  <si>
    <t>Unmanned Aircraft Systems (UAS), Surveillance, Risk Management to Cybersecurity and Legal Regulation Landscape: Unraveling the Future Analysis, Challenges, Demand, and Benefits in the High Sky Exploring the Strange New World</t>
  </si>
  <si>
    <t>10.1002/9781394230648.ch8</t>
  </si>
  <si>
    <t>https://www.scopus.com/inward/record.uri?eid=2-s2.0-85213774408&amp;doi=10.1002%2f9781394230648.ch8&amp;partnerID=40&amp;md5=449a947ef1f09fd5c454e4d40dbce5c6</t>
  </si>
  <si>
    <t>Unmanned aircraft systems (UASs), commonly known as drones, have rapidly transformed from niche technologies to integral components of various industries. Their diverse applications range from surveillance and data collection to logistical support and environmental monitoring. As UASs continue to evolve and proliferate, the complex interplay of factors involving surveillance, risk management, cybersecurity, and legal regulations becomes paramount. This research endeavors to delve into the multifaceted landscape of UAS, exploring their future trajectory, the challenges they pose, the demand they generate, and the benefits they offer, all against the backdrop of an unfamiliar high sky—a strange new world that presents unprecedented opportunities and complexities. The significance of this research lies in its comprehensive examination of the intertwined elements surrounding UAS. Surveillance capabilities of drones are revolutionizing fields such as law enforcement, border security, and wildlife conservation. However, ethical concerns about privacy, data collection, and potential misuse loom large. Effective risk management strategies are imperative to ensure safe UAS operations, safeguarding both human lives and valuable assets. The increasing integration of UASs into critical systems also elevates their vulnerability to cybersecurity threats, necessitating robust protection mechanisms. The legal and regulatory landscape for UASs remains a puzzle to unravel. Balancing innovation with safety and privacy requires adaptable frameworks that evolve with technology. Anticipating the future demand for UAS applications is crucial for industries to stay ahead of the curve. Understanding the benefits—from increased efficiency to reduced environmental impact—underscores their transformative potential. Yet, a thorough assessment of the challenges they introduce, from public acceptance to airspace congestion, cannot be overlooked. In this exploration of the high sky’s strange new world, this research strives to provide insights that guide responsible UAS integration. By addressing these facets holistically, it gains a deeper understanding of the UAS landscape, equipping stakeholders with the knowledge to navigate the complexities and unlock the advantages offered by these remarkable technological advancements. The chapter explores the multifaceted realm of UASs, commonly known as drones, and their implications on surveillance, risk management, cybersecurity, and legal regulations. As these technologies become more integrated into various industries, understanding their future trajectory, challenges, benefits, and legal implications is paramount. In addition, the chapter conducts an in-depth analysis of the evolving landscape, explores potential future developments, identifies challenges, assesses demand, and examines the benefits of UAS applications. By unraveling the complex interactions between technology, security, and regulation, this chapter provides a holistic perspective on the high sky’s strange new world. © 2025 Scrivener Publishing LLC.</t>
  </si>
  <si>
    <t>Cybersecurity; high sky; legal regulation landscape; surveillance; unmanned aircraft systems (UASs)</t>
  </si>
  <si>
    <t>2-s2.0-85213774408</t>
  </si>
  <si>
    <t>Zidane Y.; Silva J.S.; Tavares G.</t>
  </si>
  <si>
    <t>Zidane, Younes (59489981700); Silva, José Silvestre (57197594594); Tavares, Gonçalo (7003985623)</t>
  </si>
  <si>
    <t>59489981700; 57197594594; 7003985623</t>
  </si>
  <si>
    <t>Jamming and Spoofing Techniques for Drone Neutralization: An Experimental Study</t>
  </si>
  <si>
    <t>743</t>
  </si>
  <si>
    <t>10.3390/drones8120743</t>
  </si>
  <si>
    <t>https://www.scopus.com/inward/record.uri?eid=2-s2.0-85213203017&amp;doi=10.3390%2fdrones8120743&amp;partnerID=40&amp;md5=490c481dd6ee4049b5bad1f0d67550ca</t>
  </si>
  <si>
    <t>This study explores the use of electronic countermeasures to disrupt communications systems in Unmanned Aerial Vehicles (UAVs), focusing on the protection of airspaces and critical infrastructures such as airports and power stations. The research aims to develop a low-cost, adaptable jamming device using Software Defined Radio (SDR) technology, targeting key UAV communication links, including geolocation, radio control, and video transmission. It applies jamming techniques that successfully disrupt UAV communications. GPS spoofing techniques were also implemented, with both static and dynamic spoofing tested to mislead the drones’ navigation systems. Dynamic spoofing, combined with no-fly zone enforcement, proved to be particularly effective in forcing drones to land or exhibit erratic behavior. The conclusions of this study highlight the effectiveness of these techniques in neutralizing unauthorized UAVs, while also identifying the need for future research in countering drones that operate on alternative frequencies, such as 4G/5G, to enhance the system’s robustness in evolving drone environments. © 2024 by the authors.</t>
  </si>
  <si>
    <t>drone; jamming; radio frequency; Software Defined Radio (SDR); spoofing; UAV</t>
  </si>
  <si>
    <t>2-s2.0-85213203017</t>
  </si>
  <si>
    <t>Mehta S.; Aneja A.; Jain V.</t>
  </si>
  <si>
    <t>Mehta, Shiva (58847208600); Aneja, Aseem (58195947900); Jain, Vishal (57192707657)</t>
  </si>
  <si>
    <t>58847208600; 58195947900; 57192707657</t>
  </si>
  <si>
    <t>Real-Time Monitoring and Control of Drones Using IoT-Blockchain Integration</t>
  </si>
  <si>
    <t>2024 International Conference on Electrical, Electronics and Computing Technologies, ICEECT 2024</t>
  </si>
  <si>
    <t>10.1109/ICEECT61758.2024.10739059</t>
  </si>
  <si>
    <t>https://www.scopus.com/inward/record.uri?eid=2-s2.0-85211169075&amp;doi=10.1109%2fICEECT61758.2024.10739059&amp;partnerID=40&amp;md5=68792b74c9aca58951f161759bc4ef7d</t>
  </si>
  <si>
    <t>This work presents an IoT-Blockchain integration solution to enhance the typical Drone systems to acquire optimal organizational performance. Several questions that are associated with modern drone operations are solved by the suggested system, and these questions are the following: data security, efficiency of work, and system scalability. Concerning the experimental results, the boost in the realism of the data transfer rates can also be seen - the mean rate is increased from 500 to 1200 KB/s, thus enabling real-time control. Another effect of Smart Contracts was reducing the time it took to carry out operational activities to which the contracts were applied. For instance, the time taken to route a flight to save time was brought down from 10 minutes to 2 minutes, the time to allocate resources for the flight was brought down from 15 minutes to 3 minutes, and the time to schedule maintenance of the flight was brought down from 20 minutes to 5 minutes. It also presented the framework's performance metrics, such as a 0% data breach incidence rate different from the annual average of 12 in centralized traditional systems. This goes well with Blockchain's ability to house information in a record that can never be altered, providing data security and credibility. However, the system also proved scalability as the number of drones changed from 10 to 100, and the throughput changed from 100 to 920 TPS. Also, the system latency remained below 70 ms during this process, which is critical for responsive trading applications. © 2024 IEEE.</t>
  </si>
  <si>
    <t>blockchain-based access control scheme; ground station server; internet of drones (IOD); privacy preservation; secure communication; unmanned aerial vehicles (UAVS)</t>
  </si>
  <si>
    <t>2-s2.0-85211169075</t>
  </si>
  <si>
    <t>Wan Z.; Cho J.-H.; Zhu M.; Anwar A.; Kamhoua C.; Singh M.</t>
  </si>
  <si>
    <t>Wan, Zelin (59452758700); Cho, Jin-Hee (55474140000); Zhu, Mu (57219693663); Anwar, Ahmed (55838805200); Kamhoua, Charles (36918490600); Singh, Munindar (36515667700)</t>
  </si>
  <si>
    <t>59452758700; 55474140000; 57219693663; 55838805200; 36918490600; 36515667700</t>
  </si>
  <si>
    <t>ACM Transactions on Internet Technology</t>
  </si>
  <si>
    <t>22</t>
  </si>
  <si>
    <t>10.1145/3701233</t>
  </si>
  <si>
    <t>https://www.scopus.com/inward/record.uri?eid=2-s2.0-85210741444&amp;doi=10.1145%2f3701233&amp;partnerID=40&amp;md5=ba232ac90f28fa2464e8a726e254721a</t>
  </si>
  <si>
    <t>This work aims to develop a surveillance mission system using unmanned aerial vehicles (UAVs) or drones when Denial-of-Service (DoS) attacks are present to disrupt normal operations for mission systems. In particular, we introduce the concept of cyber deception using honey drones (HDs) to protect the mission system from DoS attacks. HDs exhibit fake vulnerabilities and employ stronger signal strengths to lure DoS attacks, unlike the legitimate drones called mission drones (MDs) deployed for mission execution. This research formulates an optimization problem to identify an optimal set of signal strengths of HDs and MDs to best prevent the system from DoS attacks while maximizing mission performance under the resource constraints of UAVs. To solve this optimization problem, we leverage deep reinforcement learning (DRL) to achieve these multiple objectives of the mission system concerning system security and performance. Particularly, for efficient and effective parallel processing in DRL, we utilize a DRL algorithm called the Asynchronous Advantage Actor-Critic (A3C) algorithm to model attack-defense interactions. We employ a physical engine-based simulation testbed to consider realistic scenarios and demonstrate valid findings from the realistic testbed. The extensive experiments proved that our HD-based approach could achieve up to a 32% increase in mission completion, a 20% reduction in energy consumption, and a 62% decrease in attack success rates compared to existing defense strategies.  © 2024 held by the owner/author(s).</t>
  </si>
  <si>
    <t>Additional Key Words and PhrasesDefensive deception; deep reinforcement learning; mission effectiveness; unmanned aerial vehicle</t>
  </si>
  <si>
    <t>2-s2.0-85210741444</t>
  </si>
  <si>
    <t>Hassler S.C.; Mughal U.A.; Ismail M.</t>
  </si>
  <si>
    <t>Hassler, Samuel Chase (57211322960); Mughal, Umair Ahmad (58828947200); Ismail, Muhammad (55310847800)</t>
  </si>
  <si>
    <t>57211322960; 58828947200; 55310847800</t>
  </si>
  <si>
    <t>IEEE Transactions on Intelligent Transportation Systems</t>
  </si>
  <si>
    <t>25</t>
  </si>
  <si>
    <t>and machine learning; cyber-physical systems; intrusion detection systems; UAVs</t>
  </si>
  <si>
    <t>2-s2.0-85181566533</t>
  </si>
  <si>
    <t>Dai Z.</t>
  </si>
  <si>
    <t>Dai, Zhenjun (59250338000)</t>
  </si>
  <si>
    <t>59250338000</t>
  </si>
  <si>
    <t>Systems and Soft Computing</t>
  </si>
  <si>
    <t>200126</t>
  </si>
  <si>
    <t>Image detection; Intersection over union; Preprocessing; Wind turbine blade; YOLO</t>
  </si>
  <si>
    <t>2-s2.0-85200637466</t>
  </si>
  <si>
    <t>Ihekoronye V.U.; Ajakwe S.O.; Lee J.M.; Kim D.-S.</t>
  </si>
  <si>
    <t>Ihekoronye, Vivian Ukamaka (57415267500); Ajakwe, Simeon Okechukwu (57414321100); Lee, Jae Min (57194451001); Kim, Dong-Seong (55586876300)</t>
  </si>
  <si>
    <t>57415267500; 57414321100; 57194451001; 55586876300</t>
  </si>
  <si>
    <t>DroneGuard: An Explainable and Efficient Machine Learning Framework for Intrusion Detection in Drone Networks</t>
  </si>
  <si>
    <t>IEEE Internet of Things Journal</t>
  </si>
  <si>
    <t>10.1109/JIOT.2024.3519633</t>
  </si>
  <si>
    <t>https://www.scopus.com/inward/record.uri?eid=2-s2.0-85213054023&amp;doi=10.1109%2fJIOT.2024.3519633&amp;partnerID=40&amp;md5=a126b746f2a32896bd64145dd8d2023c</t>
  </si>
  <si>
    <t>Vulnerabilities in drone networks stem from the reliance on GPS and wireless communication technologies, combined with the lack of robust security mechanisms. This study proposes DroneGuard, a comprehensive cybersecurity framework leveraging supervised machine learning (ML) and explainable artificial intelligence (XAI) to detect intrusions and provide insights into the decision-making process of the security model. We explored various feature selection techniques to design a lightweight model suitable for the resource constraints of drones. Additionally, the synthetic minority oversampling technique (SMOTE) is employed to balance target class distribution and mitigate performance degradation, while randomized search cross-validation (RSCV) aids in selecting optimal hyperparameters for model training. Simulation experiments were conducted using a real-time GPS dataset for autonomous vehicles and a cybersecurity dataset containing variants of DoS attacks to evaluate the models' performance. Comparison with four ML models using essential evaluation metrics validated the robust performance of the Decision Tree model, which detected spoofed GPS signals and DoS attacks with high accuracy, low computational complexity, and minimal false alarm rates. Furthermore, the SHapley Additive exPlanation (SHAP) provides intuitive visual explanations of important features contributing to the detection and classification of both GPS spoofing and DoS attacks. Therefore, DroneGuard offers effective and interpretable security solutions for enhanced drone application and adoption.  © 2014 IEEE.</t>
  </si>
  <si>
    <t>Cybersecurity; Denial of Service Attacks; Drone Network; Feature Selection Technique; GPS Spoofing Attacks; Intrusion Detection; Machine Learning Models; Randomized Search Cross Validation; UAVs; XAI</t>
  </si>
  <si>
    <t>2-s2.0-85213054023</t>
  </si>
  <si>
    <t>Polasi S.; Vajjha H.G.V.</t>
  </si>
  <si>
    <t>Polasi, Sushma (59476455200); Vajjha, Hara Gopal Venkata (59476455300)</t>
  </si>
  <si>
    <t>59476455200; 59476455300</t>
  </si>
  <si>
    <t>Secure Drone Communications using MQTT protocol</t>
  </si>
  <si>
    <t>International Journal of Computational and Experimental Science and Engineering</t>
  </si>
  <si>
    <t>10.22399/ijcesen.685</t>
  </si>
  <si>
    <t>https://www.scopus.com/inward/record.uri?eid=2-s2.0-85212295579&amp;doi=10.22399%2fijcesen.685&amp;partnerID=40&amp;md5=0ae515b84abd3002dc0e2ab1412d005e</t>
  </si>
  <si>
    <t>With the revolutionary change in emerging technologies, the usage of drones or unmanned aerial vehicles (UAV) has exponentially increased in different sectors like Industry, healthcare, military, agriculture, real estate, manufacturing, logistics, energy and many more utilities. This rapid growth creates a concern for the secure communication between the internal communication modules and the ground based computer system used for controlling the UAV. Intruder can hack into the device and attack the internal communication device with the injection of the malicious code which can lead to the malfunction of the aircraft. Security issues related to the communication between the internal modules of the drone and the ground based computer system is of major concern and is crucial. UAVs have to operate in constrained networks with limited bandwidth. In such a constrained environment MQTT protocol can be an excellent protocol. No cryptographic techniques are used to retain the simplicity and the light weight of the MQTT protocol. This contributes for the large scope for emerging with new solutions in the protection issues of MQTT communications. This paper mainly focuses on Armstrong number encryption standard algorithm for providing a computationally simple yet a secure and strong algorithm for UAVs encryption and decryption process on the communication links using MQTT protocol. © IJCESEN.</t>
  </si>
  <si>
    <t>Cyber security; Drones security; Encryption algorithm; MQTT protocol; UAV secure communications</t>
  </si>
  <si>
    <t>2-s2.0-85212295579</t>
  </si>
  <si>
    <t>Titouna C.; Nait-Abdesselam F.</t>
  </si>
  <si>
    <t>Titouna, Chafiq (55639343800); Nait-Abdesselam, Farid (55952572800)</t>
  </si>
  <si>
    <t>55639343800; 55952572800</t>
  </si>
  <si>
    <t>Proceedings - IEEE International Conference on Advanced Video and Signal-Based Surveillance, AVSS</t>
  </si>
  <si>
    <t>2024</t>
  </si>
  <si>
    <t>Convolutional Neural Network; False Data Injection; Unmanned Aerial Vehicles</t>
  </si>
  <si>
    <t>2-s2.0-85208434464</t>
  </si>
  <si>
    <t>Han S.; Wang M.; Duan J.; Zhang J.; Li D.</t>
  </si>
  <si>
    <t>Han, Songyue (57491691500); Wang, Mingyu (57867257300); Duan, Junhong (59489058300); Zhang, Jialong (57202339479); Li, Dongdong (56226705300)</t>
  </si>
  <si>
    <t>57491691500; 57867257300; 59489058300; 57202339479; 56226705300</t>
  </si>
  <si>
    <t>Research on Unmanned Aerial Vehicle Emergency Support System and Optimization Method Based on Gaussian Global Seagull Algorithm</t>
  </si>
  <si>
    <t>763</t>
  </si>
  <si>
    <t>10.3390/drones8120763</t>
  </si>
  <si>
    <t>https://www.scopus.com/inward/record.uri?eid=2-s2.0-85213225035&amp;doi=10.3390%2fdrones8120763&amp;partnerID=40&amp;md5=8792130796d69234a903de7410d9f97a</t>
  </si>
  <si>
    <t>In emergency rescue scenarios, drones can be equipped with different payloads as needed to aid in tasks such as disaster reconnaissance, situational awareness, communication support, and material assistance. However, rescue missions typically face challenges such as limited reconnaissance boundaries, heterogeneous communication networks, complex data fusion, high task latency, and limited equipment endurance. To address these issues, an unmanned emergency support system tailored for emergency rescue scenarios is designed. This system leverages 5G edge computing technology to provide high-speed and flexible network access along with elastic computing power support, reducing the complexity of data fusion across heterogeneous networks. It supports the control and data transmission of drones through the separation of the control plane and the data plane. Furthermore, by applying the Tammer decomposition method to break down the system optimization problem, the Global Learning Seagull Algorithm for Gaussian Mapping (GLSOAG) is proposed to jointly optimize the system’s energy consumption and latency. Through simulation experiments, the GLSOAG demonstrates significant advantages over the Seagull Optimization Algorithm (SOA), Particle Swarm Optimization (PSO), and Beetle Antennae Search Algorithm (BAS) in terms of convergence speed, optimization accuracy, and stability. The system optimization approach effectively reduces the system’s energy consumption and latency costs. Overall, our work alleviates the pain points faced in rescue scenarios to some extent. © 2024 by the authors.</t>
  </si>
  <si>
    <t>5G; emergency support; Gaussian global seagull algorithm; mobile edge computing; resource optimization method; UAV</t>
  </si>
  <si>
    <t>2-s2.0-85213225035</t>
  </si>
  <si>
    <t>Rimoli G.P.; Palmieri F.; Ficco M.</t>
  </si>
  <si>
    <t>Rimoli, Gennaro Pio (58973935400); Palmieri, Francesco (7103111550); Ficco, Massimo (14021031600)</t>
  </si>
  <si>
    <t>58973935400; 7103111550; 14021031600</t>
  </si>
  <si>
    <t>Proceedings of the International Defense and Homeland Security Simulation Workshop, DHSS</t>
  </si>
  <si>
    <t>2024-September</t>
  </si>
  <si>
    <t>002</t>
  </si>
  <si>
    <t>10.46354/i3m.2024.dhss.002</t>
  </si>
  <si>
    <t>https://www.scopus.com/inward/record.uri?eid=2-s2.0-85210589564&amp;doi=10.46354%2fi3m.2024.dhss.002&amp;partnerID=40&amp;md5=b348d34afbe2c3436ee7fff027c28614</t>
  </si>
  <si>
    <t>In the coming years, institutions, such as law enforcement, rescue agencies, and companies, will increasingly use drone fleets to support inspection, logistics, and surveillance applications, in scenarios that may also be highly sensitive for managed data, performed tasks, or the contexts in which they operate. Security-by-design and machine learning-based models may represent the main paradigms for the design of systems resistant to cyber attacks. However, the lack of open datasets and simulation frameworks may represent the main challenge in this direction. Therefore, this paper aims to propose an open source software stack and a schema for creating synthetic standard missions, attacks, and component failures, for the generation of scenarios and data useful for addressing security threats against drone fleets. The produced data set may be used to implement machine learning-based security intrusion detectors on a centralized ground station, as well as on-board agents that may be deployed on a drone to detect anomalous behaviors of compromised drones of the fleet in real time. © 2024 The Authors.</t>
  </si>
  <si>
    <t>Cyber security; drone fleet simulation; Machine Learning; TinyML; UAV threat data generation; UAV threat dataset</t>
  </si>
  <si>
    <t>2-s2.0-85210589564</t>
  </si>
  <si>
    <t>Zhou R.; Almustafa M.K.; Nehdi M.L.; Su H.</t>
  </si>
  <si>
    <t>Zhou, Renlian (57203532030); Almustafa, Monjee K. (57218162523); Nehdi, Moncef L. (7004176002); Su, Huaizhi (8261698000)</t>
  </si>
  <si>
    <t>57203532030; 57218162523; 7004176002; 8261698000</t>
  </si>
  <si>
    <t>ISPRS Journal of Photogrammetry and Remote Sensing</t>
  </si>
  <si>
    <t>218</t>
  </si>
  <si>
    <t>Convolutional neural network; Dike; Drone; Infrared thermography; Leakage; Object detection; River embankment</t>
  </si>
  <si>
    <t>2-s2.0-85205360346</t>
  </si>
  <si>
    <t>Marchetti E.; Waheed T.; Calabrò A.</t>
  </si>
  <si>
    <t>Marchetti, Eda (16242101500); Waheed, Tauheed (58759828400); Calabrò, Antonello (36702488800)</t>
  </si>
  <si>
    <t>16242101500; 58759828400; 36702488800</t>
  </si>
  <si>
    <t>Cybersecurity Testing in Drones Domain: A Systematic Literature Review</t>
  </si>
  <si>
    <t>The widespread use of unmanned aerial vehicles (UAVs) drone cybersecurity testing is becoming an emerging and evolving research area for cybersecurity and privacy issues avoidance and prevention. This paper contributes to guiding the research activity by systematically surveying the commonly adopted solutions and proposals for cybersecurity testing in the drone research domain. It highlights the research challenges and issues, classifies the current proposal, methodologies, and techniques, and suggests future directions. After gathering a collection of papers using automated inquiry of well-known digital libraries and snowballing techniques, a classification schema has been proposed and applied to the identified research works. Furthermore, research questions have been identified and answered through the performed classification. The paper provides an outlook on cybersecurity testing in drone environments. It also lists current criticalities, challenges, gaps, and future directions useful to improve drone quality and increase cybersecurity. The analysis reveals that the collected results point to a meaningful evolution and innovative approaches in cybersecurity testing within current research activities. © 2013 IEEE.</t>
  </si>
  <si>
    <t>cybersecurity; Drones; testing; UAV</t>
  </si>
  <si>
    <t>2-s2.0-85209639237</t>
  </si>
  <si>
    <t>Corraro G.; Corraro F.; Flora A.; Cuciniello G.; Garbarino L.; Senatore R.</t>
  </si>
  <si>
    <t>Corraro, Gianluca (56595204600); Corraro, Federico (22949701300); Flora, Andrea (59441341400); Cuciniello, Giovanni (24398572800); Garbarino, Luca (37046924400); Senatore, Roberto (54791434700)</t>
  </si>
  <si>
    <t>56595204600; 22949701300; 59441341400; 24398572800; 37046924400; 54791434700</t>
  </si>
  <si>
    <t>Aerospace</t>
  </si>
  <si>
    <t>11</t>
  </si>
  <si>
    <t>10.3390/aerospace11110955</t>
  </si>
  <si>
    <t>https://www.scopus.com/inward/record.uri?eid=2-s2.0-85210443677&amp;doi=10.3390%2faerospace11110955&amp;partnerID=40&amp;md5=ee4e995050f926e8bb70541cc1eff34b</t>
  </si>
  <si>
    <t>A global navigation satellite system (GNSS) for remotely piloted aircraft systems (RPASs) positioning is essential, thanks to the worldwide availability and continuity of this technology in the provision of positioning services. This makes the GNSS technology a critical element as malfunctions impacting on the determination of the position, velocity and timing (PVT) solution could determine safety issues. Such an aspect is particularly challenging in urban air mobility (UAM) scenarios, where low satellite visibility, multipath, radio frequency interference and cyber threats can dangerously affect the PVT solution. So, to meet integrity requirements, GNSS receiver measurements are augmented/fused with other aircraft sensors that can supply position and/or velocity information on the aircraft without relying on any other satellite and/or ground infrastructures. In this framework, in this paper, the algorithms of a hybrid navigation unit (HNU) for UAM applications are detailed, implementing a tightly coupled sensor fusion between a dual-frequency multi-constellation GNSS receiver, an inertial measurements unit and the barometric altitude from an air data computer. The implemented navigation algorithm is integrated with autonomous fault detection and exclusion of GPS/Galileo/BeiDou satellites and the estimation of navigation solution integrity/accuracy (i.e., protection level and figures of merit). In-flight tests were performed to validate the HNU functionalities demonstrating its effectiveness in UAM scenarios even in the presence of cyber threats. In detail, the navigation solution, compared with a real-time kinematic GPS receiver used as the reference centimetre-level position sensor, demonstrated good accuracy, with position errors below 15 m horizontally and 10 m vertically under nominal conditions (i.e., urban scenarios characterized by satellite low visibility and multipath). It continued to provide a valid navigation solution even in the presence of off-nominal events, such as spoofing attacks. The cyber threats were correctly detected and excluded by the system through the indication of the valid/not valid satellite measurements. However, the results indicate a need for fine-tuning the EKF to improve the estimation of figures of merit and protection levels associated to the navigation solution during the cyber-attacks. In contrast, solution accuracy and integrity indicators are well estimated in nominal conditions. © 2024 by the authors.</t>
  </si>
  <si>
    <t>dual-frequency multi-constellation global navigation satellite system; fault detection and exclusion; hybrid navigation system; in-flight validation; inertial measurement unit; tightly coupled sensor fusion; urban air mobility</t>
  </si>
  <si>
    <t>2-s2.0-85210443677</t>
  </si>
  <si>
    <t>Bakhtiiarov D.; Chumachenko B.; Lavrynenko O.; Antonov V.</t>
  </si>
  <si>
    <t>Bakhtiiarov, Denys (57193068955); Chumachenko, Bohdan (58677498400); Lavrynenko, Oleksandr (57193057763); Antonov, Veniamin (58698807300)</t>
  </si>
  <si>
    <t>57193068955; 58677498400; 57193057763; 58698807300</t>
  </si>
  <si>
    <t>Evaluating The UAV's Communication Channels Energy Availability In The Context Of Enemy Electronic Countermeasures</t>
  </si>
  <si>
    <t>2024 IEEE 7th International Conference on Actual Problems of Unmanned Aerial Vehicles Development, APUAVD 2024 - Proceedings</t>
  </si>
  <si>
    <t>10.1109/APUAVD64488.2024.10765900</t>
  </si>
  <si>
    <t>https://www.scopus.com/inward/record.uri?eid=2-s2.0-85213349250&amp;doi=10.1109%2fAPUAVD64488.2024.10765900&amp;partnerID=40&amp;md5=26278f6d8ba6158f7bd3ee211e2b8b6a</t>
  </si>
  <si>
    <t>This article compares the energy availability of radio communications in drones and other unmanned aerial vehicles. According to the research, all radio communication technologies under consideration are susceptible to radio jamming via the use of electronic warfare. Only discrete and broadband modulation schemes without interference-resistant coding can provide radio jamming energy efficiency. In discrete and broadband systems, this efficiency may be guaranteed to some extent using interference-resistant coding. The most promising solutions are those based on broadband communication systems with the greatest degree of interference resistance, according to analytical estimations of the radio jamming coefficient. These systems are exceptionally reliable communications that fulfill the criteria for protection against radio reconnaissance, secrecy, and bandwidth because various techniques of interference-resistant coding are used to increase protection against signal interference. © 2024 IEEE.</t>
  </si>
  <si>
    <t>broadband modulation system; electronic warfare; energy efficiency; radio jamming coefficient; radio signal; unmanned aerial vehicle</t>
  </si>
  <si>
    <t>2-s2.0-85213349250</t>
  </si>
  <si>
    <t>Yoo J.D.; Kim H.; Kim H.K.</t>
  </si>
  <si>
    <t>Yoo, Jeong Do (59068097600); Kim, Haerin (58070714800); Kim, Huy Kang (7410133266)</t>
  </si>
  <si>
    <t>59068097600; 58070714800; 7410133266</t>
  </si>
  <si>
    <t>Computers and Security</t>
  </si>
  <si>
    <t>147</t>
  </si>
  <si>
    <t>104073</t>
  </si>
  <si>
    <t>Cybersecurity; Data augmentation; Drone; GAN; IDS; Intrusion detection system; MAVLink; UAV</t>
  </si>
  <si>
    <t>2-s2.0-85202345878</t>
  </si>
  <si>
    <t>Babu C.V.S.; Pal A.</t>
  </si>
  <si>
    <t>Babu, C.V. Suresh (58533494800); Pal, Abhinaba (58597137900)</t>
  </si>
  <si>
    <t>58533494800; 58597137900</t>
  </si>
  <si>
    <t>Enhancing Security for Unmanned Aircraft Systems in IoT Environments: Defense Mechanisms and Mitigation Strategies</t>
  </si>
  <si>
    <t>10.1002/9781394230648.ch11</t>
  </si>
  <si>
    <t>https://www.scopus.com/inward/record.uri?eid=2-s2.0-85213777982&amp;doi=10.1002%2f9781394230648.ch11&amp;partnerID=40&amp;md5=725fb2211a11763873f6737b0ee3de49</t>
  </si>
  <si>
    <t>The rapid evolution of Next Generation Transportation and Unmanned Aircraft Systems (UAS) in the Internet of Things (IoT) paradigm has introduced exciting possibilities for various industries, including military operations, surveillance, logistics, and agriculture. However, this advancement also brings forth a multitude of security challenges that demand immediate attention. Unauthorized access represents a significant threat, where malicious actors may attempt to gain illicit control over UAS control systems or exploit vulnerabilities in communication links. Past incidents, like the spoofing attack on a Parrot AR. Drone, underscore the real possibility of such unauthorized access, enabling adversaries to manipulate flight paths or disrupt operations with relative ease. Additionally, the generation and transmission of substantial data by IoT-enabled UAS create another vulnerability, allowing for interception and manipulation of critical information. This includes telemetry, sensor readings, and video feeds, posing a serious risk of false information dissemination to the drone operator or mission control, impacting decision-making and overall mission success. Addressing these issues is imperative to ensure the secure integration and operation of UAS within the IoT ecosystem. This chapter aims to explore the unique security concerns associated with UAS in complex, heterogeneous, and highly distributed IoT environments. It will delve into the vulnerabilities and threats faced by UAS, such as signal tampering, jamming, physical attacks, GPS spoofing, laser-based attacks, and protocol abuses and scrutinize their respective mitigation tactics which also end up being capriciously effective depending on the operating environment. © 2025 Scrivener Publishing LLC.</t>
  </si>
  <si>
    <t>GPS spoofing attacks; Internet of Things (IoT); laser-based attacks; security challenges; trust architectures; unmanned aircraft systems (UAS)</t>
  </si>
  <si>
    <t>2-s2.0-85213777982</t>
  </si>
  <si>
    <t>Rathinasamy D.; Sivaramakrishnan R.; Pavithra R.; Kaliappan V.K.</t>
  </si>
  <si>
    <t>Rathinasamy, Dhivya (57212156747); Sivaramakrishnan, R. (57370078800); Pavithra, R. (58576469100); Kaliappan, Vishnu Kumar (24829297500)</t>
  </si>
  <si>
    <t>57212156747; 57370078800; 58576469100; 24829297500</t>
  </si>
  <si>
    <t>Urban Air Mobility: Intelligent, Safe and Sustainable Systems for Future Transportation</t>
  </si>
  <si>
    <t>2-s2.0-85203350895</t>
  </si>
  <si>
    <t>Tesfay A.A.; Aouladhadj D.; Deniau V.; Gransart C.; Dufour M.; Sondi P.</t>
  </si>
  <si>
    <t>Tesfay, Angesom Ataklity (57219594190); Aouladhadj, Driss (57818850200); Deniau, Virginie (24466454100); Gransart, Christophe (55917439900); Dufour, Mickael (59474358400); Sondi, Patrick (23398391400)</t>
  </si>
  <si>
    <t>57219594190; 57818850200; 24466454100; 55917439900; 59474358400; 23398391400</t>
  </si>
  <si>
    <t>Smart Jamming: Deep Learning-Based UAVs Neutralization System</t>
  </si>
  <si>
    <t>Proceedings of the International Symposium on Electromagnetic Compatibility, EMC Europe</t>
  </si>
  <si>
    <t>10.1109/EMCEurope59828.2024.10722367</t>
  </si>
  <si>
    <t>https://www.scopus.com/inward/record.uri?eid=2-s2.0-85212217560&amp;doi=10.1109%2fEMCEurope59828.2024.10722367&amp;partnerID=40&amp;md5=479f842ab680fcb003701dfc4ae3abc8</t>
  </si>
  <si>
    <t>Recently the proliferation of unmanned aerial vehicles (UAVs) has emerged as a pressing concern, attributed to the accessibility of capable drones and the surge in incidents involving unauthorized UAVs flying over restricted areas, such as airports, stadiums, military bases, etc. Consequently, the development and deployment of drone jamming techniques have been proposed to address this evolving threat, particularly by law enforcement agencies. However, these jamming technologies require high transmitted power and risk interference with other communications operating within the same industrial, scientific, and medical (ISM) band. This paper introduces a smart jamming technique to neutralize UAVs threats. The proposed approach uses radio frequency (RF) analysis and deep learning techniques to identify the drone model and generate tailored jamming signals to minimize overall power consumption to neutralize the target drone. Simulation results show that the proposed approach outperforms other jamming techniques. The proposed approach attains successful jamming at low jammer-to-signal ratios (JSR) as compared to other jammers, as a result, less transmitted power is required to reach the same jamming performance as the other jamming technique.  © 2024 IEEE.</t>
  </si>
  <si>
    <t>deep learning; smart jamming; UAVS system</t>
  </si>
  <si>
    <t>2-s2.0-85212217560</t>
  </si>
  <si>
    <t>Bayrak S.</t>
  </si>
  <si>
    <t>Bayrak, Sengul (56526714700)</t>
  </si>
  <si>
    <t>56526714700</t>
  </si>
  <si>
    <t>Knowledge and Information Systems</t>
  </si>
  <si>
    <t>66</t>
  </si>
  <si>
    <t>Encrypted Wi-Fi traffic classification; Explainable artificial intelligence; Intrusion detection system; Support vector machine; Unmanned aerial vehicles</t>
  </si>
  <si>
    <t>2-s2.0-85198653149</t>
  </si>
  <si>
    <t>Shah I.A.; Jhanjhi N.Z.</t>
  </si>
  <si>
    <t>Shah, Imdad Ali (57923320900); Jhanjhi, Noor Zaman (36088700700)</t>
  </si>
  <si>
    <t>57923320900; 36088700700</t>
  </si>
  <si>
    <t>Cybersecurity Issues and Challenges in the Drone Industry</t>
  </si>
  <si>
    <t>2-s2.0-85191256888</t>
  </si>
  <si>
    <t>Yang F.; Wang C.; Xiong J.; Deng N.; Zhao N.; Li Y.</t>
  </si>
  <si>
    <t>Yang, Fangtao (57215128519); Wang, Chao (54400510500); Xiong, Jun (55326779700); Deng, Na (55322607800); Zhao, Nan (45562028800); Li, Yonghui (57218530399)</t>
  </si>
  <si>
    <t>57215128519; 54400510500; 55326779700; 55322607800; 45562028800; 57218530399</t>
  </si>
  <si>
    <t>Active detection; covert communication; covert transmission rate; unmanned aerial vehicle (UAV)</t>
  </si>
  <si>
    <t>2-s2.0-85184324852</t>
  </si>
  <si>
    <t>Wang X.; Liang J.; Rongliang L.</t>
  </si>
  <si>
    <t>Wang, Xiang (57479223700); Liang, Jingwei (58722424400); Rongliang, Li (59395514200)</t>
  </si>
  <si>
    <t>57479223700; 58722424400; 59395514200</t>
  </si>
  <si>
    <t>Scientific Reports</t>
  </si>
  <si>
    <t>26032</t>
  </si>
  <si>
    <t>Hidden hazard detection; Infrared thermography; Levees; Seepage; Seepage heat transfer</t>
  </si>
  <si>
    <t>2-s2.0-85208167829</t>
  </si>
  <si>
    <t>Veksler M.; Akkaya K.; Uluagac S.</t>
  </si>
  <si>
    <t>Veksler, Maryna (57912295300); Akkaya, Kemal (6603154960); Uluagac, Selcuk (22735196300)</t>
  </si>
  <si>
    <t>57912295300; 6603154960; 22735196300</t>
  </si>
  <si>
    <t>ACM AsiaCCS 2024 - Proceedings of the 19th ACM Asia Conference on Computer and Communications Security</t>
  </si>
  <si>
    <t>covert channels; drones; information leakage; MAVLink; unmanned aerial vehicles (UAVs)</t>
  </si>
  <si>
    <t>2-s2.0-85199291347</t>
  </si>
  <si>
    <t>Schäffer S.; Wolfrum J.; Lueck M.; Osterholz J.</t>
  </si>
  <si>
    <t>Schäffer, Sebastian (57203091110); Wolfrum, Johannes (7005948340); Lueck, Martin (56897026200); Osterholz, Jens (22980715600)</t>
  </si>
  <si>
    <t>57203091110; 7005948340; 56897026200; 22980715600</t>
  </si>
  <si>
    <t>13201</t>
  </si>
  <si>
    <t>1320106</t>
  </si>
  <si>
    <t>CFRP; composite; High-Energy Laser; Laser effects; Laser-impact; Volume-ablation; vulnerability</t>
  </si>
  <si>
    <t>2-s2.0-85210031693</t>
  </si>
  <si>
    <t>Tufekci B.; Arslan A.; Tunc C.; Morozov K.</t>
  </si>
  <si>
    <t>Tufekci, Burak (59393088100); Arslan, Atakan (37007594600); Tunc, Cihan (35849159700); Morozov, Kirill (23492776200)</t>
  </si>
  <si>
    <t>59393088100; 37007594600; 35849159700; 23492776200</t>
  </si>
  <si>
    <t>2024 11th International Conference on Internet of Things: Systems, Management and Security, IOTSMS 2024</t>
  </si>
  <si>
    <t>cryptography; cybersecurity; Drone; GCS; MAVLink; UAV</t>
  </si>
  <si>
    <t>2-s2.0-85208075442</t>
  </si>
  <si>
    <t>Ding Y.; Cao Q.; Zhang B.; Li P.; Shi Z.</t>
  </si>
  <si>
    <t>Ding, Yan (56597197500); Cao, Qingxin (59461558600); Zhang, Bozhi (57204196914); Li, Peilin (57573191200); Shi, Zhongjiao (56669069000)</t>
  </si>
  <si>
    <t>56597197500; 59461558600; 57204196914; 57573191200; 56669069000</t>
  </si>
  <si>
    <t>Research on multi-view collaborative detection system for UAV swarms based on Pix2Pix framework and BAM attention mechanism</t>
  </si>
  <si>
    <t>Defence Technology</t>
  </si>
  <si>
    <t>10.1016/j.dt.2024.11.002</t>
  </si>
  <si>
    <t>https://www.scopus.com/inward/record.uri?eid=2-s2.0-85211191138&amp;doi=10.1016%2fj.dt.2024.11.002&amp;partnerID=40&amp;md5=0e2e3a00da7d826d05cc843430ad6e94</t>
  </si>
  <si>
    <t>Drone swarm systems, equipped with photoelectric imaging and intelligent target perception, are essential for reconnaissance and strike missions in complex and high-risk environments. They excel in information sharing, anti-jamming capabilities, and combat performance, making them critical for future warfare. However, varied perspectives in collaborative combat scenarios pose challenges to object detection, hindering traditional detection algorithms and reducing accuracy. Limited angle-prior data and sparse samples further complicate detection. This paper presents the Multi-View Collaborative Detection System, which tackles the challenges of multi-view object detection in collaborative combat scenarios. The system is designed to enhance multi-view image generation and detection algorithms, thereby improving the accuracy and efficiency of object detection across varying perspectives. First, an observation model for three-dimensional targets through line-of-sight angle transformation is constructed, and a multi-view image generation algorithm based on the Pix2Pix network is designed. For object detection, YOLOX is utilized, and a deep feature extraction network, BA-RepCSPDarknet, is developed to address challenges related to small target scale and feature extraction challenges. Additionally, a feature fusion network NS-PAFPN is developed to mitigate the issue of deep feature map information loss in UAV images. A visual attention module (BAM) is employed to manage appearance differences under varying angles, while a feature mapping module (DFM) prevents fine-grained feature loss. These advancements lead to the development of BA-YOLOX, a multi-view object detection network model suitable for drone platforms, enhancing accuracy and effectively targeting small objects. © 2024 China Ordnance Society</t>
  </si>
  <si>
    <t>Attention mechanism; Drone swarm systems; Image generation; Multi-view detection; Pix2Pix framework; Reconnaissance and strike</t>
  </si>
  <si>
    <t>2-s2.0-85211191138</t>
  </si>
  <si>
    <t>Sharma D.D.; Sarojwal A.</t>
  </si>
  <si>
    <t>Sharma, Desh Deepak (56924331800); Sarojwal, Atul (57845685800)</t>
  </si>
  <si>
    <t>56924331800; 57845685800</t>
  </si>
  <si>
    <t>Secure and Resilient Threat Modelling Strategy for Drone Delivery System</t>
  </si>
  <si>
    <t>2024 IEEE Region 10 Symposium, TENSYMP 2024</t>
  </si>
  <si>
    <t>10.1109/TENSYMP61132.2024.10752205</t>
  </si>
  <si>
    <t>https://www.scopus.com/inward/record.uri?eid=2-s2.0-85211951060&amp;doi=10.1109%2fTENSYMP61132.2024.10752205&amp;partnerID=40&amp;md5=35d54c6f5705c9b68a58c675f602f86c</t>
  </si>
  <si>
    <t>Several unmanned aerial vehicles (UAVs) are used in multi-drone delivery systems to move packages and supplies from a distribution center to specific delivery locations. The key challenges in multi-drone delivery are navigating complex aviation, reliable performance, protection of drones from hacking, ensuring the security of deliveries, gaining public trust, and maintaining privacy. This paper suggests an approach to develop the secured and authentic data structure of drone delivery systems. The paper presents the common threat actors, and identifies different stages of possible threats in drone delivery. The various threat modeling tools are mentioned. This paper proposes the DSA (digital signature algorithm) based secure and resilient algorithm for drone-delivery systems.  © 2024 IEEE.</t>
  </si>
  <si>
    <t>drone delivery cost; DSA; private keys; public keys; threat actors</t>
  </si>
  <si>
    <t>2-s2.0-85211951060</t>
  </si>
  <si>
    <t>Al-lQubaydhi N.; Alenezi A.; Alanazi T.; Senyor A.; Alanezi N.; Alotaibi B.; Alotaibi M.; Razaque A.; Hariri S.</t>
  </si>
  <si>
    <t>Al-lQubaydhi, Nader (58876389600); Alenezi, Abdulrahman (57886975400); Alanazi, Turki (58834394900); Senyor, Abdulrahman (57885582800); Alanezi, Naif (57886741900); Alotaibi, Bandar (56823476600); Alotaibi, Munif (56275433000); Razaque, Abdul (25961025600); Hariri, Salim (7005427754)</t>
  </si>
  <si>
    <t>58876389600; 57886975400; 58834394900; 57885582800; 57886741900; 56823476600; 56275433000; 25961025600; 7005427754</t>
  </si>
  <si>
    <t>Computer Science Review</t>
  </si>
  <si>
    <t>51</t>
  </si>
  <si>
    <t>100614</t>
  </si>
  <si>
    <t>Convolutional neural network; Deep learning; Drone detection; Recurrent neural network; Unmanned aerial vehicle</t>
  </si>
  <si>
    <t>2-s2.0-85184656031</t>
  </si>
  <si>
    <t>Zhang Y.</t>
  </si>
  <si>
    <t>Zhang, Yue (58873417100)</t>
  </si>
  <si>
    <t>58873417100</t>
  </si>
  <si>
    <t>Research on Optimization of UAV Communication Network Security Protection Strategy Based on Advanced Encryption Technology</t>
  </si>
  <si>
    <t>Journal of Mobile Multimedia</t>
  </si>
  <si>
    <t>10.13052/jcsm2245-1439.1367</t>
  </si>
  <si>
    <t>https://www.scopus.com/inward/record.uri?eid=2-s2.0-85211741117&amp;doi=10.13052%2fjcsm2245-1439.1367&amp;partnerID=40&amp;md5=82e4f22291ab9348181ac0fb93ad0c07</t>
  </si>
  <si>
    <t>With the wide application of UAVs in various applications, the security, spectrum, and energy efficiency of their communication networks have become increasingly prominent. This paper proposes a joint optimization strategy based on deep reinforcement learning for drone swarm communication networks. First, a model is constructed that takes into account security threats, spectrum sharing, and energy consumption. Intelligent agents are then trained through deep reinforcement learning to dynamically select the best spectrum allocation and energy strategy to improve spectrum and energy efficiency while maintaining network security. Based on encryption technology, this paper studies resource optimization strategies for UAV security communication in different scenarios. Aiming at the incomplete certainty of multiple eavesdropping positions and the problem of the no-fly zone during UAV flight, a joint optimization algorithm is proposed to optimize UAV trajectory, interference power, and transmission power of ground base stations so as to maximize the minimum average security capacity of the system in the worst case. To solve the problem of the LoS link of UAV being quickly blocked in the city and secondary users easily causing excessive interference to primary users, intelligent reflectors are introduced to assist the UAV in secure communication. IRS can be used to reconfigure channel parameters to control the propagation direction of UAV communication links, enhance the channel quality of the primary link, and weaken the channel quality of eavesdropping links and interference links. Simulation results show that the optimization scheme improves the channel quality of UAV in crowded scenarios, inhibits the eavesdropping effect of eavesdroppers on secondary security users, and reduces the spectrum multiplexing interference of primary users, thus significantly enhancing the security capacity of the system. When the interference power of UAVs is increased, the value and growth rate of the security capacity of security users are significantly increased. The increase is 20%. Through a large number of simulation experiments, it has been proved that this method has excellent performance in improving communication security, spectrum utilization, and energy efficiency and has obvious advantages over the traditional baseline and average allocation DQN-wrap method. © 2024 River Publishers.</t>
  </si>
  <si>
    <t>communication security optimization; encryption technology; network security; spectrum energy efficiency optimization; UAV</t>
  </si>
  <si>
    <t>2-s2.0-85211741117</t>
  </si>
  <si>
    <t>Sophia S.; Paulraj G.J.L.; Jebadurai I.J.</t>
  </si>
  <si>
    <t>Sophia, S. (57871863800); Paulraj, Getzi Jeba Leelipushpam (57194531541); Jebadurai, Immanuel Johnraja (59337191700)</t>
  </si>
  <si>
    <t>57871863800; 57194531541; 59337191700</t>
  </si>
  <si>
    <t>2-s2.0-85201577894</t>
  </si>
  <si>
    <t>Ștefan O.; Codrean A.</t>
  </si>
  <si>
    <t>Ștefan, Octavian (42262950900); Codrean, Alexandru (35100026100)</t>
  </si>
  <si>
    <t>42262950900; 35100026100</t>
  </si>
  <si>
    <t>552</t>
  </si>
  <si>
    <t>networked control; resilience to cyber attacks; small drones</t>
  </si>
  <si>
    <t>2-s2.0-85207657008</t>
  </si>
  <si>
    <t>Alabidy A.; Zaben A.; Abu-Sharkh O.M.F.; Noman H.A.</t>
  </si>
  <si>
    <t>Alabidy, Abdallah (59399719300); Zaben, Amr (59399975000); Abu-Sharkh, Osama M.F. (8897822500); Noman, Haitham Ameen (57192234715)</t>
  </si>
  <si>
    <t>59399719300; 59399975000; 8897822500; 57192234715</t>
  </si>
  <si>
    <t>International IEEE Conference  proceedings, IS</t>
  </si>
  <si>
    <t>deep learning; detection; drone; GPS spoofing; machine learning; UAV; unmanned aerial vehicle</t>
  </si>
  <si>
    <t>2-s2.0-85208417620</t>
  </si>
  <si>
    <t>Proceedings of the 2024 15th IFIP Wireless and Mobile Networking Conference, WMNC 2024</t>
  </si>
  <si>
    <t>https://www.scopus.com/inward/record.uri?eid=2-s2.0-85213682493&amp;partnerID=40&amp;md5=db45cd57585dda1d5b94682d5d093faf</t>
  </si>
  <si>
    <t>The proceedings contain 18 papers. The topics discussed include: RIS-aided short-packet communication with imperfect CSI: average block error rate analysis; design of a counter-drone visualization platform incorporating sensor-data fusion; a semantic-oriented approach for underwater wireless communications using generative AI; signal source detection using asymptotic behavior of eigenvectors of random matrices; joint use of drone-mounted base stations and cell outage compensation in emergency scenarios; detection system for passive network eavesdropping; formation control of UAV-fleet with orientation alignment: a multi-agent actor-critic based approach; and utilizing hybrid P4 solutions to enhance 5G gNB with data plane programmability.</t>
  </si>
  <si>
    <t>2-s2.0-85213682493</t>
  </si>
  <si>
    <t>Ju S.; Park H.; Son S.; Kim H.; Park Y.; Park Y.</t>
  </si>
  <si>
    <t>Ju, Sieun (58774961400); Park, Hyewon (59370367800); Son, Seunghwan (57221744477); Kim, Hyungpyo (57190069232); Park, Youngho (56962990300); Park, Yohan (55660095600)</t>
  </si>
  <si>
    <t>58774961400; 59370367800; 57221744477; 57190069232; 56962990300; 55660095600</t>
  </si>
  <si>
    <t>Blockchain-Assisted Secure and Lightweight Authentication Scheme for Multi-Server Internet of Drones Environments</t>
  </si>
  <si>
    <t>Mathematics</t>
  </si>
  <si>
    <t>3965</t>
  </si>
  <si>
    <t>10.3390/math12243965</t>
  </si>
  <si>
    <t>https://www.scopus.com/inward/record.uri?eid=2-s2.0-85213258636&amp;doi=10.3390%2fmath12243965&amp;partnerID=40&amp;md5=05eac0314168c2749d1142cf01dcc29e</t>
  </si>
  <si>
    <t>Unmanned aerial vehicles (UAVs) have seen widespread adoption across diverse sectors, including agriculture, logistics, surveillance, and disaster management, due to their capabilities for real-time data acquisition and autonomous operations. The integration of UAVs with Internet of Things (IoT) systems further amplifies their functionality, enabling sophisticated applications such as smart city management and environmental monitoring. In this context, blockchain technology plays a pivotal role by providing a decentralized, tamper-resistant ledger that facilitates secure data exchange between UAVs and connected devices. Its transparent and immutable characteristics mitigate the risk of a single point of failure, thereby enhancing data integrity and bolstering trust within UAV–IoT communication networks. However, the interconnected nature of these systems introduces significant security challenges, including unauthorized access, data breaches, and a variety of network-based attacks. These issues are further compounded by the limited computational capabilities of IoT devices and the inherent vulnerabilities of wireless communication channels. Recently, a lightweight mutual authentication scheme using blockchain was presented; however, our analysis identified several critical security flaws in these existing protocols, such as drone impersonation and session key disclosure. To address these vulnerabilities, we propose a secure and lightweight authentication scheme for multi-server UAV–IoT environments. The proposed protocol effectively mitigates emerging security threats while maintaining low computational and communication overhead. We validate the security of our scheme using formal methods, including the Real-Or-Random (RoR) model and BAN logic. Comparative performance evaluations demonstrate that our protocol enhances security while also achieving efficiency, making it well-suited for resource-constrained IoT applications. © 2024 by the authors.</t>
  </si>
  <si>
    <t>authentication; BAN logic; blockchain; IoD; IoT; multi-server; RoR model; UAV</t>
  </si>
  <si>
    <t>2-s2.0-85213258636</t>
  </si>
  <si>
    <t>Sun J.; Dong C.; Zhu X.; Qin Z.; Zhang L.</t>
  </si>
  <si>
    <t>Sun, Jinyao (59486704300); Dong, Chao (35731172400); Zhu, Xiaojun (55624486685); Qin, Zhengrui (44661623400); Zhang, Lei (56023388100)</t>
  </si>
  <si>
    <t>59486704300; 35731172400; 55624486685; 44661623400; 56023388100</t>
  </si>
  <si>
    <t>Enhancing Routing Protocol Resilience for Dynamic UAV Networks in Frequency-Sweeping Jamming Environments</t>
  </si>
  <si>
    <t>IEEE Vehicular Technology Conference</t>
  </si>
  <si>
    <t>10.1109/VTC2024-Fall63153.2024.10757721</t>
  </si>
  <si>
    <t>https://www.scopus.com/inward/record.uri?eid=2-s2.0-85213035462&amp;doi=10.1109%2fVTC2024-Fall63153.2024.10757721&amp;partnerID=40&amp;md5=201f7d75484a2fc1f0fc9af961370579</t>
  </si>
  <si>
    <t>We consider flying ad hoc networks (FANETs) operating in frequency-sweeping jamming environment, where jamming significantly impairs the performance of routing protocols, leading to unstable network communications and data loss. Currently, jamming is defended at physical and link layer by military radio stations, which focuses on restoring communication of a single link. Existing routing protocols fail to utilize valuable information from these radio stations effectively to restore a multi-hop path. To address this issue, we propose a novel routing protocol optimization method that combines spectrum awareness techniques to further mitigate the adverse effects of jammers on overall network performance. The proposed method utilizes the obtained jammer information and bit error rate to modify various parameters in the routing protocol, enabling it to adapt to jamming scenarios. We implement the optimized protocol on the EXata simulation platform. The simulation results show that, compared with the reference protocols, the proposed protocol can increase the throughput by up to 12% and improve the packet delivery ratio by up to 14% in the presence of frequency-sweeping jammers. © 2024 IEEE.</t>
  </si>
  <si>
    <t>EXata simulation; flying ad hoc networks; jammer; olsr</t>
  </si>
  <si>
    <t>2-s2.0-85213035462</t>
  </si>
  <si>
    <t>Suratman M.F.; Mansor M.F.</t>
  </si>
  <si>
    <t>Suratman, M.F. (59474431800); Mansor, M.F. (35090200700)</t>
  </si>
  <si>
    <t>59474431800; 35090200700</t>
  </si>
  <si>
    <t>Development of GPS Receive Antenna with Anti-Jamming Capabilities</t>
  </si>
  <si>
    <t>2024 IEEE 7th International Symposium on Telecommunication Technologies: Exploring Future Frontiers in Telecommunication and Vehicular Technologies, ISTT 2024</t>
  </si>
  <si>
    <t>10.1109/ISTT63363.2024.10750676</t>
  </si>
  <si>
    <t>https://www.scopus.com/inward/record.uri?eid=2-s2.0-85212228991&amp;doi=10.1109%2fISTT63363.2024.10750676&amp;partnerID=40&amp;md5=f46fce4c47454f43b843d560e02bb6e0</t>
  </si>
  <si>
    <t>This project focuses on designing a GPS signal receiver antenna optimized for compact applications, specifically for use in drones or UAVs. The design integrates anti-jamming features and allows dynamic alteration of the antenna's radiation pattern through phase adjustments across its elements or ports. Operating within the L1 band (1575.42 MHz) of the GPS frequency spectrum, the design process begins with selecting a patch antenna for its high gain and wide-angle reception capabilities. The initial model is a single element tuned to 1.575 GHz, simulated using CST Studio Suite 2024. In the final phase, the antenna incorporates at least four elements to enable beamforming, beamsteering, and null steering, crucial for detecting and mitigating jamming threats. The antenna is designed to achieve a resonant frequency of 1.575 GHz, with all radiation pattern changes carefully documented. The simulation and measurement results, thoroughly analyzed in the thesis, demonstrate that the project successfully meets its objectives, advancing GPS signal receiver antenna design for UAV applications. © 2024 IEEE.</t>
  </si>
  <si>
    <t>anti-jamming; beem steering; CST Studio Suite; GPS; L1 band (1.575 GHz); patch antenna; RHCP</t>
  </si>
  <si>
    <t>2-s2.0-85212228991</t>
  </si>
  <si>
    <t>Zhang X.-K.; Li J.-G.; Yang J.</t>
  </si>
  <si>
    <t>Zhang, Xin-Kai (59417086100); Li, Ji-Gong (27167790400); Yang, Jing (56873534000)</t>
  </si>
  <si>
    <t>59417086100; 27167790400; 56873534000</t>
  </si>
  <si>
    <t>6th International Conference on Industrial Artificial Intelligence, IAI 2024</t>
  </si>
  <si>
    <t>Air-mass Path Model; frontier-based planner; heuristic function; plume finding</t>
  </si>
  <si>
    <t>2-s2.0-85209672731</t>
  </si>
  <si>
    <t>Pärlin K.; Riihonen T.; Le Nir V.; Adrat M.</t>
  </si>
  <si>
    <t>Pärlin, Karel (57203019528); Riihonen, Taneli (15623805800); Le Nir, Vincent (6506882526); Adrat, Marc (6602830765)</t>
  </si>
  <si>
    <t>57203019528; 15623805800; 6506882526; 6602830765</t>
  </si>
  <si>
    <t>IEEE Transactions on Wireless Communications</t>
  </si>
  <si>
    <t>counter-drone; drone; energy detection; full-duplex; half-duplex; jamming; Reliability; UAV</t>
  </si>
  <si>
    <t>2-s2.0-85164447694</t>
  </si>
  <si>
    <t>Gao A.; Wang Q.; Hu Y.; Liang W.; Zhang J.</t>
  </si>
  <si>
    <t>Gao, Ang (55220570200); Wang, Qinyu (58337874500); Hu, Yansu (35753215600); Liang, Wei (57209150020); Zhang, Jiankang (15066178800)</t>
  </si>
  <si>
    <t>55220570200; 58337874500; 35753215600; 57209150020; 15066178800</t>
  </si>
  <si>
    <t>deep reinforcement learning; role switching; secure communication; successive convex approximate; Unmanned aerial vehicles</t>
  </si>
  <si>
    <t>2-s2.0-85163707801</t>
  </si>
  <si>
    <t>Tufekci B.; Quach V.; Tunc C.; Dantu R.</t>
  </si>
  <si>
    <t>Tufekci, Burak (59393088100); Quach, Vinh (59259417700); Tunc, Cihan (35849159700); Dantu, Ram (6602410612)</t>
  </si>
  <si>
    <t>59393088100; 59259417700; 35849159700; 6602410612</t>
  </si>
  <si>
    <t>CPS; cybersecurity; drone; IDPS; IDS; machine learning; UAV</t>
  </si>
  <si>
    <t>2-s2.0-85208067719</t>
  </si>
  <si>
    <t>Guo W.; Zhang Z.; Chang L.; Song Y.; Yin L.</t>
  </si>
  <si>
    <t>Guo, Wei (57226834534); Zhang, Zhi (59238113400); Chang, Liyuan (58930914300); Song, Yue (59136137600); Yin, Liuguo (7203060512)</t>
  </si>
  <si>
    <t>57226834534; 59238113400; 58930914300; 59136137600; 7203060512</t>
  </si>
  <si>
    <t>9</t>
  </si>
  <si>
    <t>437</t>
  </si>
  <si>
    <t>adaptive beam width; beam search; DDoS tracking; IoT; smart grid; UAV</t>
  </si>
  <si>
    <t>2-s2.0-85205075766</t>
  </si>
  <si>
    <t>Sheng H.; Chen G.; Xu Q.; Li X.; Men J.; Zhou L.; Zhao J.</t>
  </si>
  <si>
    <t>Sheng, Hao (58519389400); Chen, Guohua (58549071300); Xu, Qiming (57213192156); Li, Xiaofeng (57220929010); Men, Jinkun (57210206229); Zhou, Lixing (57191962397); Zhao, Jie (57191637371)</t>
  </si>
  <si>
    <t>58519389400; 58549071300; 57213192156; 57220929010; 57210206229; 57191962397; 57191637371</t>
  </si>
  <si>
    <t>Journal of Loss Prevention in the Process Industries</t>
  </si>
  <si>
    <t>88</t>
  </si>
  <si>
    <t>105276</t>
  </si>
  <si>
    <t>Gas leakage traceability &amp; dispersion (GLTD); Hazardous chemical leakage; Improve sparrow search algorithm (ISSA); Improved Gaussian plume model; Unmanned aerial vehicle (UAV)</t>
  </si>
  <si>
    <t>2-s2.0-85186490212</t>
  </si>
  <si>
    <t>Alsumayt A.; Nagy N.; Alsharyofi S.; Al Ibrahim N.; Al-Rabie R.; Alahmadi R.; Alesse R.A.; Alahmadi A.A.</t>
  </si>
  <si>
    <t>Alsumayt, Albandari (56303987400); Nagy, Naya (7006374042); Alsharyofi, Shatha (59345154500); Al Ibrahim, Noor (59220516300); Al-Rabie, Renad (59344937400); Alahmadi, Resal (59345045500); Alesse, Roaa Ali (59220185000); Alahmadi, Amal A. (57202873893)</t>
  </si>
  <si>
    <t>56303987400; 7006374042; 59345154500; 59220516300; 59344937400; 59345045500; 59220185000; 57202873893</t>
  </si>
  <si>
    <t>Sci</t>
  </si>
  <si>
    <t>56</t>
  </si>
  <si>
    <t>2-s2.0-85205056508</t>
  </si>
  <si>
    <t>Mahmoud A.A.; Ramli S.N.; Ariff M.A.M.; Danlami M.</t>
  </si>
  <si>
    <t>Mahmoud, Aminu Abdulkadir (59498480900); Ramli, Sofia Najwa (54955926300); Ariff, Mohd Aifaa Mohd (57209411060); Danlami, Muktar (57219129127)</t>
  </si>
  <si>
    <t>59498480900; 54955926300; 57209411060; 57219129127</t>
  </si>
  <si>
    <t>Radar Spectrum Analysis and Machine Learning-Based Classification for Identity-Based Unmanned Aerial Vehicles Detection and Authentication</t>
  </si>
  <si>
    <t>International Journal of Advanced Computer Science and Applications</t>
  </si>
  <si>
    <t>10.14569/IJACSA.2024.0151260</t>
  </si>
  <si>
    <t>https://www.scopus.com/inward/record.uri?eid=2-s2.0-85213992976&amp;doi=10.14569%2fIJACSA.2024.0151260&amp;partnerID=40&amp;md5=b0979dc0af2e50c6a135f6ac06cf466b</t>
  </si>
  <si>
    <t>The significant use of Unmanned Aerial Vehicles (UAVs) in commercial and civilian applications presents various cybersecurity challenges, particularly in detection and authentication. Unauthorized UAVs can be very harmful to the people on the ground, the infrastructure, the right to privacy, and other UAVs. Moreover, using the internet for UAV communication may expose authorized ones to attacks, causing a loss of confidentiality, integrity, and information availability. This paper introduces radar-based UAV detection and authentication using Micro-Doppler (MD) signal analysis. The study provides a unique dataset comprising radar signals from three distinct UAV models captured under varying operational conditions. The dataset enables the analysis of specific features and classification through machine learning models, including k-nearest Neighbor (k-NN), Random Forest, and Support Vector Machine (SVM). The approach leverages radar signal processing to extract MD signatures for accurate UAV identification, enhancing detection and authentication processes. The result indicates that Random Forest achieved the highest accuracy of 100%, with high classification accuracy and zero false alarms, demonstrating its suitability for real-time monitoring. This also highlights the potential of radar-based MD analysis for UAV detection, and it establishes a foundational approach for developing robust UAV monitoring systems, with potential applications in aviation military surveillance, public safety, and regulatory compliance. Future work will focus on expanding the dataset and integrating Remote Identification (RID) policy. A policy that mandates UAVs to disclose their identity upon approaching any territory, this will help to enhance security and scalability of the system. © (2024), (Science and Information Organization). All Rights Reserved.</t>
  </si>
  <si>
    <t>Authentication; cybersecurity; detection; Micro-Doppler; radar; Unmanned Aerial Vehicle (UAV)</t>
  </si>
  <si>
    <t>2-s2.0-85213992976</t>
  </si>
  <si>
    <t>Raj M.; N B H.; Gupta S.; Atiquzzaman M.; Rawlley O.; Goel L.</t>
  </si>
  <si>
    <t>Raj, Meghna (57224118131); N B, Harshini (59001422400); Gupta, Shashank (56925715300); Atiquzzaman, Mohammed (7005257888); Rawlley, Oshin (57204590582); Goel, Lavika (55000526600)</t>
  </si>
  <si>
    <t>57224118131; 59001422400; 56925715300; 7005257888; 57204590582; 55000526600</t>
  </si>
  <si>
    <t>Energy Nexus</t>
  </si>
  <si>
    <t>100300</t>
  </si>
  <si>
    <t>2-s2.0-85191292329</t>
  </si>
  <si>
    <t>Chen J.; Zhang C.</t>
  </si>
  <si>
    <t>Chen, Jiateng (58651142500); Zhang, Chao (56337650400)</t>
  </si>
  <si>
    <t>58651142500; 56337650400</t>
  </si>
  <si>
    <t>A UAV Communication System with Anti-Interference and Covert Communication Capabilities Using Two Antennas</t>
  </si>
  <si>
    <t>10.1109/DASC62030.2024.10748965</t>
  </si>
  <si>
    <t>https://www.scopus.com/inward/record.uri?eid=2-s2.0-85211225926&amp;doi=10.1109%2fDASC62030.2024.10748965&amp;partnerID=40&amp;md5=75e001f6f227b9511ab90ee547e1f072</t>
  </si>
  <si>
    <t>In drone warfare, enemy interception or jamming of signals directly leads to mission failure. To enhance the drone's resistance to interception and jamming, a communication system employing two transmitting and two receiving antennas has been developed. Within this system, the transmitting end's two antennas emit main channel signals at different phases and measure the phase difference at the receiving antenna, thereby establishing a covert channel for conveying dynamic spread spectrum codes. These codes are then used to spread the main channel signal in the subsequent frame, thereby strengthening the signal. Simulation and experimental results demonstrate that, compared to traditional transmission links, this approach reduces the probability of interception by three orders of magnitude with just an additional transmitting and receiving antenna pair; it achieves a gain of 10-30dB against linear frequency modulation noise. This design is intended for use in the combat communication systems of unmanned aerial vehicle fleets, enhancing interception and jamming resistance at a low cost, and aiding in combat communication under complex electromagnetic conditions. © 2024 IEEE.</t>
  </si>
  <si>
    <t>anti-interception; anti-interference; covert communication; UAV; virtual antenna</t>
  </si>
  <si>
    <t>2-s2.0-85211225926</t>
  </si>
  <si>
    <t>Khan I.U.; El Hajjami S.; Ouaissa M.; Belaqziz S.; Bhatia T.K.</t>
  </si>
  <si>
    <t>Khan, Inam Ullah (57194467436); El Hajjami, Salma (57197767397); Ouaissa, Mariya (57197842186); Belaqziz, Salwa (55027313800); Bhatia, Tarandeep Kaur (57803056300)</t>
  </si>
  <si>
    <t>57194467436; 57197767397; 57197842186; 55027313800; 57803056300</t>
  </si>
  <si>
    <t>Cognitive Machine Intelligence: Applications, Challenges, and Related Technologies</t>
  </si>
  <si>
    <t>Cognitive Machine Intelligence: Applications, Challenges, and Related Technologies offers a compelling exploration of the transformative landscape shaped by the convergence of machine intelligence, artificial intelligence, and cognitive computing. In this book, the authors navigate through the intricate realms of technology, unveiling the profound impact of cognitive machine intelligence on diverse fields such as communication, healthcare, cybersecurity, and smart city development. The chapters present a study on robots and drones to the integration of machine learning with wireless communication networks, IoT, quantum computing, and beyond. The book explores the essential role of machine learning in healthcare, security, and manufacturing. With a keen focus on privacy, trust, and the improvement of human lifestyles, this book stands as a comprehensive guide to the novel techniques and applications driving the evolution of cognitive machine intelligence. The vision presented here extends to smart cities, where AI-enabled techniques contribute to optimal decision-making, and future computing systems address end-to-end delay issues with a central focus on Qualityof-Service metrics. Cognitive Machine Intelligence is an indispensable resource for researchers, practitioners, and enthusiasts seeking a deep understanding of the dynamic landscape at the intersection of artificial intelligence and cognitive computing. This book: • Covers a comprehensive exploration of cognitive machine intelligence and its intersection with emerging technologies such as federated learning, blockchain, and 6G and beyond. • Discusses the integration of machine learning with various technologies such as wireless communication networks, ad-hoc networks, software-defined networks, quantum computing, and big data. • Examines the impact of machine learning on various fields such as healthcare, unmanned aerial vehicles, cybersecurity, and neural networks. • Provides a detailed discussion on the challenges and solutions to future computer networks like end-to-end delay issues, Quality of Service (QoS) metrics, and security. • Emphasizes the need to ensure privacy and trust while implementing the novel techniques of machine intelligence. It is primarily written for senior undergraduate and graduate students, and academic researchers in the fields of electrical engineering, electronics and communication engineering, and computer engineering. © 2025 selection and editorial matter, Inam Ullah Khan, Salma El Hajjami, Mariya Ouaissa, Salwa Belaqziz and Tarandeep Kaur Bhatia. All rights reserved.</t>
  </si>
  <si>
    <t>2-s2.0-85200958474</t>
  </si>
  <si>
    <t>Costa D.; Khan A.; Ivaki N.; Madeira H.</t>
  </si>
  <si>
    <t>Costa, Diogo (57190132949); Khan, Anamta (57249622000); Ivaki, Naghmeh (55556863000); Madeira, Henrique (7004929011)</t>
  </si>
  <si>
    <t>57190132949; 57249622000; 55556863000; 7004929011</t>
  </si>
  <si>
    <t>Communications in Computer and Information Science</t>
  </si>
  <si>
    <t>2078 CCIS</t>
  </si>
  <si>
    <t>Fault Injection; Fault-Tolerance; GPS; Physics Model; Safety; UAVs</t>
  </si>
  <si>
    <t>2-s2.0-85189626210</t>
  </si>
  <si>
    <t>Wu Q.; Zhang Y.; Yang Z.; Shikh-Bahaei M.</t>
  </si>
  <si>
    <t>Wu, Qirui (57218791790); Zhang, Yirun (57218799182); Yang, Zhaohui (56123330000); Shikh-Bahaei, Mohammad (6602744165)</t>
  </si>
  <si>
    <t>57218791790; 57218799182; 56123330000; 6602744165</t>
  </si>
  <si>
    <t>2024 IEEE International Conference on Communications Workshops, ICC Workshops 2024</t>
  </si>
  <si>
    <t>deep learning; differential programming; knowledge distillation; malicious attack; Unmanned aerial vehicle swarm</t>
  </si>
  <si>
    <t>2-s2.0-85202451456</t>
  </si>
  <si>
    <t>Kowalska M.; Zaczek-Peplinska J.; Piasta Ł.</t>
  </si>
  <si>
    <t>Kowalska, Maria (57190758593); Zaczek-Peplinska, Janina (12780536100); Piasta, Łukasz (58991955900)</t>
  </si>
  <si>
    <t>57190758593; 12780536100; 58991955900</t>
  </si>
  <si>
    <t>Determining the trend of geometrical changes of a hydrotechnical object based on data in the form of LiDAR point clouds; [Określanie trendu zmian geometrycznych obiektu hydrotechnicznegow oparciu o dane w postaci chmur punktów LiDAR]</t>
  </si>
  <si>
    <t>Archives of Civil Engineering</t>
  </si>
  <si>
    <t>70</t>
  </si>
  <si>
    <t>cluster algorithm; deformations of hydrotechnical structures; LiDAR; normal vectors; point clouds; terrestrial laser scanning</t>
  </si>
  <si>
    <t>2-s2.0-85190721460</t>
  </si>
  <si>
    <t>Li Z.; Wang J.; Chen J.; Fang Z.; Ren Y.</t>
  </si>
  <si>
    <t>Li, Zonglin (58968853200); Wang, Jingjing (56039489400); Chen, Jianrui (57426235600); Fang, Zhengru (57217480235); Ren, Yong (7403274440)</t>
  </si>
  <si>
    <t>58968853200; 56039489400; 57426235600; 57217480235; 7403274440</t>
  </si>
  <si>
    <t>IEEE Wireless Communications</t>
  </si>
  <si>
    <t>31</t>
  </si>
  <si>
    <t>2-s2.0-85189373660</t>
  </si>
  <si>
    <t>Kim I.; Lee H.-Y.; Lee D.-M.; Lee H.-J.; Kim H.; Kim E.-S.; Kim N.-Y.</t>
  </si>
  <si>
    <t>Kim, Ikhwan (57242667800); Lee, Hak-Yong (44461496000); Lee, Dong-Min (57762361400); Lee, Ho-Jun (59107732600); Kim, Hyuk (58663880300); Kim, Eun-Seong (56504232000); Kim, Nam-Young (23060849600)</t>
  </si>
  <si>
    <t>57242667800; 44461496000; 57762361400; 59107732600; 58663880300; 56504232000; 23060849600</t>
  </si>
  <si>
    <t>IEEE Antennas and Wireless Propagation Letters</t>
  </si>
  <si>
    <t>Drone; metamaterial; narrow beam; Vivaldi antenna</t>
  </si>
  <si>
    <t>2-s2.0-85174817177</t>
  </si>
  <si>
    <t>Lecture Notes in Electrical Engineering</t>
  </si>
  <si>
    <t>1141 LNEE</t>
  </si>
  <si>
    <t>2-s2.0-85184830393</t>
  </si>
  <si>
    <t>Joshi A.; Lachure J.; Doriya R.</t>
  </si>
  <si>
    <t>Joshi, Apoorv (58398385400); Lachure, Jaykumar (56857573100); Doriya, Rajesh (54917442000)</t>
  </si>
  <si>
    <t>58398385400; 56857573100; 54917442000</t>
  </si>
  <si>
    <t>Journal of Uncertain Systems</t>
  </si>
  <si>
    <t>2350007</t>
  </si>
  <si>
    <t>2-s2.0-85165207301</t>
  </si>
  <si>
    <t>Alhamraa A.M.; Shahrani A.O.; Dossary B.N.; Obayaih S.N.</t>
  </si>
  <si>
    <t>Alhamraa, Abdulla Mashan (59355314500); Shahrani, A.O. (57191415119); Dossary, B.N. (59139149900); Obayaih, S.N. (59355134900)</t>
  </si>
  <si>
    <t>59355314500; 57191415119; 59139149900; 59355134900</t>
  </si>
  <si>
    <t>Society of Petroleum Engineers - SPE International Health, Safety, Environment and Sustainability Conference and Exhibition, HSE 2024</t>
  </si>
  <si>
    <t>2-s2.0-85205676647</t>
  </si>
  <si>
    <t>Ma C.; Qu Z.; Li X.; Liu Z.; Zhou C.</t>
  </si>
  <si>
    <t>Ma, Chao (57199374175); Qu, Zhi (56452274300); Li, Xianbin (53877799300); Liu, Zongmin (57353798000); Zhou, Chao (55657892500)</t>
  </si>
  <si>
    <t>57199374175; 56452274300; 53877799300; 57353798000; 55657892500</t>
  </si>
  <si>
    <t>Measurement Science and Technology</t>
  </si>
  <si>
    <t>34</t>
  </si>
  <si>
    <t>125034</t>
  </si>
  <si>
    <t>path-following identification; support vector regression; UAV navigation spoofing</t>
  </si>
  <si>
    <t>2-s2.0-85172734714</t>
  </si>
  <si>
    <t>Al Salili Z.A.; Al Ghamdi G.S.; Al Ibrahim N.; Alesse R.A.; Saqib N.A.</t>
  </si>
  <si>
    <t>Al Salili, Zahra Abdullah (59220184900); Al Ghamdi, Ghadah Saeed (59220625700); Al Ibrahim, Noor (59220516300); Alesse, Roaa Ali (59220185000); Saqib, Nazar Abbas (55887305700)</t>
  </si>
  <si>
    <t>59220184900; 59220625700; 59220516300; 59220185000; 55887305700</t>
  </si>
  <si>
    <t>Proceedings - 2024 7th International Women in Data Science Conference at Prince Sultan University, WiDS-PSU 2024</t>
  </si>
  <si>
    <t>access control; attacks on IoD; IDS; Internet of drones; machine learning; Security of UAVs</t>
  </si>
  <si>
    <t>2-s2.0-85198669259</t>
  </si>
  <si>
    <t>Alotaibi S.S.; Sayed A.; Elhameed E.S.A.; Alghushairy O.; Assiri M.; Saadeldeen Ibrahim S.</t>
  </si>
  <si>
    <t>Alotaibi, Saud S. (57202829227); Sayed, Ahmed (58872962100); Elhameed, Elmouez Samir Abd (59002072400); Alghushairy, Omar (57221119582); Assiri, Mohammed (57219344932); Saadeldeen Ibrahim, Sara (59130033900)</t>
  </si>
  <si>
    <t>57202829227; 58872962100; 59002072400; 57221119582; 57219344932; 59130033900</t>
  </si>
  <si>
    <t>deep learning; feature selection; Harris Hawks optimization; Intrusion detection system; IoT; UAV</t>
  </si>
  <si>
    <t>2-s2.0-85191301127</t>
  </si>
  <si>
    <t>Srimoungchanh B.; Morris J.G.; Davidson D.</t>
  </si>
  <si>
    <t>Srimoungchanh, Bailey (57214675188); Morris, J. Garrett (55478574900); Davidson, Drew (57061702300)</t>
  </si>
  <si>
    <t>57214675188; 55478574900; 57061702300</t>
  </si>
  <si>
    <t>Sensors S and P 2023 - Proceedings of the 1st International Workshop on Security and Privacy of Sensing Systems, Part of: SenSys 2023</t>
  </si>
  <si>
    <t>2-s2.0-85180126826</t>
  </si>
  <si>
    <t>Thapliyal O.; Sankaranarayanasamy M.; Vennelakanti R.</t>
  </si>
  <si>
    <t>Thapliyal, Omanshu (57201820595); Sankaranarayanasamy, Malarvizhi (57222719736); Vennelakanti, Ravigopal (25652295700)</t>
  </si>
  <si>
    <t>57201820595; 57222719736; 25652295700</t>
  </si>
  <si>
    <t>AIAA SciTech Forum and Exposition, 2024</t>
  </si>
  <si>
    <t>2-s2.0-85196172291</t>
  </si>
  <si>
    <t>Guo D.; Ding H.; Tang L.; Zhang X.; Liang Y.-C.</t>
  </si>
  <si>
    <t>Guo, Delin (57215897646); Ding, Hui (57758781700); Tang, Lan (35504073000); Zhang, Xinggan (7410277485); Liang, Ying-Chang (36071330300)</t>
  </si>
  <si>
    <t>57215897646; 57758781700; 35504073000; 7410277485; 36071330300</t>
  </si>
  <si>
    <t>Proactive eavesdropping; reinforcement learning (RL); spoofing relay; trajectory planning; unmanned aerial vehicle (UAV)</t>
  </si>
  <si>
    <t>2-s2.0-85195404837</t>
  </si>
  <si>
    <t>El Alami H.; Rawat D.B.</t>
  </si>
  <si>
    <t>El Alami, Hassan (58106184300); Rawat, Danda B. (24725483600)</t>
  </si>
  <si>
    <t>58106184300; 24725483600</t>
  </si>
  <si>
    <t>IEEE International Conference on Communications</t>
  </si>
  <si>
    <t>cybersecurity; Fault detection; Generative AI; GPS jamming; GPS spoofing; UAS</t>
  </si>
  <si>
    <t>2-s2.0-85202805174</t>
  </si>
  <si>
    <t>Valianti P.; Malialis K.; Kolios P.; Ellinas G.</t>
  </si>
  <si>
    <t>Valianti, Panayiota (57219724817); Malialis, Kleanthis (55670857800); Kolios, Panayiotis (35932458400); Ellinas, Georgios (7004484129)</t>
  </si>
  <si>
    <t>57219724817; 55670857800; 35932458400; 7004484129</t>
  </si>
  <si>
    <t>jamming; Multi-agent systems; optimization; q-learning; reinforcement learning</t>
  </si>
  <si>
    <t>2-s2.0-85195366894</t>
  </si>
  <si>
    <t>Jamil A.M.; Hadi H.J.; Li S.; Cao Y.; Ahmed N.; Hussain F.B.; Suthaputchakun C.; Wang X.</t>
  </si>
  <si>
    <t>Jamil, Abdul Majid (58135618000); Hadi, Hassan Jalil (57215211369); Li, Sifan (58101678900); Cao, Yue (55470310200); Ahmed, Naveed (55545862034); Hussain, Faisal Bashir (57195363493); Suthaputchakun, Chakkaphong (22636097300); Wang, Xinyuan (58990777300)</t>
  </si>
  <si>
    <t>58135618000; 57215211369; 58101678900; 55470310200; 55545862034; 57195363493; 22636097300; 58990777300</t>
  </si>
  <si>
    <t>Lecture Notes of the Institute for Computer Sciences, Social-Informatics and Telecommunications Engineering, LNICST</t>
  </si>
  <si>
    <t>571 LNICST</t>
  </si>
  <si>
    <t>Intrusion Detection System; Medium Interaction Honeypot; Unmanned Aerial Vehicle</t>
  </si>
  <si>
    <t>2-s2.0-85190708937</t>
  </si>
  <si>
    <t>Wang Y.; Lv J.; Qiao S.</t>
  </si>
  <si>
    <t>Wang, Yijun (56586253700); Lv, Jingying (57346734900); Qiao, Shixia (58671174100)</t>
  </si>
  <si>
    <t>56586253700; 57346734900; 58671174100</t>
  </si>
  <si>
    <t>Journal of Physics: Conference Series</t>
  </si>
  <si>
    <t>2807</t>
  </si>
  <si>
    <t>012020</t>
  </si>
  <si>
    <t>2-s2.0-85201289295</t>
  </si>
  <si>
    <t>Vitale M.; Barresi A.; Demichela M.</t>
  </si>
  <si>
    <t>Vitale, Morena (58811784300); Barresi, Antonello (57190793843); Demichela, Micaela (6602178643)</t>
  </si>
  <si>
    <t>58811784300; 57190793843; 6602178643</t>
  </si>
  <si>
    <t xml:space="preserve">Chemical Engineering Transactions </t>
  </si>
  <si>
    <t>111</t>
  </si>
  <si>
    <t>2-s2.0-85206528810</t>
  </si>
  <si>
    <t>Krasnyanszki B.; Brassai S.T.; Nemeth A.</t>
  </si>
  <si>
    <t>Krasnyanszki, Bruno (58921259600); Brassai, Sandor Tihamer (13806063800); Nemeth, Andras (57195224698)</t>
  </si>
  <si>
    <t>58921259600; 13806063800; 57195224698</t>
  </si>
  <si>
    <t>2024 IEEE 22nd World Symposium on Applied Machine Intelligence and Informatics, SAMI 2024 - Proceedings</t>
  </si>
  <si>
    <t>Deauthentication; drone security; hijacking; UAS; UAV</t>
  </si>
  <si>
    <t>2-s2.0-85186771602</t>
  </si>
  <si>
    <t>Abdulrahman Debas E.; Albuali A.; Hafizur Rahman M.M.</t>
  </si>
  <si>
    <t>Abdulrahman Debas, Elhaam (58174513400); Albuali, Abdullah (57196185950); Hafizur Rahman, M.M. (8977801800)</t>
  </si>
  <si>
    <t>58174513400; 57196185950; 8977801800</t>
  </si>
  <si>
    <t>drone forensics; intrusion detection; machine learning; UAV</t>
  </si>
  <si>
    <t>2-s2.0-85198258059</t>
  </si>
  <si>
    <t>Ali I.; Li J.; Chen J.; Chen Y.; Ullah S.; Khan S.</t>
  </si>
  <si>
    <t>Ali, Ikram (57193517415); Li, Jianqiang (57207583851); Chen, Jie (57212281942); Chen, Yong (55993606700); Ullah, Shamsher (57200260623); Khan, Salabat (57203244334)</t>
  </si>
  <si>
    <t>57193517415; 57207583851; 57212281942; 55993606700; 57200260623; 57203244334</t>
  </si>
  <si>
    <t>Batch verification; identity; online/offline; signcryption; unmanned aerial vehicles (UAVs)</t>
  </si>
  <si>
    <t>2-s2.0-85195375622</t>
  </si>
  <si>
    <t>Oudina Z.; Derdour M.; Dib A.; Bouhamed M.M.</t>
  </si>
  <si>
    <t>Oudina, Zina (57988313100); Derdour, Makhlouf (36550031000); Dib, Ahmed (57226761462); Bouhamed, Mohammed Mounir (57303801000)</t>
  </si>
  <si>
    <t>57988313100; 36550031000; 57226761462; 57303801000</t>
  </si>
  <si>
    <t>PAIS 2024 - Proceedings: 6th International Conference on Pattern Analysis and Intelligent Systems</t>
  </si>
  <si>
    <t>Drone security; Mitigation; Preventive Security Plan; Risks; Threats; Trust UAV architecture; Unmanned aerial vehicles (UAV)</t>
  </si>
  <si>
    <t>2-s2.0-85195955839</t>
  </si>
  <si>
    <t>Tariq Z.U.A.; Baccour E.; Erbad A.; Hamdi M.</t>
  </si>
  <si>
    <t>Tariq, Zain Ul Abideen (58830191900); Baccour, Emna (56641676600); Erbad, Aiman (24528481900); Hamdi, Mounir (7103051480)</t>
  </si>
  <si>
    <t>58830191900; 56641676600; 24528481900; 7103051480</t>
  </si>
  <si>
    <t>anti-jamming; DDPG; deep deterministic policy gradient; intelligent reflecting surfaces; IRS; jamming; re-configurable intelligent surfaces; Reinforcement learning; RIS; wireless communications</t>
  </si>
  <si>
    <t>2-s2.0-85178075952</t>
  </si>
  <si>
    <t>Meriaux E.; Weitzen J.; Yoni N.; Norton A.</t>
  </si>
  <si>
    <t>Meriaux, Edwin (57967176700); Weitzen, Jay (7004676488); Yoni, Naye (57214670385); Norton, Adam (37036090800)</t>
  </si>
  <si>
    <t>57967176700; 7004676488; 57214670385; 37036090800</t>
  </si>
  <si>
    <t>Journal of Testing and Evaluation</t>
  </si>
  <si>
    <t>communications; drones; indoor communications; small unmanned aircraft systems; subterranean; test methodologies</t>
  </si>
  <si>
    <t>2-s2.0-85162264067</t>
  </si>
  <si>
    <t>Lei H.; Ran H.; Ansari I.S.; Park K.-H.; Pan G.; Alouini M.-S.</t>
  </si>
  <si>
    <t>Lei, Hongjiang (37115795000); Ran, Haoxiang (59433536700); Ansari, Imran Shafique (43060965200); Park, Ki-Hong (55722200300); Pan, Gaofeng (35194164800); Alouini, Mohamed-Slim (35570711700)</t>
  </si>
  <si>
    <t>37115795000; 59433536700; 43060965200; 55722200300; 35194164800; 35570711700</t>
  </si>
  <si>
    <t>Bandwidth allocation; deep reinforcement learning; fair sum secrecy throughput; physical layer security; trajectory design</t>
  </si>
  <si>
    <t>2-s2.0-85188537002</t>
  </si>
  <si>
    <t>Skokowski P.; Malon K.; Kryk M.; Maslanka K.; Kelner J.M.; Rajchowski P.; Magiera J.</t>
  </si>
  <si>
    <t>Skokowski, Pawel (26666316000); Malon, Krzysztof (37017436500); Kryk, Michal (56419936300); Maslanka, Krzysztof (8227995500); Kelner, Jan M. (25630670100); Rajchowski, Piotr (57191957976); Magiera, Jaroslaw (54380252900)</t>
  </si>
  <si>
    <t>26666316000; 37017436500; 56419936300; 8227995500; 25630670100; 57191957976; 54380252900</t>
  </si>
  <si>
    <t>5G private network; Electronic warfare; low-energy jamming; narrowband jamming; NB-IoT; smart jamming</t>
  </si>
  <si>
    <t>2-s2.0-85189773435</t>
  </si>
  <si>
    <t>Alzahrani A.</t>
  </si>
  <si>
    <t>Alzahrani, Abdulrahman (57195357941)</t>
  </si>
  <si>
    <t>57195357941</t>
  </si>
  <si>
    <t>Autonomous vehicles; ConvLSTM; Cyber-security; GPS; Spoofing; UAVs</t>
  </si>
  <si>
    <t>2-s2.0-85205883876</t>
  </si>
  <si>
    <t>EAI/Springer Innovations in Communication and Computing</t>
  </si>
  <si>
    <t>2-s2.0-85189548070</t>
  </si>
  <si>
    <t>Akram J.; Anaissi A.; Akram A.; Rathore R.S.; Jhaveri R.H.</t>
  </si>
  <si>
    <t>Akram, Junaid (57204390449); Anaissi, Ali (36701079700); Akram, Awais (56007589300); Rathore, Rajkumar Singh (35226782700); Jhaveri, Rutvij H. (55201717100)</t>
  </si>
  <si>
    <t>57204390449; 36701079700; 56007589300; 35226782700; 55201717100</t>
  </si>
  <si>
    <t>IEEE Transactions on Consumer Electronics</t>
  </si>
  <si>
    <t>Anomaly detection; Autonomous aerial vehicles; Bi-Level Optimization; Consumer electronics; Convolution; Correlation; Data models; Data Security; Feature extraction; Graph Neural Networks; Label-Flipping Attacks; Spatial Crowdsourcing; UAV Networks</t>
  </si>
  <si>
    <t>2-s2.0-85201749349</t>
  </si>
  <si>
    <t>Deng W.; Chen S.; Chen F.; Zhao W.</t>
  </si>
  <si>
    <t>Deng, Wenjie (58798091000); Chen, Song (58919226000); Chen, Fawei (59329070300); Zhao, Wenzhi (59328665700)</t>
  </si>
  <si>
    <t>58798091000; 58919226000; 59329070300; 59328665700</t>
  </si>
  <si>
    <t>13218</t>
  </si>
  <si>
    <t>1321818</t>
  </si>
  <si>
    <t>Cooperative jamming; Grey Wolf Optimization (GWO) algorithm; Reverse learning; UAV deployment; Unmanned aerial vehicles (UAVs)</t>
  </si>
  <si>
    <t>2-s2.0-85204044004</t>
  </si>
  <si>
    <t>Mekdad Y.; Acar A.; Aris A.; El Fergougui A.; Conti M.; Lazzeretti R.; Uluagac S.</t>
  </si>
  <si>
    <t>Mekdad, Yassine (57223690665); Acar, Abbas (57201944908); Aris, Ahmet (53879369200); El Fergougui, Abdeslam (35174163700); Conti, Mauro (15019127200); Lazzeretti, Riccardo (35105133400); Uluagac, Selcuk (22735196300)</t>
  </si>
  <si>
    <t>57223690665; 57201944908; 53879369200; 35174163700; 15019127200; 35105133400; 22735196300</t>
  </si>
  <si>
    <t>cybersecurity; drones; hijacking attack; jamming attack; UAVs; Unmanned Aerial Vehicles</t>
  </si>
  <si>
    <t>2-s2.0-85202811480</t>
  </si>
  <si>
    <t>Tantawi K.; Fidan I.; Huseynov O.; Musa Y.; Tantawy A.</t>
  </si>
  <si>
    <t>Tantawi, Khalid (36919173700); Fidan, Ismail (7003941672); Huseynov, Orkhan (57226411853); Musa, Yasmin (57215927673); Tantawy, Anwar (57208130630)</t>
  </si>
  <si>
    <t>36919173700; 7003941672; 57226411853; 57215927673; 57208130630</t>
  </si>
  <si>
    <t>International Journal on Interactive Design and Manufacturing</t>
  </si>
  <si>
    <t>Additive manufacturing; Industrial metaverse; Industry 4.0; Intelligent industrial robotics; Intelligentization; UAVs in manufacturing</t>
  </si>
  <si>
    <t>2-s2.0-85186615548</t>
  </si>
  <si>
    <t>Zhou Y.; Ma Z.; Liu H.; Yeoh P.L.; Li Y.; Vucetic B.; Fan P.</t>
  </si>
  <si>
    <t>Zhou, Yi (57202160646); Ma, Zheng (55479111400); Liu, Heng (36976022600); Yeoh, Phee Lep (35957601400); Li, Yonghui (57200273285); Vucetic, Branka (7004279281); Fan, Pingzhi (55423269000)</t>
  </si>
  <si>
    <t>57202160646; 55479111400; 36976022600; 35957601400; 57200273285; 7004279281; 55423269000</t>
  </si>
  <si>
    <t>False alarm rate; miss detection rate; optimization; physical layer authentication; UAV communications</t>
  </si>
  <si>
    <t>2-s2.0-85169675049</t>
  </si>
  <si>
    <t>Lee S.; Seo H.; Kim D.</t>
  </si>
  <si>
    <t>Lee, Sungwon (58697566600); Seo, Hyeongmin (58697610400); Kim, Dohyun (56947572700)</t>
  </si>
  <si>
    <t>58697566600; 58697610400; 56947572700</t>
  </si>
  <si>
    <t>Sensors (Basel, Switzerland)</t>
  </si>
  <si>
    <t>21</t>
  </si>
  <si>
    <t>DJI RC; drone; drone forensics; remote controller; UAV forensics</t>
  </si>
  <si>
    <t>2-s2.0-85176900886</t>
  </si>
  <si>
    <t>Mostafa Samy A.; Gouda M.; Alim M.A.; Mohamed A.; Mohamed A.M.; Farag M.T.; Ebrahim M.A.; Mourice P.N.; Mohamed R.A.; Badry M.B.; Mahmoud R.</t>
  </si>
  <si>
    <t>Mostafa Samy, Ashraf (59301798600); Gouda, Mamdouh (26430948200); Alim, M.A. (59301930300); Mohamed, Anas (59301887400); Mohamed, Adel Mahmoud (59301973100); Farag, Mahmoud Talaat (59301754700); Ebrahim, Mohamed Abdalrady (59301973200); Mourice, Passant Nagi (59301843900); Mohamed, Rana Adel (59302014600); Badry, Merna Baher (59301973300); Mahmoud, Rawan (59301713500)</t>
  </si>
  <si>
    <t>59301798600; 26430948200; 59301930300; 59301887400; 59301973100; 59301754700; 59301973200; 59301843900; 59302014600; 59301973300; 59301713500</t>
  </si>
  <si>
    <t>2024 International Telecommunications Conference, ITC-Egypt 2024</t>
  </si>
  <si>
    <t>AI; GNSS; Jamming; UAV; YOLO</t>
  </si>
  <si>
    <t>2-s2.0-85202346095</t>
  </si>
  <si>
    <t>Grigel E.; Adriaanse D.; Falcon G.; Chandler D.; Chandler E.; Dean A.</t>
  </si>
  <si>
    <t>Grigel, Eric (56515299800); Adriaanse, David (56515309100); Falcon, Grecia (57203320765); Chandler, Dana (59352868400); Chandler, Eric (59353012200); Dean, Andrew (59353432900)</t>
  </si>
  <si>
    <t>56515299800; 56515309100; 57203320765; 59352868400; 59353012200; 59353432900</t>
  </si>
  <si>
    <t>13094</t>
  </si>
  <si>
    <t>130940D</t>
  </si>
  <si>
    <t>2-s2.0-85205559509</t>
  </si>
  <si>
    <t>Warnakulasooriya K.; Segev A.</t>
  </si>
  <si>
    <t>Warnakulasooriya, Kolitha (57196002552); Segev, Aviv (13007978500)</t>
  </si>
  <si>
    <t>57196002552; 13007978500</t>
  </si>
  <si>
    <t>3rd International Conference on Image Processing and Robotics, ICIPRoB 2024 - Proceedings</t>
  </si>
  <si>
    <t>attacks; cybersecurity; drones; threats; uav; vulnerabilities</t>
  </si>
  <si>
    <t>2-s2.0-85195997243</t>
  </si>
  <si>
    <t>Techavijit P.; Sukchalerm P.; Pitchsanupun M.; Kijatanath N.</t>
  </si>
  <si>
    <t>Techavijit, Pirada (55318741700); Sukchalerm, Polkit (57189233965); Pitchsanupun, Montawat (59197023400); Kijatanath, Natcha (59196396500)</t>
  </si>
  <si>
    <t>55318741700; 57189233965; 59197023400; 59196396500</t>
  </si>
  <si>
    <t>Proceedings of the 2024 10th International Conference on Applied System Innovation, ICASI 2024</t>
  </si>
  <si>
    <t>anti-drone; GPS spoofing; signal jamming; UAV</t>
  </si>
  <si>
    <t>2-s2.0-85197145030</t>
  </si>
  <si>
    <t>Sood K.; Nguyen D.D.N.; Qu Y.; Cui L.; Karmakar K.K.; Yu S.</t>
  </si>
  <si>
    <t>Sood, Keshav (56416123500); Nguyen, Dinh Duc Nha (57214528477); Qu, Youyang (57193560269); Cui, Lei (57213045163); Karmakar, Kallol Krishna (55786738800); Yu, Shui (55741361200)</t>
  </si>
  <si>
    <t>56416123500; 57214528477; 57193560269; 57213045163; 55786738800; 55741361200</t>
  </si>
  <si>
    <t>IEEE Internet of Things Magazine</t>
  </si>
  <si>
    <t>2-s2.0-85193996098</t>
  </si>
  <si>
    <t>Ma X.; Gao M.; Zhao Y.; Yu M.</t>
  </si>
  <si>
    <t>Ma, Xiaomeng (58882439900); Gao, Meiguo (7201511687); Zhao, Yangguang (59129990100); Yu, Mohan (58962238300)</t>
  </si>
  <si>
    <t>58882439900; 7201511687; 59129990100; 58962238300</t>
  </si>
  <si>
    <t>deep reinforcement learning; GPS spoofing; intelligent interference; Kalman filter; UAV</t>
  </si>
  <si>
    <t>2-s2.0-85193544468</t>
  </si>
  <si>
    <t>Khan S.; Gaba G.S.; Boeira F.; Gurtov A.</t>
  </si>
  <si>
    <t>Khan, Suleman (57212871206); Gaba, Gurjot Singh (55027229000); Boeira, Felipe (57194206262); Gurtov, Andrei (6506910785)</t>
  </si>
  <si>
    <t>57212871206; 55027229000; 57194206262; 6506910785</t>
  </si>
  <si>
    <t>2nd International Conference on Unmanned Vehicle Systems-Oman, UVS 2024</t>
  </si>
  <si>
    <t>Cybersecurity; DRIP; Formal verification; Tamarin; UAS</t>
  </si>
  <si>
    <t>2-s2.0-85189627285</t>
  </si>
  <si>
    <t>Mykytyn P.; Brzozowski M.; Dyka Z.; Langendoerfer P.</t>
  </si>
  <si>
    <t>Mykytyn, Pavlo (57245091300); Brzozowski, Marcin (23007899200); Dyka, Zoya (13402715900); Langendoerfer, Peter (55879998800)</t>
  </si>
  <si>
    <t>57245091300; 23007899200; 13402715900; 55879998800</t>
  </si>
  <si>
    <t>A Survey on Sensor- and Communication-Based Issues of Autonomous UAVs</t>
  </si>
  <si>
    <t>CMES - Computer Modeling in Engineering and Sciences</t>
  </si>
  <si>
    <t>138</t>
  </si>
  <si>
    <t>10.32604/cmes.2023.029075</t>
  </si>
  <si>
    <t>https://www.scopus.com/inward/record.uri?eid=2-s2.0-85199347034&amp;doi=10.32604%2fcmes.2023.029075&amp;partnerID=40&amp;md5=a6394c4737f8d8c12d8bb2eb5175aaaf</t>
  </si>
  <si>
    <t>The application field for Unmanned Aerial Vehicle (UAV) technology and its adoption rate have been increasing steadily in the past years. Decreasing cost of commercial drones has enabled their use at a scale broader than ever before. However, increasing the complexity of UAVs and decreasing the cost, both contribute to a lack of implemented security measures and raise new security and safety concerns. For instance, the issue of implausible or tampered UAV sensor measurements is barely addressed in the current research literature and thus, requires more attention from the research community. The goal of this survey is to extensively review state-of-the-art literature regarding common sensor- and communication-based vulnerabilities, existing threats, and active or passive cyber-attacks against UAVs, as well as shed light on the research gaps in the literature. In this work, we describe the Unmanned Aerial System (UAS) architecture to point out the origination sources for security and safety issues. We evaluate the coverage and completeness of each related research work in a comprehensive comparison table as well as classify the threats, vulnerabilities and cyber-attacks into sensor-based and communication-based categories. Additionally, for each individual cyber-attack, we describe existing countermeasures or detection mechanisms and provide a list of requirements to ensure UAV’s security and safety. We also address the problem of implausible sensor measurements and introduce the idea of a plausibility check for sensor data. By doing so, we discover additional measures to improve security and safety and report on a research niche that is not well represented in the current research literature. © 2024 Tech Science Press. All rights reserved.</t>
  </si>
  <si>
    <t>cyber security and privacy; cyber-attacks; cyber-threats; drone swarm; plausibility check; security vulnerabilities; unmanned aerial system; Unmanned aerial vehicle</t>
  </si>
  <si>
    <t>2-s2.0-85199347034</t>
  </si>
  <si>
    <t>Badshah A.; Abbas G.; Waqas M.; Tu S.; Abbas Z.H.; Muhammad F.; Chen S.</t>
  </si>
  <si>
    <t>Badshah, Akhtar (57207791657); Abbas, Ghulam (57203423498); Waqas, Muhammad (57215416666); Tu, Shanshan (36642846800); Abbas, Ziaul Haq (35202913400); Muhammad, Fazal (57190385759); Chen, Sheng (55733364300)</t>
  </si>
  <si>
    <t>57207791657; 57203423498; 57215416666; 36642846800; 35202913400; 57190385759; 55733364300</t>
  </si>
  <si>
    <t>Internet of Drones (IoD); key agreement; physical unclonable functions; security; user authentication</t>
  </si>
  <si>
    <t>2-s2.0-85188009089</t>
  </si>
  <si>
    <t>Viana J.; Farkhari H.; Sebastiao P.; Campos L.M.; Koutlia K.; Bojovic B.; Lagen S.; Dinis R.</t>
  </si>
  <si>
    <t>Viana, Joseanne (57224003097); Farkhari, Hamed (57365591800); Sebastiao, Pedro (55900519300); Campos, Luis Miguel (57194220608); Koutlia, Katerina (56781527700); Bojovic, Biljana (55102225200); Lagen, Sandra (47061381500); Dinis, Rui (6701511111)</t>
  </si>
  <si>
    <t>57224003097; 57365591800; 55900519300; 57194220608; 56781527700; 55102225200; 47061381500; 6701511111</t>
  </si>
  <si>
    <t>4G; 5G; convolutional neural networks; deep learning; jamming detection; jamming identification; security; UAV; unmanned aerial vehicles</t>
  </si>
  <si>
    <t>2-s2.0-85167841335</t>
  </si>
  <si>
    <t>Ren M.; Wang B.; Yang H.</t>
  </si>
  <si>
    <t>Ren, Mingqiu (24367065600); Wang, Bingqie (58488155100); Yang, Huabing (58900716300)</t>
  </si>
  <si>
    <t>24367065600; 58488155100; 58900716300</t>
  </si>
  <si>
    <t>1124 LNEE</t>
  </si>
  <si>
    <t>Heterogeneous cross domain collaboration; Key technology; UAV swarm</t>
  </si>
  <si>
    <t>2-s2.0-85185711422</t>
  </si>
  <si>
    <t>Sheh R.; Harriss D.; Geappen K.</t>
  </si>
  <si>
    <t>Sheh, Raymond (14036623700); Harriss, Donald (59233936500); Geappen, Karen (59233936400)</t>
  </si>
  <si>
    <t>14036623700; 59233936500; 59233936400</t>
  </si>
  <si>
    <t>AUVSI XPONENTIAL 2024</t>
  </si>
  <si>
    <t>2-s2.0-85199491558</t>
  </si>
  <si>
    <t>Mynuddin M.; Khan S.U.; Ahmari R.; Landivar L.; Mahmoud M.N.; Homaifar A.</t>
  </si>
  <si>
    <t>Mynuddin, Mohammed (24475358100); Khan, Sultan Uddin (58505429400); Ahmari, Reza (59194681800); Landivar, Luis (59194864200); Mahmoud, Mahmoud Nabil (57156169400); Homaifar, Abdollah (7003561775)</t>
  </si>
  <si>
    <t>24475358100; 58505429400; 59194681800; 59194864200; 57156169400; 7003561775</t>
  </si>
  <si>
    <t>cyber-security; deep learning; trigger intensity; trojan attacks; Unmanned aerial vehicles</t>
  </si>
  <si>
    <t>2-s2.0-85197090848</t>
  </si>
  <si>
    <t>Steiner J.; Cerny M.</t>
  </si>
  <si>
    <t>Steiner, Jakub (57221661342); Cerny, Michal (58777145700)</t>
  </si>
  <si>
    <t>57221661342; 58777145700</t>
  </si>
  <si>
    <t>New Trends in Civil Aviation</t>
  </si>
  <si>
    <t>2-s2.0-85193060622</t>
  </si>
  <si>
    <t>Ding Y.; Zhang Q.; Lu W.; Zhao N.; Nallanathan A.; Wang X.; Yang X.</t>
  </si>
  <si>
    <t>Ding, Yu (57226295574); Zhang, Qingqing (57201554157); Lu, Weidang (59454513400); Zhao, Nan (45562028800); Nallanathan, Arumugam (6603561059); Wang, Xianbin (7501856729); Yang, Xiaoniu (55683786800)</t>
  </si>
  <si>
    <t>57226295574; 57201554157; 59454513400; 45562028800; 6603561059; 7501856729; 55683786800</t>
  </si>
  <si>
    <t>active aerial eavesdropping; collaborative communication and computation; deep reinforcement learning; mobile edge computing; Unmanned aerial vehicle</t>
  </si>
  <si>
    <t>2-s2.0-85200799285</t>
  </si>
  <si>
    <t>Ouiazzane S.; Addou M.; Barramou F.</t>
  </si>
  <si>
    <t>Ouiazzane, Said (23393194700); Addou, Malika (57213795762); Barramou, Fatimazahra (57215651745)</t>
  </si>
  <si>
    <t>23393194700; 57213795762; 57215651745</t>
  </si>
  <si>
    <t>826</t>
  </si>
  <si>
    <t>Cyber-attacks; Cybercriminality; Cybersecurity; Cyberthreats; DDoS; DoS; Drone; Fleet of drones; Intrusions; Security; UAV</t>
  </si>
  <si>
    <t>2-s2.0-85187790879</t>
  </si>
  <si>
    <t>Ferrão I.G.; da Silva L.M.; Bonilla D.; Espes D.; Dezan C.; Branco K.C.</t>
  </si>
  <si>
    <t>Ferrão, Isadora Garcia (57219595665); da Silva, Leandro Marcos (57880817700); Bonilla, Daniel (57847286300); Espes, David (15061185900); Dezan, Catherine (25121403700); Branco, Kalinka Castelo (51461017000)</t>
  </si>
  <si>
    <t>57219595665; 57880817700; 57847286300; 15061185900; 25121403700; 51461017000</t>
  </si>
  <si>
    <t>Proceedings of the Annual Hawaii International Conference on System Sciences</t>
  </si>
  <si>
    <t>Detection Attacks; GPS Attacks; Security Failure; Smart Detection; Unmanned Aerial Vehicles</t>
  </si>
  <si>
    <t>2-s2.0-85197375589</t>
  </si>
  <si>
    <t>Latha S.; Asha P.; Srinivasan V.P.; Elangovan K.; Thamizhamuthu R.; Sujatha S.</t>
  </si>
  <si>
    <t>Latha, S. (58988069100); Asha, P. (56112788400); Srinivasan, V. Prasanna (56201843800); Elangovan, K. (59263821200); Thamizhamuthu, R. (57204562624); Sujatha, S. (59306461600)</t>
  </si>
  <si>
    <t>58988069100; 56112788400; 56201843800; 59263821200; 57204562624; 59306461600</t>
  </si>
  <si>
    <t>2024 11th International Conference on Reliability, Infocom Technologies and Optimization (Trends and Future Directions), ICRITO 2024</t>
  </si>
  <si>
    <t>Environmental conditions; Gas inspection; Gas leak detection; Industrial environments; Real-time image analysis</t>
  </si>
  <si>
    <t>2-s2.0-85193834830</t>
  </si>
  <si>
    <t>Yapicioglu C.; Demirci M.; Akcayol M.A.</t>
  </si>
  <si>
    <t>Yapicioglu, Cengizhan (57223919982); Demirci, Mehmet (56706600000); Akcayol, M. Ali (55662828600)</t>
  </si>
  <si>
    <t>57223919982; 56706600000; 55662828600</t>
  </si>
  <si>
    <t>2024 IEEE International Black Sea Conference on Communications and Networking, BlackSeaCom 2024</t>
  </si>
  <si>
    <t>CNN; Computer Vision; Deep learning; Drone Networks; FANET; image processing; Object Detection</t>
  </si>
  <si>
    <t>2-s2.0-85203821562</t>
  </si>
  <si>
    <t>Liu S.; Yang H.; Xiao L.; Zheng M.; Lu H.; Xiong Z.</t>
  </si>
  <si>
    <t>Liu, Shuai (57226786397); Yang, Helin (55648216400); Xiao, Liang (51462321100); Zheng, Mengting (58942891900); Lu, Huabing (55823242200); Xiong, Zehui (57201881045)</t>
  </si>
  <si>
    <t>57226786397; 55648216400; 51462321100; 58942891900; 55823242200; 57201881045</t>
  </si>
  <si>
    <t>anti-jamming; mobile edge computing; reinforcement learning; resource management; UAV communication</t>
  </si>
  <si>
    <t>2-s2.0-85187988073</t>
  </si>
  <si>
    <t>Jalil Hadi H.; Cao Y.; Li S.; Hu Y.; Wang J.; Wang S.</t>
  </si>
  <si>
    <t>Jalil Hadi, Hassan (57215211369); Cao, Yue (55470310200); Li, Sifan (58101678900); Hu, Yulin (57913942400); Wang, Juan (56040272600); Wang, Shoufeng (57606338600)</t>
  </si>
  <si>
    <t>57215211369; 55470310200; 58101678900; 57913942400; 56040272600; 57606338600</t>
  </si>
  <si>
    <t>Cyber incident response; feedforward convolutional neural network (FFCNN); intrusion detection system (IDS); unmanned aerial vehicle (UAV) networks</t>
  </si>
  <si>
    <t>2-s2.0-85198391881</t>
  </si>
  <si>
    <t>Oracevic A.; Salman A.</t>
  </si>
  <si>
    <t>Oracevic, Alma (55229307000); Salman, Ahmad (57213002926)</t>
  </si>
  <si>
    <t>55229307000; 57213002926</t>
  </si>
  <si>
    <t>2024 International Conference on Smart Applications, Communications and Networking, SmartNets 2024</t>
  </si>
  <si>
    <t>counter-drone; cybersecurity threats; data tempering; GPS spoofing; UAV; vulnerabilities</t>
  </si>
  <si>
    <t>2-s2.0-85198906175</t>
  </si>
  <si>
    <t>Dubravova H.; Bures V.; Velf L.</t>
  </si>
  <si>
    <t>Dubravova, Hana (57222123878); Bures, Vladimir (19638298800); Velf, Lukas (59162309500)</t>
  </si>
  <si>
    <t>57222123878; 19638298800; 59162309500</t>
  </si>
  <si>
    <t>Procedia Computer Science</t>
  </si>
  <si>
    <t>237</t>
  </si>
  <si>
    <t>cities; county; firefighters; IoT; police; security; Smart Cities</t>
  </si>
  <si>
    <t>2-s2.0-85195370142</t>
  </si>
  <si>
    <t>Wu Q.; Zhang Y.; Yang Z.; Shikh-Bahaei M.R.</t>
  </si>
  <si>
    <t>Wu, Qirui (57218791790); Zhang, Yirun (57218799182); Yang, Zhaohui (56123330000); Shikh-Bahaei, Mohammad R. (6602744165)</t>
  </si>
  <si>
    <t>deep learning; denoising autoencoder recurrent transformer (DART); differential programming; malicious attack; Unmanned aerial vehicle swarm</t>
  </si>
  <si>
    <t>2-s2.0-85197494826</t>
  </si>
  <si>
    <t>Ejiyeh A.M.</t>
  </si>
  <si>
    <t>Ejiyeh, Atefeh Mohseni (57196373292)</t>
  </si>
  <si>
    <t>57196373292</t>
  </si>
  <si>
    <t>Proceedings - 9th IEEE European Symposium on Security and Privacy Workshops, Euro S and PW 2024</t>
  </si>
  <si>
    <t>6G; Certificateless; Group data downloading; Signcryption; Unmanned Aerial Vehicle (UAV); V2X; VANET; Zero-Trust</t>
  </si>
  <si>
    <t>2-s2.0-85203013961</t>
  </si>
  <si>
    <t>Finn A.; Jia M.; Li Y.; Yuan J.</t>
  </si>
  <si>
    <t>Finn, Anthony (8521878200); Jia, Mengjie (58174506800); Li, Yanyan (56647164200); Yuan, Jiawei (56314792700)</t>
  </si>
  <si>
    <t>8521878200; 58174506800; 56647164200; 56314792700</t>
  </si>
  <si>
    <t>IEEE INFOCOM 2024 - IEEE Conference on Computer Communications Workshops, INFOCOM WKSHPS 2024</t>
  </si>
  <si>
    <t>AI-enabled detection; GPS spoofing; machine learning; onboard sensors; stealthy attack; UAV security</t>
  </si>
  <si>
    <t>2-s2.0-85202349324</t>
  </si>
  <si>
    <t>Suomalainen J.; Ahola K.; Sailio M.; Kiss G.; Megyaszai G.; Asif R.; Jehkonen P.; Rivalan J.</t>
  </si>
  <si>
    <t>Suomalainen, Jani (23398708100); Ahola, Kimmo (56552465700); Sailio, Mirko (49864617600); Kiss, Gabor (59238156400); Megyaszai, Gabor (59238460100); Asif, Rizwan (59238607700); Jehkonen, Petri (59238607800); Rivalan, Jonathan (57219281375)</t>
  </si>
  <si>
    <t>23398708100; 56552465700; 49864617600; 59238156400; 59238460100; 59238607700; 59238607800; 57219281375</t>
  </si>
  <si>
    <t>2024 Joint European Conference on Networks and Communications and 6G Summit, EuCNC/6G Summit 2024</t>
  </si>
  <si>
    <t>5G; cloud; edge; FPGA; mission-critical systems; orchestration; security; trusted execution; UAV navigation</t>
  </si>
  <si>
    <t>2-s2.0-85199879118</t>
  </si>
  <si>
    <t>Agnew D.; Aguila A.D.; Mcnair J.</t>
  </si>
  <si>
    <t>Agnew, Dennis (57876623400); Aguila, Alvaro Del (59005413700); Mcnair, Janise (35610572500)</t>
  </si>
  <si>
    <t>57876623400; 59005413700; 35610572500</t>
  </si>
  <si>
    <t>cybersecurity; machine learning; Software-defined networking (SDN); UAVs; zero-day</t>
  </si>
  <si>
    <t>2-s2.0-85190336976</t>
  </si>
  <si>
    <t>Wei S.; Fan Z.; Chen G.; Blasch E.; Chen Y.; Pham K.</t>
  </si>
  <si>
    <t>Wei, Sixiao (55812927000); Fan, Zhengyang (57226642057); Chen, Genshe (14618921800); Blasch, Erik (7003503895); Chen, Yu (57203162576); Pham, Khanh (7005618744)</t>
  </si>
  <si>
    <t>55812927000; 57226642057; 14618921800; 7003503895; 57203162576; 7005618744</t>
  </si>
  <si>
    <t>Integrated Communications, Navigation and Surveillance Conference, ICNS</t>
  </si>
  <si>
    <t>Air Traffic Service (ATS); Drone Resiliency; Explainable Artificial Intelligence (XAI); Hardware-In-The-Loop (HITL); Shapley Additive Explanations (SHAP); Urban Air Mobility (UAM)</t>
  </si>
  <si>
    <t>2-s2.0-85196787932</t>
  </si>
  <si>
    <t>Nguyen T.N.; Tu L.-T.; Fazio P.; Van Chien T.; Le C.V.; Binh H.T.T.; Voznak M.</t>
  </si>
  <si>
    <t>Nguyen, Tan N. (57184694000); Tu, Lam-Thanh (57191626721); Fazio, Peppino (15834504700); Van Chien, Trinh (57190579618); Le, Cuong V. (23029276000); Binh, Huynh Thi Thanh (16641940000); Voznak, Miroslav (8244119500)</t>
  </si>
  <si>
    <t>57184694000; 57191626721; 15834504700; 57190579618; 23029276000; 16641940000; 8244119500</t>
  </si>
  <si>
    <t>IEEE Journal on Selected Areas in Communications</t>
  </si>
  <si>
    <t>42</t>
  </si>
  <si>
    <t>Energy harvesting; intercept probability; outage probability; positioning; unmanned aerial vehicle</t>
  </si>
  <si>
    <t>2-s2.0-85174832766</t>
  </si>
  <si>
    <t>Zhang S.; Wang R.; Wu D.; Luo C.</t>
  </si>
  <si>
    <t>Zhang, Shiqi (57288461900); Wang, Ruyan (8389594700); Wu, Dapeng (57198896846); Luo, Changqing (34882045000)</t>
  </si>
  <si>
    <t>57288461900; 8389594700; 57198896846; 34882045000</t>
  </si>
  <si>
    <t>Anti-jamming; Autonomous aerial vehicles; Consumer electronics; Data collection; Data communication; hierarchical reinforcement learning; Interference; Jamming; mobile wireless network; physical layer security; Relays; unmanned aerial vehicle</t>
  </si>
  <si>
    <t>2-s2.0-85196056784</t>
  </si>
  <si>
    <t>Rajiv Gandhi N.; Kumar D.; Arunkumar E.; Parameshwari S.; Sadim M.; Al-Fatlawy R.R.</t>
  </si>
  <si>
    <t>Rajiv Gandhi, N. (57824199400); Kumar, Deepak (57202478093); Arunkumar, E. (55638690700); Parameshwari, S. (59294770700); Sadim, Mohd. (57222813979); Al-Fatlawy, Ramy Riad (58949918400)</t>
  </si>
  <si>
    <t>57824199400; 57202478093; 55638690700; 59294770700; 57222813979; 58949918400</t>
  </si>
  <si>
    <t>2024 4th International Conference on Advance Computing and Innovative Technologies in Engineering, ICACITE 2024</t>
  </si>
  <si>
    <t>3D Robotics; attacks; cybersecurity risks; drone classification; drone technology; GPS analysis; GPS flaw; GPS spoofing; literature review; popular drones; security; UAVs; vulnerabilities; weaknesses in drones</t>
  </si>
  <si>
    <t>2-s2.0-85201801370</t>
  </si>
  <si>
    <t>Lee S.; Shin J.S.</t>
  </si>
  <si>
    <t>Lee, Shincheol (57201477953); Shin, Ji Sun (55832235000)</t>
  </si>
  <si>
    <t>57201477953; 55832235000</t>
  </si>
  <si>
    <t>Computers and Electronics in Agriculture</t>
  </si>
  <si>
    <t>214</t>
  </si>
  <si>
    <t>108267</t>
  </si>
  <si>
    <t>Drone; Drone rental; Location verification; Moving device; Unmanned aerial vehicle (UAV)</t>
  </si>
  <si>
    <t>2-s2.0-85173227058</t>
  </si>
  <si>
    <t>Ghelani J.; Gharia P.; El-Ocla H.</t>
  </si>
  <si>
    <t>Ghelani, Jaimin (58882756800); Gharia, Prayagraj (58881745400); El-Ocla, Hosam (6602678887)</t>
  </si>
  <si>
    <t>58882756800; 58881745400; 6602678887</t>
  </si>
  <si>
    <t>Ad hoc; attack; FANET; flying ad hoc network; gradient and detection; jamming; learning; network; Q learning; reinforcement</t>
  </si>
  <si>
    <t>2-s2.0-85184826931</t>
  </si>
  <si>
    <t>Rajora R.; Rajora A.; Sharma B.; Aggarwal P.; Thapliyal S.</t>
  </si>
  <si>
    <t>Rajora, Ricky (58194349200); Rajora, Aarju (58683211800); Sharma, Bhanu (57212491675); Aggarwal, Priyanshi (58174959700); Thapliyal, Siddhant (57560034400)</t>
  </si>
  <si>
    <t>58194349200; 58683211800; 57212491675; 58174959700; 57560034400</t>
  </si>
  <si>
    <t>4th International Conference on Innovative Practices in Technology and Management 2024, ICIPTM 2024</t>
  </si>
  <si>
    <t>Battlefield Applications; Internet of Things; Military Technology; Sustainable Military Operations; UAV</t>
  </si>
  <si>
    <t>2-s2.0-85197701205</t>
  </si>
  <si>
    <t>Almeida A.; Asif M.; Rahman M.T.; Rahman M.A.</t>
  </si>
  <si>
    <t>Almeida, Alejandro (59141323900); Asif, Muneeba (57564828200); Rahman, Md Tauhidur (57212184279); Rahman, Mohammad Ashiqur (57212184265)</t>
  </si>
  <si>
    <t>59141323900; 57564828200; 57212184279; 57212184265</t>
  </si>
  <si>
    <t>Proceedings - International Symposium on Quality Electronic Design, ISQED</t>
  </si>
  <si>
    <t>hardware Trojans; impedance analysis; intrusion detection; side-channel analysis; Unmanned Aerial Vehicles</t>
  </si>
  <si>
    <t>2-s2.0-85194108689</t>
  </si>
  <si>
    <t>Deng M.; Yao Z.; Li X.; Wang H.; Nallanathan A.; Zhang Z.</t>
  </si>
  <si>
    <t>Deng, Min (57221596107); Yao, Zhiqiang (57188976697); Li, Xingwang (56152312500); Wang, Han (56602391900); Nallanathan, Arumugam (6603561059); Zhang, Zeyang (58180062200)</t>
  </si>
  <si>
    <t>57221596107; 57188976697; 56152312500; 56602391900; 6603561059; 58180062200</t>
  </si>
  <si>
    <t>41</t>
  </si>
  <si>
    <t>digital twin; Dynamic multi-objective optimization; evolutionary algorithm; task assignment; UAV</t>
  </si>
  <si>
    <t>2-s2.0-85169664239</t>
  </si>
  <si>
    <t>Shao Z.; Yang H.; Xiao L.; Su W.; Chen Y.; Xiong Z.</t>
  </si>
  <si>
    <t>Shao, Ziling (59290415900); Yang, Helin (55648216400); Xiao, Liang (51462321100); Su, Wei (7402010087); Chen, Yifan (59450935100); Xiong, Zehui (57201881045)</t>
  </si>
  <si>
    <t>59290415900; 55648216400; 51462321100; 7402010087; 59450935100; 57201881045</t>
  </si>
  <si>
    <t>Anti-jamming; deep reinforcement learning; energy and latency minimization; mobile edge computing; resource management; unmanned aerial vehicle</t>
  </si>
  <si>
    <t>2-s2.0-85200241000</t>
  </si>
  <si>
    <t>Yin Z.; Li J.; Wang Z.; Qian Y.; Lin Y.; Shu F.; Chen W.</t>
  </si>
  <si>
    <t>Yin, Ziyan (57208001822); Li, Jun (55921951100); Wang, Zhe (57008568000); Qian, Yuwen (26026688400); Lin, Yan (57189897996); Shu, Feng (57225911693); Chen, Wen (35239714300)</t>
  </si>
  <si>
    <t>57208001822; 55921951100; 57008568000; 26026688400; 57189897996; 57225911693; 35239714300</t>
  </si>
  <si>
    <t>IEEE Transactions on Green Communications and Networking</t>
  </si>
  <si>
    <t>anti-jamming; federated reinforcement learning; resource allocation; stochastic Stackelberg game; UAV</t>
  </si>
  <si>
    <t>2-s2.0-85187383875</t>
  </si>
  <si>
    <t>Fallast A.; Ghoddousi A.</t>
  </si>
  <si>
    <t>Fallast, Arno (57195407873); Ghoddousi, Arian (59166570300)</t>
  </si>
  <si>
    <t>57195407873; 59166570300</t>
  </si>
  <si>
    <t>AIAA Aviation Forum and ASCEND, 2024</t>
  </si>
  <si>
    <t>2-s2.0-85204189641</t>
  </si>
  <si>
    <t>Saneiyan S.; Mansourian D.</t>
  </si>
  <si>
    <t>Saneiyan, Sina (57199234442); Mansourian, Danial (58113123900)</t>
  </si>
  <si>
    <t>57199234442; 58113123900</t>
  </si>
  <si>
    <t>Journal of Applied Geophysics</t>
  </si>
  <si>
    <t>219</t>
  </si>
  <si>
    <t>105224</t>
  </si>
  <si>
    <t>Drone; Magnetometry; Oil and gas; Orphaned wells; Smartphone; UAV</t>
  </si>
  <si>
    <t>2-s2.0-85175701315</t>
  </si>
  <si>
    <t>1932 CCIS</t>
  </si>
  <si>
    <t>The proceedings contain 57 papers. The special focus in this conference is on Advanced Computational Intelligence and Intelligent Informatics. The topics include: Construction and Research of Pediatric Pulmonary Disease Diagnosis and Treatment Experience Knowledge Graph Based on Professor Wang Lie’s Experience; A Novel SEIAISRD Model to Evaluate Pandemic Spreading; keyword-based Research Field Discovery with External Knowledge Aware Hierarchical Co-clustering; an End-to-End Intent Recognition Method for Combat Drone Swarm; an Attention Detection System Based on Gaze Estimation Using Self-supervised Learning; effects of Pseudo Labels in Pose Estimation Models Using Semi-supervised Learning; sequential Masking Imitation Learning for Handling Causal Confusion in Autonomous Driving; proposal of Timestamp-Based Dynamic Context Features for Music Recommendation; method to Control Embedded Representation of Piece of Music in Playlists; Reducing Communication Consumption in Collaborative Visual SLAM with Map Point Selection and Efficient Data Compression; Design and Implementation of ANFIS on FPGA and Verification with Class Classification Problem; beacon Localization Method Based on Flower Pollination-Fireworks Algorithm; parameter Identification for Fictitious Play Algorithm in Repeated Games; an Improved Hypervolume-Based Evolutionary Algorithm for Many-Objective Optimization; reinforcement Learning-Based Policy Selection of Multi-sensor Cyber Physical Systems Under DoS Attacks; A UAV Penetration Method Based on the Improved A* Algorithm; Hybrid D-DEPSO for Multi-objective Task Assignment in Hospital Inspection; an Analysis of the Generalized Tit-for-Tat Strategy Within the Framework of Memory-One Strategies; stochastic Resource Allocation with Time Windows; optimal Information Fusion Descriptor Fractional Order Kalman Filter; multi-sensor Data Fusion Algorithm for Indoor Fire Detection Based on Ensemble Learning; research on Water Surface Environment Perception Method Based on Visual and Positional Information Fusion; Novel Fault Diagnosis Method Integrating D-L2-FDA and AdaBoost; structural Health Monitoring of Similar Gantry Crane Based on Federated Learning Algorithm.</t>
  </si>
  <si>
    <t>2-s2.0-85176932729</t>
  </si>
  <si>
    <t>Wu Z.; Fan K.; Wu G.; Chen Y.; He X.; He Q.</t>
  </si>
  <si>
    <t>Wu, Zhiyun (59355576100); Fan, Kuangang (26532767400); Wu, Guanglong (59355576200); Chen, Yonghong (59354694500); He, Xin (59140048100); He, Qing (59355232300)</t>
  </si>
  <si>
    <t>59355576100; 26532767400; 59355576200; 59354694500; 59140048100; 59355232300</t>
  </si>
  <si>
    <t>2024 IEEE 19th Conference on Industrial Electronics and Applications, ICIEA 2024</t>
  </si>
  <si>
    <t>BP Neural Network; Extended Kalman Filter; GPS Spoofing Detection</t>
  </si>
  <si>
    <t>2-s2.0-85205681227</t>
  </si>
  <si>
    <t>Licea D.B.; Silano G.; Ghogho M.; Saska M.</t>
  </si>
  <si>
    <t>Licea, Daniel Bonilla (57847286300); Silano, Giuseppe (57191860704); Ghogho, Mounir (7004165717); Saska, Martin (23470833800)</t>
  </si>
  <si>
    <t>57847286300; 57191860704; 7004165717; 23470833800</t>
  </si>
  <si>
    <t>ICASSP, IEEE International Conference on Acoustics, Speech and Signal Processing - Proceedings</t>
  </si>
  <si>
    <t>communication-aware robotics; jamming; multirotor systems; relay; trajectory planning; UAVs</t>
  </si>
  <si>
    <t>2-s2.0-85193783761</t>
  </si>
  <si>
    <t>The proceedings contain 35 papers. The special focus in this conference is on Intelligent Systems and Smart Technologies. The topics include: DoS and DDoS Cyberthreats Detection in Drone Networks; artificial Intelligence in Supply Chain 4.0: Using Machine Learning in Demand Forecasting; COVID-19 Prediction Applying Machine Learning and Ontological Language; EEG-Based Drivers Drowsiness Prediction Using Personalized Features Extraction and Classification Methods Under Python; a Systematic Review on Blind and Visually Impaired Navigation Systems; Comparison of Deep Learning-Based Channel Estimator and Classical Estimators in VANET; decision Support Systems Based on Artificial Intelligence for Supply Chain Management: A Literature Review; a New Design of 5G Planar Antenna with Enhancement of the Gain Using Array Antenna; Minimization of Task Offloading Latency for COVID-19 IoT Devices; machine Learning, Deep Learning, and Computer Vision for Age and Gender Detection; grape and Apple Plant Diseases Detection Using Enhance DenseNet121 Based Convolutional Neural Network; operational Code Based on the Lattice Boltzmann Method for Coastal Flows: Application to Oualidia Lagoon; the Use of Chatbots as Supportive Agents in Air Transportation Systems; the Conception of a Controlled Trigonometric Phase Locked Loop Working Under Grid Anomalies Conditions; a Deep Learning Model for Intrusion Detection with Imbalanced Dataset; towards Complex Systems Behavioral Prediction: A Survey of Artificial Intelligence Applications; chaotic Image Encryption Scheme Based on Double Substitution and Diffusion Process; temperature Forecast Using Machine Learning; Improved YOLOv7 Models with Attention Mechanism for Inspection of Broken Glass Insulator on Power Line UAV Images; Physics-Informed Neural Network with PDE Soft Constraint Regularization Invariance.</t>
  </si>
  <si>
    <t>2-s2.0-85187995407</t>
  </si>
  <si>
    <t>Lecture Notes in Computer Science (including subseries Lecture Notes in Artificial Intelligence and Lecture Notes in Bioinformatics)</t>
  </si>
  <si>
    <t>14368 LNCS</t>
  </si>
  <si>
    <t>2-s2.0-85180734282</t>
  </si>
  <si>
    <t>Ivanytskyi M.; Averyanova Y.; Znakovska Y.</t>
  </si>
  <si>
    <t>Ivanytskyi, Maxim (58179011200); Averyanova, Yuliya (23396181700); Znakovska, Yevheniia (57193059025)</t>
  </si>
  <si>
    <t>58179011200; 23396181700; 57193059025</t>
  </si>
  <si>
    <t>996 LNNS</t>
  </si>
  <si>
    <t>Air Navigation; Cyber threats; Decision Support; Risk analysis; Software; UAS; Weather hazards</t>
  </si>
  <si>
    <t>2-s2.0-85195319039</t>
  </si>
  <si>
    <t>Oliveira A.M.; Morais A.S.; Lima G.V.; Souza R.M.J.A.; Oliveira-Lopes L.C.</t>
  </si>
  <si>
    <t>Oliveira, Aline Mara (56851872300); Morais, Aniel Silva (7006325258); Lima, Gabriela Vieira (57202320036); Souza, Rafael Monteiro Jorge Alves (57472011100); Oliveira-Lopes, Luis Cláudio (57200010646)</t>
  </si>
  <si>
    <t>56851872300; 7006325258; 57202320036; 57472011100; 57200010646</t>
  </si>
  <si>
    <t>660</t>
  </si>
  <si>
    <t>automation; Crazyflie 2.1; gas detection; nano quadcopter; SGP40; UAVs</t>
  </si>
  <si>
    <t>2-s2.0-85178288277</t>
  </si>
  <si>
    <t>Eshmawi A.A.; Umer M.; Ashraf I.; Park Y.</t>
  </si>
  <si>
    <t>Eshmawi, Ala'Abdulmajid (35112877500); Umer, Muhammad (58255137000); Ashraf, Imran (57195478761); Park, Yongwan (8356616100)</t>
  </si>
  <si>
    <t>35112877500; 58255137000; 57195478761; 8356616100</t>
  </si>
  <si>
    <t>autonomous vehicles; cybersecurity; ensemble machine learning; GPS spoofing; Unmanned aerial vehicles</t>
  </si>
  <si>
    <t>2-s2.0-85184334782</t>
  </si>
  <si>
    <t>Panda D.K.; Guo W.</t>
  </si>
  <si>
    <t>Panda, Deepak Kumar (55666077800); Guo, Weisi (57215504567)</t>
  </si>
  <si>
    <t>55666077800; 57215504567</t>
  </si>
  <si>
    <t>adversarial network; conflict resolution; deconfliction; reinforcement learning; Spoofing; UAV</t>
  </si>
  <si>
    <t>2-s2.0-85205009274</t>
  </si>
  <si>
    <t>Mehta S.; Kundra D.</t>
  </si>
  <si>
    <t>Mehta, Shiva (58847208600); Kundra, Danish (58195509300)</t>
  </si>
  <si>
    <t>58847208600; 58195509300</t>
  </si>
  <si>
    <t>2024 4th International Conference on Intelligent Technologies, CONIT 2024</t>
  </si>
  <si>
    <t>Blockchain-based Access Control Scheme; Ground Station Server; Internet of Drones (IoD); Privacy Preservation; Secure Communication; Unmanned Aerial Vehicles (UAVs)</t>
  </si>
  <si>
    <t>2-s2.0-85202761774</t>
  </si>
  <si>
    <t>Moudoud H.; El Houda Z.A.; Brik B.</t>
  </si>
  <si>
    <t>Moudoud, Hajar (57212084458); El Houda, Zakaria Abou (23479147800); Brik, Bouzian (55490670200)</t>
  </si>
  <si>
    <t>57212084458; 23479147800; 55490670200</t>
  </si>
  <si>
    <t>Deep Q Learning (DQL); Internet of Drones (IoD); Multi-Agent Federated Learning (MAFL)</t>
  </si>
  <si>
    <t>2-s2.0-85202350603</t>
  </si>
  <si>
    <t>Vanitha N.; Rakshun Selvaa S.K.</t>
  </si>
  <si>
    <t>Vanitha, N. (57508919900); Rakshun Selvaa, S.K. (59338176800)</t>
  </si>
  <si>
    <t>57508919900; 59338176800</t>
  </si>
  <si>
    <t>1029 LNNS</t>
  </si>
  <si>
    <t>GPS-Spoofing; Military; Reverse Engineering; UAV</t>
  </si>
  <si>
    <t>2-s2.0-85204558206</t>
  </si>
  <si>
    <t>1931 CCIS</t>
  </si>
  <si>
    <t>2-s2.0-85176959694</t>
  </si>
  <si>
    <t>Abdalla A.S.; Marojevic V.</t>
  </si>
  <si>
    <t>Abdalla, Aly Sabri (57217110062); Marojevic, Vuk (23389583500)</t>
  </si>
  <si>
    <t>57217110062; 23389583500</t>
  </si>
  <si>
    <t>Cellular communications; deep reinforcement learning (DRL); energy constraint; high-altitude platform station (HAPS); secrecy rate; security; unmanned aerial vehicle (UAV)</t>
  </si>
  <si>
    <t>2-s2.0-85167830634</t>
  </si>
  <si>
    <t>Pecho P.; Dianovsky R.; Hruz M.; Velky P.</t>
  </si>
  <si>
    <t>Pecho, Pavol (57194775145); Dianovsky, Robert (59126594400); Hruz, Michal (57222373321); Velky, Patrik (58095730400)</t>
  </si>
  <si>
    <t>57194775145; 59126594400; 57222373321; 58095730400</t>
  </si>
  <si>
    <t>2-s2.0-85193043154</t>
  </si>
  <si>
    <t>Watanabe K.; Sakai R.; Tanaka S.; Nagata M.; Osaka H.; Nakamura A.; Wu I.; Matsumoto Y.; Gotoh K.</t>
  </si>
  <si>
    <t>Watanabe, Koh (57211538814); Sakai, Ryota (57671155700); Tanaka, Satoshi (55730339200); Nagata, Makoto (7402879198); Osaka, Hideki (58114313500); Nakamura, Atsushi (58114186300); Wu, Ifong (26434930000); Matsumoto, Yasushi (35230437500); Gotoh, Kaoru (55615157900)</t>
  </si>
  <si>
    <t>57211538814; 57671155700; 55730339200; 7402879198; 58114313500; 58114186300; 26434930000; 35230437500; 55615157900</t>
  </si>
  <si>
    <t>Cellular communications; drone; electromagnetic compatibility (EMC); electromagnetic interference (EMI); EMC countermeasures; mobile communications; noise measurement; unmanned aerial vehicle (UAV); wireless communications</t>
  </si>
  <si>
    <t>2-s2.0-85182377254</t>
  </si>
  <si>
    <t>Kolbeinsson B.; Mikolajczyk K.</t>
  </si>
  <si>
    <t>Kolbeinsson, Benedikt (58023458100); Mikolajczyk, Krystian (6701762328)</t>
  </si>
  <si>
    <t>58023458100; 6701762328</t>
  </si>
  <si>
    <t>IEEE Computer Society Conference on Computer Vision and Pattern Recognition Workshops</t>
  </si>
  <si>
    <t>aerial; dataset; depth estimation; drones; obstacle detection; semantic segmentation; UAV</t>
  </si>
  <si>
    <t>2-s2.0-85206454529</t>
  </si>
  <si>
    <t>Allmamun M.; Akter F.; Talukdar M.B.U.; Chakraborty S.; Uddin J.</t>
  </si>
  <si>
    <t>Allmamun, Md (59319244400); Akter, Fahima (57863050500); Talukdar, Muhammad Borhan Uddin (59152533100); Chakraborty, Sovon (57219316890); Uddin, Jia (54994936900)</t>
  </si>
  <si>
    <t>59319244400; 57863050500; 59152533100; 57219316890; 54994936900</t>
  </si>
  <si>
    <t>IEIE Transactions on Smart Processing and Computing</t>
  </si>
  <si>
    <t>Computer vision; Deep learning; Drone detection; Drone tracking; Object detection; OpenCV; UAV; Xception</t>
  </si>
  <si>
    <t>2-s2.0-85203458123</t>
  </si>
  <si>
    <t>Atheeq C.; Gulzar Z.; Al Reshan M.S.; Alshahrani H.; Sulaiman A.; Shaikh A.</t>
  </si>
  <si>
    <t>Atheeq, C. (57193514112); Gulzar, Zameer (57190007446); Al Reshan, Mana Saleh (57209572177); Alshahrani, Hani (57202577300); Sulaiman, Adel (57221768102); Shaikh, Asadullah (35085432000)</t>
  </si>
  <si>
    <t>57193514112; 57190007446; 57209572177; 57202577300; 57221768102; 35085432000</t>
  </si>
  <si>
    <t>Authentication; communication; frequency hopping; jamming attack; UAV</t>
  </si>
  <si>
    <t>2-s2.0-85187975248</t>
  </si>
  <si>
    <t>Devi B.R.; Sarveshwaran V.</t>
  </si>
  <si>
    <t>Devi, B. Renuka (57222765187); Sarveshwaran, Velliangiri (57195569083)</t>
  </si>
  <si>
    <t>57222765187; 57195569083</t>
  </si>
  <si>
    <t>Proceedings - 3rd International Conference on Advances in Computing, Communication and Applied Informatics, ACCAI 2024</t>
  </si>
  <si>
    <t>and Link Prediction; Artificial Intelligence (AI); Cyber Security; Deep Learning; Optimization; Unmanned Aerial Vehicle (UAV)</t>
  </si>
  <si>
    <t>2-s2.0-85200551102</t>
  </si>
  <si>
    <t>Ouadah M.; Merazka F.</t>
  </si>
  <si>
    <t>Ouadah, Meriem (59332959300); Merazka, Fatiha (6507484048)</t>
  </si>
  <si>
    <t>59332959300; 6507484048</t>
  </si>
  <si>
    <t>Proceedings - 11th International Conference on Wireless Networks and Mobile Communications, WINCOM 2024</t>
  </si>
  <si>
    <t>Authentication; CIA; Drone; Gazebo; Integrity; ROS; UAV</t>
  </si>
  <si>
    <t>2-s2.0-85204309734</t>
  </si>
  <si>
    <t>Bouzabia H.; Meftah A.; Kaddoum G.</t>
  </si>
  <si>
    <t>Bouzabia, Hamda (57762103400); Meftah, Aida (58089295700); Kaddoum, Georges (24587843100)</t>
  </si>
  <si>
    <t>57762103400; 58089295700; 24587843100</t>
  </si>
  <si>
    <t>IEEE Communications Letters</t>
  </si>
  <si>
    <t>28</t>
  </si>
  <si>
    <t>FL; jammers; JSAC; security; TNT networks; VAE; waveform fingerprinting</t>
  </si>
  <si>
    <t>2-s2.0-85198748953</t>
  </si>
  <si>
    <t>Wisniewski M.; Ona I.G.; Chatzithanos P.; Guo W.; Tsourdos A.</t>
  </si>
  <si>
    <t>Wisniewski, Mariusz (57358012400); Ona, Inigo Galan (59202676800); Chatzithanos, Paris (57313710200); Guo, Weisi (57215504567); Tsourdos, Antonios (6603755518)</t>
  </si>
  <si>
    <t>57358012400; 59202676800; 57313710200; 57215504567; 6603755518</t>
  </si>
  <si>
    <t>2024 International Conference on Unmanned Aircraft Systems, ICUAS 2024</t>
  </si>
  <si>
    <t>Autonomy; Navigation; Sensor Fusion</t>
  </si>
  <si>
    <t>2-s2.0-85197393359</t>
  </si>
  <si>
    <t>Hai T.; Bhuiyan Z.A.; Rahouti M.; Zhou J.; Shen J.</t>
  </si>
  <si>
    <t>Hai, Tao (36350315600); Bhuiyan, Zakirul Alam (57203026622); Rahouti, Mohamed (57202148530); Zhou, Jincheng (47062334700); Shen, Jian (55964982500)</t>
  </si>
  <si>
    <t>36350315600; 57203026622; 57202148530; 47062334700; 55964982500</t>
  </si>
  <si>
    <t>IEEE Network</t>
  </si>
  <si>
    <t>38</t>
  </si>
  <si>
    <t>2-s2.0-85193223341</t>
  </si>
  <si>
    <t>Sarumathi A.; Latha K.</t>
  </si>
  <si>
    <t>Sarumathi, A. (58949689000); Latha, K. (57208636623)</t>
  </si>
  <si>
    <t>58949689000; 57208636623</t>
  </si>
  <si>
    <t>IET Conference Proceedings</t>
  </si>
  <si>
    <t>2023</t>
  </si>
  <si>
    <t>cyber security; cyber-attacks; Drone; Unmanned Aerial Vehicle</t>
  </si>
  <si>
    <t>2-s2.0-85188352194</t>
  </si>
  <si>
    <t>Shueb M.M.; Che X.</t>
  </si>
  <si>
    <t>Shueb, Mosladdin Mohammad (58393692100); Che, Xiangdong (36683825200)</t>
  </si>
  <si>
    <t>58393692100; 36683825200</t>
  </si>
  <si>
    <t>700 LNNS</t>
  </si>
  <si>
    <t>Countermeasures; Cyberattacks; Cybersecurity; Drone; UAV</t>
  </si>
  <si>
    <t>2-s2.0-85163330141</t>
  </si>
  <si>
    <t>AL-Dosari K.; Fetais N.</t>
  </si>
  <si>
    <t>AL-Dosari, Khalifa (57857372900); Fetais, Noora (55395468600)</t>
  </si>
  <si>
    <t>57857372900; 55395468600</t>
  </si>
  <si>
    <t>Safety</t>
  </si>
  <si>
    <t>64</t>
  </si>
  <si>
    <t>2-s2.0-85172191035</t>
  </si>
  <si>
    <t>Valderrama S.L.R.; Aracena N.A.M.M.</t>
  </si>
  <si>
    <t>Valderrama, Sebastian L. Ratto (58972208800); Aracena, Nicolas A. Montes (58972427200)</t>
  </si>
  <si>
    <t>58972208800; 58972427200</t>
  </si>
  <si>
    <t>Proceedings -  IEEE CHILEAN Conference on Electrical, Electronics Engineering, Information and Communication Technologies, ChileCon</t>
  </si>
  <si>
    <t>Bit error Rate; Drone Neutralization; Jamming Signal Ratio; SNR; Software defined Radio</t>
  </si>
  <si>
    <t>2-s2.0-85189564680</t>
  </si>
  <si>
    <t>Kacem T.</t>
  </si>
  <si>
    <t>Kacem, Thabet (55165375400)</t>
  </si>
  <si>
    <t>55165375400</t>
  </si>
  <si>
    <t>Proceedings of 10th International Conference on Recent Advances in Air and Space Technologies, RAST 2023</t>
  </si>
  <si>
    <t>5G; Blockchain; Cyber Security; UAS</t>
  </si>
  <si>
    <t>2-s2.0-85168414364</t>
  </si>
  <si>
    <t>Hadi H.J.; Cao Y.; Nisa K.U.; Jamil A.M.; Ni Q.</t>
  </si>
  <si>
    <t>Hadi, Hassan Jalil (57215211369); Cao, Yue (55470310200); Nisa, Khaleeq Un (56520229100); Jamil, Abdul Majid (58135618000); Ni, Qiang (10045778600)</t>
  </si>
  <si>
    <t>57215211369; 55470310200; 56520229100; 58135618000; 10045778600</t>
  </si>
  <si>
    <t>Journal of Network and Computer Applications</t>
  </si>
  <si>
    <t>213</t>
  </si>
  <si>
    <t>103607</t>
  </si>
  <si>
    <t>Adversarial machine learning; Blockchain; Cyber security and privacy; Digital forensic; Intrusion detection system; Vulnerabilities</t>
  </si>
  <si>
    <t>2-s2.0-85149803229</t>
  </si>
  <si>
    <t>Tsou Y.-C.; Chou R.-H.; Chen Y.-J.</t>
  </si>
  <si>
    <t>Tsou, Ying-Chi (58665804300); Chou, Rui-Hsing (58666010700); Chen, Yu-Jia (54394970900)</t>
  </si>
  <si>
    <t>58665804300; 58666010700; 54394970900</t>
  </si>
  <si>
    <t>2023 International Conference on Consumer Electronics - Taiwan, ICCE-Taiwan 2023 - Proceedings</t>
  </si>
  <si>
    <t>blockchain; Internet of Drones (IoD); physical layer key generation (PLKG); Unmanned aerial vehicle (UAV)</t>
  </si>
  <si>
    <t>2-s2.0-85174962027</t>
  </si>
  <si>
    <t>Carpenter W.; Omodara P.; Babiceanu R.; Kandel L.N.</t>
  </si>
  <si>
    <t>Carpenter, William (58982200400); Omodara, Patrick (58981268200); Babiceanu, Radu (8411420900); Kandel, Laxima Niure (57208506532)</t>
  </si>
  <si>
    <t>58982200400; 58981268200; 8411420900; 57208506532</t>
  </si>
  <si>
    <t>Proceedings - 22nd IEEE International Conference on Machine Learning and Applications, ICMLA 2023</t>
  </si>
  <si>
    <t>facial recognition; gesture-based control; Unmanned Aerial Vehicles (UAV)</t>
  </si>
  <si>
    <t>2-s2.0-85190112314</t>
  </si>
  <si>
    <t>Lofu D.; Gennaro P.D.; Tedeschi P.; Noia T.D.; Sciascio E.D.</t>
  </si>
  <si>
    <t>Lofu, Domenico (57218171697); Gennaro, Pietro Di (57219795836); Tedeschi, Pietro (57205428562); Noia, Tommaso Di (6508366184); Sciascio, Eugenio Di (6603827610)</t>
  </si>
  <si>
    <t>57218171697; 57219795836; 57205428562; 6508366184; 6603827610</t>
  </si>
  <si>
    <t>IEEE Open Journal of Vehicular Technology</t>
  </si>
  <si>
    <t>cyber physical systems; drone; machine learning; safety; security; UAV</t>
  </si>
  <si>
    <t>2-s2.0-85178017451</t>
  </si>
  <si>
    <t>Sarvesh E.; Jinesh J.; Chitrakala S.</t>
  </si>
  <si>
    <t>Sarvesh, E. (58158574900); Jinesh, Jose (57539167200); Chitrakala, S. (25645652800)</t>
  </si>
  <si>
    <t>58158574900; 57539167200; 25645652800</t>
  </si>
  <si>
    <t>230</t>
  </si>
  <si>
    <t>Blockchain; Decentralized Autonomous Organization; Medical emergency Supply; Security; Smart contract; UAV</t>
  </si>
  <si>
    <t>2-s2.0-85184108406</t>
  </si>
  <si>
    <t>Aruna Devi K.; Ranjitha M.; Divya M.O.</t>
  </si>
  <si>
    <t>Aruna Devi, K. (57210943632); Ranjitha, M. (57211006235); Divya, M.O. (59044204100)</t>
  </si>
  <si>
    <t>57210943632; 57211006235; 59044204100</t>
  </si>
  <si>
    <t>IOP Conference Series: Earth and Environmental Science</t>
  </si>
  <si>
    <t>1237</t>
  </si>
  <si>
    <t>012016</t>
  </si>
  <si>
    <t>2-s2.0-85176609043</t>
  </si>
  <si>
    <t>Jeon S.</t>
  </si>
  <si>
    <t>Jeon, Sanghoon (42861879700)</t>
  </si>
  <si>
    <t>42861879700</t>
  </si>
  <si>
    <t>Journal of Korean Institute of Communications and Information Sciences</t>
  </si>
  <si>
    <t>48</t>
  </si>
  <si>
    <t>2-s2.0-85189137440</t>
  </si>
  <si>
    <t>Mishra A.K.; Wazid M.; Singh D.P.; Das A.K.; Singh J.; Vasilakos A.V.</t>
  </si>
  <si>
    <t>Mishra, Amit Kumar (57200658541); Wazid, Mohammad (55480987400); Singh, Devesh Pratap (55639324300); Das, Ashok Kumar (55450732800); Singh, Jaskaran (57213875744); Vasilakos, Athanasios V. (57200495061)</t>
  </si>
  <si>
    <t>57200658541; 55480987400; 55639324300; 55450732800; 57213875744; 57200495061</t>
  </si>
  <si>
    <t>508</t>
  </si>
  <si>
    <t>blockchain; cyber-attacks; data analytics; Internet of Drones (IoD); security; unmanned aerial vehicles (UAVs)</t>
  </si>
  <si>
    <t>2-s2.0-85169122683</t>
  </si>
  <si>
    <t>Minhas D.</t>
  </si>
  <si>
    <t>Minhas, Deepak (58637393900)</t>
  </si>
  <si>
    <t>58637393900</t>
  </si>
  <si>
    <t>2023 International Conference on Data Science and Network Security, ICDSNS 2023</t>
  </si>
  <si>
    <t>Attack Detection and Prevention System; FANETs; GPS Spoofing Attacks; Security and Privacy; UAVs</t>
  </si>
  <si>
    <t>2-s2.0-85173609572</t>
  </si>
  <si>
    <t>Liu Y.; Xia Q.; Li X.; Gao J.; Zhang X.</t>
  </si>
  <si>
    <t>Liu, Yangyang (57220483559); Xia, Qi (35101036600); Li, Xiong (36509118600); Gao, Jianbin (55919311700); Zhang, Xiaosong (35270951600)</t>
  </si>
  <si>
    <t>57220483559; 35101036600; 36509118600; 55919311700; 35270951600</t>
  </si>
  <si>
    <t>Journal of Systems Architecture</t>
  </si>
  <si>
    <t>142</t>
  </si>
  <si>
    <t>102935</t>
  </si>
  <si>
    <t>Anonymity; Formal proof; NS3; UAV; VANET</t>
  </si>
  <si>
    <t>2-s2.0-85165540437</t>
  </si>
  <si>
    <t>McNerney M.T.; Bishop G.; Saur V.</t>
  </si>
  <si>
    <t>McNerney, Michael T. (6603798754); Bishop, Grant (57904093100); Saur, Valerie (57904309000)</t>
  </si>
  <si>
    <t>6603798754; 57904093100; 57904309000</t>
  </si>
  <si>
    <t>Airfield and Highway Pavements 2023: Design, Construction, Condition Evaluation, and Management of Pavements - Selected Papers from the International Airfield and Highway Pavements Conference 2023</t>
  </si>
  <si>
    <t>2-s2.0-85165749763</t>
  </si>
  <si>
    <t>Subbarayalu V.; Vensuslaus M.A.</t>
  </si>
  <si>
    <t>Subbarayalu, Venkatraman (57004474000); Vensuslaus, Maria Anu (57195551364)</t>
  </si>
  <si>
    <t>57004474000; 57195551364</t>
  </si>
  <si>
    <t>248</t>
  </si>
  <si>
    <t>behavioral model; drones; intrusion detection; probabilistic automata; swarming; timed automata</t>
  </si>
  <si>
    <t>2-s2.0-85154057946</t>
  </si>
  <si>
    <t>Ahnaf Shihab U.L.M.; Apsaan M.T.M.S.; Fayas Ahamed M.H.; Razeeya M.R.F.; Juhaniya A.I.S.</t>
  </si>
  <si>
    <t>Ahnaf Shihab, U.L.M. (58869870800); Apsaan, M.T.M.S. (58869908600); Fayas Ahamed, M.H. (58869889100); Razeeya, M.R.F. (58869828000); Juhaniya, A.I.S. (58032458900)</t>
  </si>
  <si>
    <t>58869870800; 58869908600; 58869889100; 58869828000; 58032458900</t>
  </si>
  <si>
    <t>Moratuwa Engineering Research Conference, MERCon</t>
  </si>
  <si>
    <t>drone; insulator faults; machine learning; power transmission line; unmanned aerial vehicle</t>
  </si>
  <si>
    <t>2-s2.0-85184368582</t>
  </si>
  <si>
    <t>Li H.; Guo Y.; Bai Y.; Liu E.</t>
  </si>
  <si>
    <t>Li, Hengyuan (58627065500); Guo, Yingshan (58408759800); Bai, Yunxiao (58628142600); Liu, Enbo (58627419700)</t>
  </si>
  <si>
    <t>58627065500; 58408759800; 58628142600; 58627419700</t>
  </si>
  <si>
    <t>12797</t>
  </si>
  <si>
    <t>127972Z</t>
  </si>
  <si>
    <t>Navigator; Orientation; Unmanned aerial vehicle</t>
  </si>
  <si>
    <t>2-s2.0-85172918893</t>
  </si>
  <si>
    <t>Alexandre R.C.J.; Martins L.E.G.; Gorschek T.</t>
  </si>
  <si>
    <t>Alexandre, Rui Carlos Josino (58131463900); Martins, Luiz Eduardo Galvão (10045397600); Gorschek, Tony (6507952308)</t>
  </si>
  <si>
    <t>58131463900; 10045397600; 6507952308</t>
  </si>
  <si>
    <t>IEEE Aerospace and Electronic Systems Magazine</t>
  </si>
  <si>
    <t>[No abstract available]</t>
  </si>
  <si>
    <t>2-s2.0-85149452274</t>
  </si>
  <si>
    <t>Corbett A.; Smith B.J.; Melton B.</t>
  </si>
  <si>
    <t>Corbett, Abigail (57206168151); Smith, Brendan James (55476063800); Melton, Bobby (58619611800)</t>
  </si>
  <si>
    <t>57206168151; 55476063800; 58619611800</t>
  </si>
  <si>
    <t>SPE Offshore Europe Conference Proceedings</t>
  </si>
  <si>
    <t>2023-September</t>
  </si>
  <si>
    <t>methane emissions; OGMP 2.0; reconciliation; TDLAS; Top-down</t>
  </si>
  <si>
    <t>2-s2.0-85172368420</t>
  </si>
  <si>
    <t>Son S.B.; Kim D.H.</t>
  </si>
  <si>
    <t>Son, Seok Bin (57733223300); Kim, Dong Hwa (55743001500)</t>
  </si>
  <si>
    <t>57733223300; 55743001500</t>
  </si>
  <si>
    <t>249</t>
  </si>
  <si>
    <t>course-of-action; course-of-action attack; cyber security; drones; heuristic function; scalable network; spatio-attack course-of-action algorithm; unmanned aerial vehicles</t>
  </si>
  <si>
    <t>2-s2.0-85154062054</t>
  </si>
  <si>
    <t>Khalid H.; Hashim S.J.; Hashim F.; Ahamed S.M.S.; Chaudhary M.A.; Altarturi H.H.M.; Saadoon M.</t>
  </si>
  <si>
    <t>Khalid, Haqi (57194942247); Hashim, Shaiful Jahari (55444812700); Hashim, Fazirulhisyam (57202656008); Ahamed, Sharifah Mumtazah Syed (58559387500); Chaudhary, Muhammad Akmal (55821386600); Altarturi, Hamza H. M. (57202201791); Saadoon, Muntadher (57216991865)</t>
  </si>
  <si>
    <t>57194942247; 55444812700; 57202656008; 58559387500; 55821386600; 57202201791; 57216991865</t>
  </si>
  <si>
    <t>and privacy; authentication; handover; OMNeT++; security; UAVs</t>
  </si>
  <si>
    <t>2-s2.0-85151492734</t>
  </si>
  <si>
    <t>Bhattacharya A.; Fatma A.; Pathak P.; Bhatt V.</t>
  </si>
  <si>
    <t>Bhattacharya, Ashutosh (58988817400); Fatma, Anam (58139691200); Pathak, Pankaj (57205670746); Bhatt, Vimal (57209512115)</t>
  </si>
  <si>
    <t>58988817400; 58139691200; 57205670746; 57209512115</t>
  </si>
  <si>
    <t>2023 International Conference on Sustaining Heritage: Innovative and Digital Approaches, ICSH 2023</t>
  </si>
  <si>
    <t>cyber network; Cybersecurity; drones; heritage; tourism; UAV.</t>
  </si>
  <si>
    <t>2-s2.0-85190495336</t>
  </si>
  <si>
    <t>Freeman K.; Gillem N.; Jones A.R.; Sharma N.</t>
  </si>
  <si>
    <t>Freeman, Kenneth (23972273100); Gillem, Norbert (57425661400); Jones, Aidan R. (57425517000); Sharma, Nishant (57425960400)</t>
  </si>
  <si>
    <t>23972273100; 57425661400; 57425517000; 57425960400</t>
  </si>
  <si>
    <t>AIAA Aviation and Aeronautics Forum and Exposition, AIAA AVIATION Forum 2023</t>
  </si>
  <si>
    <t>2-s2.0-85199874804</t>
  </si>
  <si>
    <t>Souli N.; Kolios P.; Ellinas G.</t>
  </si>
  <si>
    <t>Souli, Nicolas (57218214108); Kolios, Panayiotis (35932458400); Ellinas, Georgios (7004484129)</t>
  </si>
  <si>
    <t>57218214108; 35932458400; 7004484129</t>
  </si>
  <si>
    <t>IEEE Robotics and Automation Letters</t>
  </si>
  <si>
    <t>Aerial systems: perception and autonomy; localization; multi-robot systems; sensor fusion</t>
  </si>
  <si>
    <t>2-s2.0-85149390810</t>
  </si>
  <si>
    <t>Xie Y.; Gardi A.; Sabatini R.</t>
  </si>
  <si>
    <t>Xie, Yibing (57226759538); Gardi, Alessandro (57198865986); Sabatini, Roberto (56962744800)</t>
  </si>
  <si>
    <t>57226759538; 57198865986; 56962744800</t>
  </si>
  <si>
    <t>2023 IEEE International Conference on Dependable, Autonomic and Secure Computing, International Conference on Pervasive Intelligence and Computing, International Conference on Cloud and Big Data Computing, International Conference on Cyber Science and Technology Congress, DASC/PiCom/CBDCom/CyberSciTech 2023</t>
  </si>
  <si>
    <t>ATM; Autonomous Systems; Avionics system; CNS+A; Cyber-Threat; Cybersecurity; UTM</t>
  </si>
  <si>
    <t>2-s2.0-85182596099</t>
  </si>
  <si>
    <t>Kiesewetter L.; Shakib K.H.; Singh P.; Rahman M.; Khandelwal B.; Kumar S.; Shah K.</t>
  </si>
  <si>
    <t>Kiesewetter, Lukas (58628692400); Shakib, Kazi Hassan (57222588826); Singh, Paramvir (57212591692); Rahman, Mizanur (56377193300); Khandelwal, Bhupendra (36476338700); Kumar, Sudarshan (57212149019); Shah, Krishna (56205320700)</t>
  </si>
  <si>
    <t>58628692400; 57222588826; 57212591692; 56377193300; 36476338700; 57212149019; 56205320700</t>
  </si>
  <si>
    <t>Progress in Aerospace Sciences</t>
  </si>
  <si>
    <t>100949</t>
  </si>
  <si>
    <t>Advanced air mobility; Aircraft design; eVTOL; Transportation infrastructure; Transportation sustainability; Urban air mobility</t>
  </si>
  <si>
    <t>2-s2.0-85173031953</t>
  </si>
  <si>
    <t>Maurio J.; Wood P.; Zanlongo S.; Silbermann J.; Sookoor T.; Lorenzo A.; Sleight R.; Rogers J.; Muller D.; Armiger N.; Rouff C.; Watkins L.</t>
  </si>
  <si>
    <t>Maurio, Joe (56108573400); Wood, Paul (57171456000); Zanlongo, Sebastian (56717761300); Silbermann, Josh (57202433624); Sookoor, Tamim (35318609800); Lorenzo, Alberto (57226705668); Sleight, Randy (57226714266); Rogers, James (57224713720); Muller, Dan (57226724098); Armiger, Noah (57226718463); Rouff, Christopher (6602110017); Watkins, Lanier (23567275300)</t>
  </si>
  <si>
    <t>56108573400; 57171456000; 56717761300; 57202433624; 35318609800; 57226705668; 57226714266; 57224713720; 57226724098; 57226718463; 6602110017; 23567275300</t>
  </si>
  <si>
    <t>Innovations in Systems and Software Engineering</t>
  </si>
  <si>
    <t>19</t>
  </si>
  <si>
    <t>Autonomic; Autonomy; Cyber physical systems; Resiliency</t>
  </si>
  <si>
    <t>2-s2.0-85112450405</t>
  </si>
  <si>
    <t>Boukabou I.; Rupanetti D.; Kaabouch N.</t>
  </si>
  <si>
    <t>Boukabou, Issam (58087714500); Rupanetti, Dulana (57209295049); Kaabouch, Naima (22634156500)</t>
  </si>
  <si>
    <t>58087714500; 57209295049; 22634156500</t>
  </si>
  <si>
    <t>2023 3rd Intelligent Cybersecurity Conference, ICSC 2023</t>
  </si>
  <si>
    <t>ADPCA; clutter interference; electromagnetic interferences; monostatic radar; STAP; UAS; ULA</t>
  </si>
  <si>
    <t>2-s2.0-85182734864</t>
  </si>
  <si>
    <t>Pizzolante R.; Castiglione A.; Palmieri F.; Passaro A.; Zaccagnino R.; La Vecchia S.</t>
  </si>
  <si>
    <t>Pizzolante, Raffaele (54394039100); Castiglione, Arcangelo (55349345800); Palmieri, Francesco (7103111550); Passaro, Angelo (58492016200); Zaccagnino, Rocco (27868231900); La Vecchia, Samanta (58492016300)</t>
  </si>
  <si>
    <t>54394039100; 55349345800; 7103111550; 58492016200; 27868231900; 58492016300</t>
  </si>
  <si>
    <t>14109 LNCS</t>
  </si>
  <si>
    <t>Drone Security; Lightweight Cryptography; MAVLink; MAVSec; software in the loop; Unmanned Aerial Vehicles (UAVs); Unmanned Aircraft Systems (UAS)</t>
  </si>
  <si>
    <t>2-s2.0-85165073653</t>
  </si>
  <si>
    <t>The proceedings contain 11 papers. The topics discussed include: securing autonomous systems – it’s not just the radio; challenges and progress in behavior-based adaptive autonomy; mechanism-free ‘solid-state’ rotors for drones, UAVs, wind and hydrokinetic turbines; VNX+: a modular, scalable computing architecture for autonomous vehicles; ai for drone autonomy; ready for take-off? towards detect and avoid for commercial UAVs; autonomous exploration and mapping of unknown environments with unmanned aerial systems (UAS); cyberwarfare and drones autonomous ethical hacking; and cyberwarfare and drones autonomous ethical hacking.</t>
  </si>
  <si>
    <t>2-s2.0-85199788848</t>
  </si>
  <si>
    <t>Sabuwala, Noshin A (58122117800); Daruwala, Rohin D (35795271200)</t>
  </si>
  <si>
    <t>IEEE Region 10 Annual International Conference, Proceedings/TENCON</t>
  </si>
  <si>
    <t>Communication Security; Internet of Things(IoT); MAVLink; Stream Cipher; Unmanned Aerial Vehicles (UAVs)</t>
  </si>
  <si>
    <t>2-s2.0-85179519012</t>
  </si>
  <si>
    <t>Xia T.; Wang M.; He J.; Lin S.; Shi Y.; Guo L.</t>
  </si>
  <si>
    <t>Xia, Tao (57226439287); Wang, Menglin (57217103734); He, Jun (57216265051); Lin, Shaofeng (57199122713); Shi, Yongqi (58202172400); Guo, Liyuan (57420414700)</t>
  </si>
  <si>
    <t>57226439287; 57217103734; 57216265051; 57199122713; 58202172400; 57420414700</t>
  </si>
  <si>
    <t>2917</t>
  </si>
  <si>
    <t>2-s2.0-85164777967</t>
  </si>
  <si>
    <t>Zhang R.; Hao G.; Zhang K.; Li Z.</t>
  </si>
  <si>
    <t>Zhang, Ran (57767476800); Hao, Guangbo (23501543000); Zhang, Kong (58283413500); Li, Zili (56018343100)</t>
  </si>
  <si>
    <t>57767476800; 23501543000; 58283413500; 56018343100</t>
  </si>
  <si>
    <t>Geological Journal</t>
  </si>
  <si>
    <t>navigation; structural inspection; underground environment; unmanned aerial vehicle</t>
  </si>
  <si>
    <t>2-s2.0-85159901229</t>
  </si>
  <si>
    <t>Li D.; Yang X.; Zhou F.; Wang D.; Al-Dhahir N.</t>
  </si>
  <si>
    <t>Li, Dongming (55582462400); Yang, Xuan (57879875200); Zhou, Fuhui (56453758800); Wang, Dawei (57212084780); Al-Dhahir, Naofal (58655247500)</t>
  </si>
  <si>
    <t>55582462400; 57879875200; 56453758800; 57212084780; 58655247500</t>
  </si>
  <si>
    <t>energy efficiency; mode adaptation; relay; secrecy rate; UAV</t>
  </si>
  <si>
    <t>2-s2.0-85148438700</t>
  </si>
  <si>
    <t>Li J.; Zhang W.; Meng Y.; Li S.; Ma L.; Liu Z.; Zhu H.</t>
  </si>
  <si>
    <t>Li, Jiachun (57226784668); Zhang, Weijiong (57223619901); Meng, Yan (57191955039); Li, Shaofeng (57212252504); Ma, Lichuan (55756911500); Liu, Zhen (56580601000); Zhu, Haojin (19640836400)</t>
  </si>
  <si>
    <t>57226784668; 57223619901; 57191955039; 57212252504; 55756911500; 56580601000; 19640836400</t>
  </si>
  <si>
    <t>message spoofing; misbehavior attack; Space-air-ground integrated network; UAV tracking</t>
  </si>
  <si>
    <t>2-s2.0-85149859492</t>
  </si>
  <si>
    <t>Shafik W.; Mojtaba Matinkhah S.; Shokoor F.</t>
  </si>
  <si>
    <t>Shafik, Wasswa (57210203704); Mojtaba Matinkhah, S. (38362070700); Shokoor, Fawad (57226269099)</t>
  </si>
  <si>
    <t>57210203704; 38362070700; 57226269099</t>
  </si>
  <si>
    <t>International Journal on Smart Sensing and Intelligent Systems</t>
  </si>
  <si>
    <t>2-s2.0-85175253699</t>
  </si>
  <si>
    <t>Tedeschi P.; Sciancalepore S.; Di Pietro R.</t>
  </si>
  <si>
    <t>Tedeschi, Pietro (57205428562); Sciancalepore, Savio (56491214100); Di Pietro, Roberto (57216385914)</t>
  </si>
  <si>
    <t>57205428562; 56491214100; 57216385914</t>
  </si>
  <si>
    <t>IEEE Transactions on Dependable and Secure Computing</t>
  </si>
  <si>
    <t>applied security and privacy; Drones privacy; privacy-enhancing technologies</t>
  </si>
  <si>
    <t>2-s2.0-85126558575</t>
  </si>
  <si>
    <t>Wu Y.; Li X.; Kang B.</t>
  </si>
  <si>
    <t>Wu, Yu (58686649400); Li, Xian (57221402367); Kang, Bin (58686115500)</t>
  </si>
  <si>
    <t>58686649400; 57221402367; 58686115500</t>
  </si>
  <si>
    <t>12918</t>
  </si>
  <si>
    <t>1291811</t>
  </si>
  <si>
    <t>decoy accuracy; detection; direction-finding (DF); jamming; navigation decoy; radio frequency (RF); railway; UAV</t>
  </si>
  <si>
    <t>2-s2.0-85176115272</t>
  </si>
  <si>
    <t>Derhab A.; Cheikhrouhou O.; Allouch A.; Koubaa A.; Qureshi B.; Ferrag M.A.; Maglaras L.; Khan F.A.</t>
  </si>
  <si>
    <t>Derhab, Abdelouahid (15063891000); Cheikhrouhou, Omar (35112771500); Allouch, Azza (57194572450); Koubaa, Anis (15923354900); Qureshi, Basit (35293201200); Ferrag, Mohamed Amine (56115001200); Maglaras, Leandros (8313447200); Khan, Farrukh Aslam (35240278200)</t>
  </si>
  <si>
    <t>15063891000; 35112771500; 57194572450; 15923354900; 35293201200; 56115001200; 8313447200; 35240278200</t>
  </si>
  <si>
    <t>39</t>
  </si>
  <si>
    <t>100552</t>
  </si>
  <si>
    <t>2-s2.0-85145684225</t>
  </si>
  <si>
    <t>Sihag V.; Choudhary G.; Choudhary P.; Dragoni N.</t>
  </si>
  <si>
    <t>Sihag, Vikas (55480006300); Choudhary, Gaurav (57202009598); Choudhary, Pankaj (58513902800); Dragoni, Nicola (8308455900)</t>
  </si>
  <si>
    <t>55480006300; 57202009598; 58513902800; 8308455900</t>
  </si>
  <si>
    <t>430</t>
  </si>
  <si>
    <t>digital investigation; drone forensics; drone security; unmanned aerial vehicles</t>
  </si>
  <si>
    <t>2-s2.0-85166320586</t>
  </si>
  <si>
    <t>Gomez J.A.; Sattarvand J.</t>
  </si>
  <si>
    <t>Gomez, Jose A. (57218893532); Sattarvand, Javad (55365222300)</t>
  </si>
  <si>
    <t>57218893532; 55365222300</t>
  </si>
  <si>
    <t>APCOM 2023 Proceedings: Intelligent Mining: Innovation, Vision, and Value</t>
  </si>
  <si>
    <t>2-s2.0-85191226442</t>
  </si>
  <si>
    <t>Khurana J.</t>
  </si>
  <si>
    <t>Khurana, Jatin (58630001400)</t>
  </si>
  <si>
    <t>58630001400</t>
  </si>
  <si>
    <t>CapsNet; Deep Learning; Drones; Power Lines; UA Vs</t>
  </si>
  <si>
    <t>2-s2.0-85173611612</t>
  </si>
  <si>
    <t>Gupta S.; Patnala S.K.; Warish W.; Agrawal N.; Tripathi N.; Pavan Kumar B.N.; Raman B.</t>
  </si>
  <si>
    <t>Gupta, Shobhit (58919877400); Patnala, Satya Kiran (58919656800); Warish, W. (58919435800); Agrawal, Neha (27867564800); Tripathi, Nikhil (57188662757); Pavan Kumar, B.N. (57202496237); Raman, Balaji (58919877500)</t>
  </si>
  <si>
    <t>58919877400; 58919656800; 58919435800; 27867564800; 57188662757; 57202496237; 58919877500</t>
  </si>
  <si>
    <t>OCIT 2023 - 21st International Conference on Information Technology, Proceedings</t>
  </si>
  <si>
    <t>Ardupilot; Attack Detection; Cyber Attacks; Drones; GPS Spoofing; Unmanned Aerial Vehicles (UAVs)</t>
  </si>
  <si>
    <t>2-s2.0-85186643129</t>
  </si>
  <si>
    <t>Chatterjee B.; Dutta R.</t>
  </si>
  <si>
    <t>Chatterjee, Baisakhi (57203911684); Dutta, Rudra (7102253018)</t>
  </si>
  <si>
    <t>57203911684; 7102253018</t>
  </si>
  <si>
    <t>International Symposium on Advanced Networks and Telecommunication Systems, ANTS</t>
  </si>
  <si>
    <t>aerial communication; autonomous agents; drone; plume wrapping; UAV; unmanned aerial vehicle</t>
  </si>
  <si>
    <t>2-s2.0-85189611807</t>
  </si>
  <si>
    <t>Sadhu V.; Anjum K.; Pompili D.</t>
  </si>
  <si>
    <t>Sadhu, Vidyasagar (57190834486); Anjum, Khizar (57222294825); Pompili, Dario (6506452040)</t>
  </si>
  <si>
    <t>57190834486; 57222294825; 6506452040</t>
  </si>
  <si>
    <t>IEEE Transactions on Robotics</t>
  </si>
  <si>
    <t>Approximate computing; artificial neural networks; fault detection; fault diagnosis; reconfigurable architectures</t>
  </si>
  <si>
    <t>2-s2.0-85169461034</t>
  </si>
  <si>
    <t>International Journal of Computer Networks and Applications</t>
  </si>
  <si>
    <t>2-s2.0-85176119366</t>
  </si>
  <si>
    <t>Sachdeva H.; Gupta S.; Misra A.; Chauhan K.; Dave M.</t>
  </si>
  <si>
    <t>Sachdeva, Hardik (57208101124); Gupta, Shivam (57217374345); Misra, Anushka (57216687947); Chauhan, Khushbu (58428783400); Dave, Mayank (7006803538)</t>
  </si>
  <si>
    <t>57208101124; 57217374345; 57216687947; 58428783400; 7006803538</t>
  </si>
  <si>
    <t>International Journal of Communication Networks and Distributed Systems</t>
  </si>
  <si>
    <t>29</t>
  </si>
  <si>
    <t>Blockchain; Data privacy; Ethereum.; Network security; Smart contract; UAVs; Unmanned aerial vehicles</t>
  </si>
  <si>
    <t>2-s2.0-85166415379</t>
  </si>
  <si>
    <t>Valianti P.; Kolios P.; Ellinas G.</t>
  </si>
  <si>
    <t>Valianti, Panayiota (57219724817); Kolios, Panayiotis (35932458400); Ellinas, Georgios (7004484129)</t>
  </si>
  <si>
    <t>57219724817; 35932458400; 7004484129</t>
  </si>
  <si>
    <t>IEEE Systems Journal</t>
  </si>
  <si>
    <t>Energy consumption; optimization; UAV tracking; unmanned aerial vehicle (UAV) jamming</t>
  </si>
  <si>
    <t>2-s2.0-85132692487</t>
  </si>
  <si>
    <t>Mittal S.; Mishra A.K.; Wazid M.; Singh D.P.; Das A.K.; Shetty S.</t>
  </si>
  <si>
    <t>Mittal, Saksham (57191171007); Mishra, Amit Kumar (57200658541); Wazid, Mohammad (55480987400); Singh, D.P. (55639324300); Das, Ashok Kumar (55450732800); Shetty, Sachin (8970891400)</t>
  </si>
  <si>
    <t>57191171007; 57200658541; 55480987400; 55639324300; 55450732800; 8970891400</t>
  </si>
  <si>
    <t>Proceedings - IEEE Global Communications Conference, GLOBECOM</t>
  </si>
  <si>
    <t>Aerial computing; Botnet; Internet of Things (IoT); Machine learning; Malware detection; Security</t>
  </si>
  <si>
    <t>2-s2.0-85187389716</t>
  </si>
  <si>
    <t>Sinha H.; Malik N.; Dahiya M.</t>
  </si>
  <si>
    <t>Sinha, Harsh (57204592739); Malik, Nikita (57211906332); Dahiya, Menal (57879230400)</t>
  </si>
  <si>
    <t>57204592739; 57211906332; 57879230400</t>
  </si>
  <si>
    <t>664 LNNS</t>
  </si>
  <si>
    <t>5G network; Internet of drones; IoT; Network slicing; QUIC protocol; Unmanned aerial vehicles</t>
  </si>
  <si>
    <t>2-s2.0-85168771364</t>
  </si>
  <si>
    <t>Martyniuk H.; Yagaliyeva B.; Akhmetov B.; Makulov K.; Akhmetov B.</t>
  </si>
  <si>
    <t>Martyniuk, Hanna (57170878400); Yagaliyeva, Bagdat (42062442900); Akhmetov, Berik (57200984727); Makulov, Kayirbek (58001557700); Akhmetov, Bakhytzhan (56829370400)</t>
  </si>
  <si>
    <t>57170878400; 42062442900; 57200984727; 58001557700; 56829370400</t>
  </si>
  <si>
    <t>Lecture Notes on Data Engineering and Communications Technologies</t>
  </si>
  <si>
    <t>181</t>
  </si>
  <si>
    <t>Cybersecurity; Threat model; UAV</t>
  </si>
  <si>
    <t>2-s2.0-85169020310</t>
  </si>
  <si>
    <t>Wu L.; Wang W.; Ji Z.; Yang Y.; Cumanan K.; Chen G.; Ding Z.; Dobre O.A.</t>
  </si>
  <si>
    <t>Wu, Lei (57340691700); Wang, Wei (58440432200); Ji, Zengshuan (58348875400); Yang, Yongjie (35276818500); Cumanan, Kanapathippillai (26653957300); Chen, Gaojie (22957084600); Ding, Zhiguo (57226326300); Dobre, Octavia A. (57193255512)</t>
  </si>
  <si>
    <t>57340691700; 58440432200; 58348875400; 35276818500; 26653957300; 22957084600; 57226326300; 57193255512</t>
  </si>
  <si>
    <t>Maritime legitimate surveillance; power allocation; trajectory design; UAV cooperative jamming</t>
  </si>
  <si>
    <t>2-s2.0-85162855144</t>
  </si>
  <si>
    <t>Agnew D.; Del Aguila A.; McNair J.</t>
  </si>
  <si>
    <t>Agnew, Dennis (57876623400); Del Aguila, Alvaro (58089256300); McNair, Janise (35610572500)</t>
  </si>
  <si>
    <t>57876623400; 58089256300; 35610572500</t>
  </si>
  <si>
    <t>MILCOM 2023 - 2023 IEEE Military Communications Conference: Communications Supporting Military Operations in a Contested Environment</t>
  </si>
  <si>
    <t>cybersecurity; machine learning; software-defined networking (SDN); UAVs</t>
  </si>
  <si>
    <t>2-s2.0-85182391611</t>
  </si>
  <si>
    <t>Chen Y.; Deng T.</t>
  </si>
  <si>
    <t>Chen, Yafei (58647417800); Deng, Tao (59028925800)</t>
  </si>
  <si>
    <t>58647417800; 59028925800</t>
  </si>
  <si>
    <t>Systems Science and Control Engineering</t>
  </si>
  <si>
    <t>2268153</t>
  </si>
  <si>
    <t>buffeting; drone; Feature modelling; formation flight control; Leader-Follower; pose</t>
  </si>
  <si>
    <t>2-s2.0-85174199906</t>
  </si>
  <si>
    <t>MacGruer A.G.; Johnson S.D.; Nutt K.J.; Padgett M.J.; Gibson G.M.</t>
  </si>
  <si>
    <t>MacGruer, Angus G. (57472729500); Johnson, Steven D. (57201597351); Nutt, Kyle J. (57217629442); Padgett, Miles J. (7006967190); Gibson, Graham M. (7402074465)</t>
  </si>
  <si>
    <t>57472729500; 57201597351; 57217629442; 7006967190; 7402074465</t>
  </si>
  <si>
    <t>12795</t>
  </si>
  <si>
    <t>1279503</t>
  </si>
  <si>
    <t>Gas Detection; Gas Imaging; Industry; Methane; Real-time Imaging; UAV</t>
  </si>
  <si>
    <t>2-s2.0-85180003941</t>
  </si>
  <si>
    <t>Alzahrani M.Y.; Khan N.A.; Georgieva L.; Bamahdi A.M.; Abdulkader O.A.; Alahmadi A.H.</t>
  </si>
  <si>
    <t>Alzahrani, Mohammed Y. (56125509600); Khan, Nayeem Ahmad (57279347200); Georgieva, Lilia (12758695900); Bamahdi, Alawi M. (55375576200); Abdulkader, Omar Ahmed (57193140589); Alahmadi, Ahmed H. (57202775504)</t>
  </si>
  <si>
    <t>56125509600; 57279347200; 12758695900; 55375576200; 57193140589; 57202775504</t>
  </si>
  <si>
    <t>Indonesian Journal of Electrical Engineering and Informatics</t>
  </si>
  <si>
    <t>2-s2.0-85151440517</t>
  </si>
  <si>
    <t>Wan Z.; Cho J.-H.; Zhu M.; Anwar A.H.; Kamhoua C.; Singh M.</t>
  </si>
  <si>
    <t>Wan, Zelin (57219758895); Cho, Jin-Hee (55474140000); Zhu, Mu (57219693663); Anwar, Ahmed H. (55838805200); Kamhoua, Charles (36918490600); Singh, Munindar (36515667700)</t>
  </si>
  <si>
    <t>57219758895; 55474140000; 57219693663; 55838805200; 36918490600; 36515667700</t>
  </si>
  <si>
    <t>Proceedings of the International Symposium on Mobile Ad Hoc Networking and Computing (MobiHoc)</t>
  </si>
  <si>
    <t>deep reinforcement learning; defensive deception; game theory; honey drone; mission effectiveness; unmanned aerial vehicle</t>
  </si>
  <si>
    <t>2-s2.0-85176106458</t>
  </si>
  <si>
    <t>Shaaban A.M.; Jung O.; Schmittner C.</t>
  </si>
  <si>
    <t>Shaaban, Abdelkader Magdy (57195398725); Jung, Oliver (8919099800); Schmittner, Christoph (56358662500)</t>
  </si>
  <si>
    <t>57195398725; 8919099800; 56358662500</t>
  </si>
  <si>
    <t>14182 LNCS</t>
  </si>
  <si>
    <t>Cybersecurity; Potential Threats; Security Requirements; Threat Modelling; Unmanned Aerial Systems</t>
  </si>
  <si>
    <t>2-s2.0-85172418130</t>
  </si>
  <si>
    <t>Sharma J.; Mehra P.S.</t>
  </si>
  <si>
    <t>Sharma, Jatin (57994005100); Mehra, Pawan Singh (56829071100)</t>
  </si>
  <si>
    <t>57994005100; 56829071100</t>
  </si>
  <si>
    <t>Internet of Things (Netherlands)</t>
  </si>
  <si>
    <t>100883</t>
  </si>
  <si>
    <t>2-s2.0-85166307799</t>
  </si>
  <si>
    <t>Srirangam D.P.; Hemalatha K.; Vajravelu A.; Ashok Kumar N.</t>
  </si>
  <si>
    <t>Srirangam, Durga Prasad (58553160100); Hemalatha, K. (57822086900); Vajravelu, Ashok (36730675800); Ashok Kumar, N. (57132803500)</t>
  </si>
  <si>
    <t>58553160100; 57822086900; 36730675800; 57132803500</t>
  </si>
  <si>
    <t>Advanced Sciences and Technologies for Security Applications</t>
  </si>
  <si>
    <t>Part F1307</t>
  </si>
  <si>
    <t>2-s2.0-85169057516</t>
  </si>
  <si>
    <t>Al-Abdulwahhab F.; Baroudi U.</t>
  </si>
  <si>
    <t>Al-Abdulwahhab, Faten (58903488700); Baroudi, Uthman (15057644800)</t>
  </si>
  <si>
    <t>58903488700; 15057644800</t>
  </si>
  <si>
    <t>2023 20th International Multi-Conference on Systems, Signals and Devices, SSD 2023</t>
  </si>
  <si>
    <t>AODV; cybersecurity; DoS; drones; FANET; flooding attack; IoD; RREQ; UAV</t>
  </si>
  <si>
    <t>2-s2.0-85185837078</t>
  </si>
  <si>
    <t>Astor Y.; Nabesima Y.; Utami R.; Sihombing A.V.R.; Adli M.; Firdaus M.R.</t>
  </si>
  <si>
    <t>Astor, Yackob (57210573804); Nabesima, Yasuyuki (8548173300); Utami, Retno (57201590354); Sihombing, Atmy Verani Rouly (57208867279); Adli, Muhammad (58078072200); Firdaus, Muhammad Rizki (58078322100)</t>
  </si>
  <si>
    <t>57210573804; 8548173300; 57201590354; 57208867279; 58078072200; 58078322100</t>
  </si>
  <si>
    <t>Transportation Engineering</t>
  </si>
  <si>
    <t>100168</t>
  </si>
  <si>
    <t>Pavement distress; PCI; SDI; UAV</t>
  </si>
  <si>
    <t>2-s2.0-85149681140</t>
  </si>
  <si>
    <t>AL-Dosari K.; Deif A.M.; Kucukvar M.; Onat N.; Fetais N.</t>
  </si>
  <si>
    <t>AL-Dosari, Khalifa (57857372900); Deif, Ahmed M. (15020304700); Kucukvar, Murat (36661159000); Onat, Nuri (55931450800); Fetais, Noora (55395468600)</t>
  </si>
  <si>
    <t>57857372900; 15020304700; 36661159000; 55931450800; 55395468600</t>
  </si>
  <si>
    <t>555</t>
  </si>
  <si>
    <t>Qatar’s mega-sporting events; scale development; supply chain management (SCM); UAVs</t>
  </si>
  <si>
    <t>2-s2.0-85172299515</t>
  </si>
  <si>
    <t>Dwivedi S.; Sharma K.</t>
  </si>
  <si>
    <t>Dwivedi, Shiva (57220029905); Sharma, Kanchan (7402096587)</t>
  </si>
  <si>
    <t>57220029905; 7402096587</t>
  </si>
  <si>
    <t>2023 International Conference on Computer, Electronics and Electrical Engineering and their Applications, IC2E3 2023</t>
  </si>
  <si>
    <t>and Jamming; False Data Injection; Fuzzing; Spoofing; UAS Unmanned Ariel Vehicle Systems; UAV - Unmanned Ariel Vehicle; Vulnerability</t>
  </si>
  <si>
    <t>2-s2.0-85174526618</t>
  </si>
  <si>
    <t>AlRushood M.A.; Rahbar F.; Selim S.Z.; Dweiri F.</t>
  </si>
  <si>
    <t>AlRushood, Musaab A. (57220034091); Rahbar, Fred (58451884000); Selim, Shokri Z. (7006244964); Dweiri, Fikri (6508032260)</t>
  </si>
  <si>
    <t>57220034091; 58451884000; 7006244964; 6508032260</t>
  </si>
  <si>
    <t>313</t>
  </si>
  <si>
    <t>drones; IoT; pandemic; projects; supply chain; UAVs</t>
  </si>
  <si>
    <t>2-s2.0-85160278370</t>
  </si>
  <si>
    <t>Shafik W.</t>
  </si>
  <si>
    <t>Shafik, Wasswa (57210203704)</t>
  </si>
  <si>
    <t>57210203704</t>
  </si>
  <si>
    <t>Handbook of Research on Cybersecurity Risk in Contemporary Business Systems</t>
  </si>
  <si>
    <t>2-s2.0-85163441497</t>
  </si>
  <si>
    <t>Mynuddin M.; Khan S.U.; Mahmoud M.N.</t>
  </si>
  <si>
    <t>Mynuddin, Mohammed (24475358100); Khan, Sultan Uddin (58505429400); Mahmoud, Mahmoud Nabil (57156169400)</t>
  </si>
  <si>
    <t>24475358100; 58505429400; 57156169400</t>
  </si>
  <si>
    <t>Proceedings of the 2023 IEEE International Conference on Cyber Security and Resilience, CSR 2023</t>
  </si>
  <si>
    <t>2-s2.0-85171791297</t>
  </si>
  <si>
    <t>Kateb F.; Ragab M.</t>
  </si>
  <si>
    <t>Kateb, Faris (57215302036); Ragab, Mahmoud (55932216500)</t>
  </si>
  <si>
    <t>57215302036; 55932216500</t>
  </si>
  <si>
    <t>Computer Systems Science and Engineering</t>
  </si>
  <si>
    <t>47</t>
  </si>
  <si>
    <t>Aerial image classification; cybersecurity; deep learning; intrusion detection; remote sensing</t>
  </si>
  <si>
    <t>2-s2.0-85169707751</t>
  </si>
  <si>
    <t>Deebak B.D.; Hwang S.O.</t>
  </si>
  <si>
    <t>Deebak, B.D. (56333372500); Hwang, Seong Oun (7404626583)</t>
  </si>
  <si>
    <t>56333372500; 7404626583</t>
  </si>
  <si>
    <t>225</t>
  </si>
  <si>
    <t>109664</t>
  </si>
  <si>
    <t>Aerial ad hoc network; Artificial intelligence; B5G/6G; Multi-factor authentication; Security; Unmanned aerial vehicle</t>
  </si>
  <si>
    <t>2-s2.0-85149401041</t>
  </si>
  <si>
    <t>Truslow P.V.; Gelber M.; Klenke R.H.</t>
  </si>
  <si>
    <t>Truslow, Peter Vaughan (57219351719); Gelber, Matthew (59072843600); Klenke, Robert H. (6701636928)</t>
  </si>
  <si>
    <t>57219351719; 59072843600; 6701636928</t>
  </si>
  <si>
    <t>AIAA SciTech Forum and Exposition, 2023</t>
  </si>
  <si>
    <t>2-s2.0-85199040346</t>
  </si>
  <si>
    <t>Svaigen A.R.; Boukerche A.; Ruiz L.B.; Loureiro A.A.F.</t>
  </si>
  <si>
    <t>Svaigen, Alisson R. (57200691118); Boukerche, Azzedine (7005819374); Ruiz, Linnyer B. (24830786700); Loureiro, Antonio A.F. (7006541504)</t>
  </si>
  <si>
    <t>57200691118; 7005819374; 24830786700; 7006541504</t>
  </si>
  <si>
    <t>Ad Hoc Networks</t>
  </si>
  <si>
    <t>146</t>
  </si>
  <si>
    <t>103179</t>
  </si>
  <si>
    <t>Internet of Drones; Jamming Attack; UAV-based network</t>
  </si>
  <si>
    <t>2-s2.0-85153685010</t>
  </si>
  <si>
    <t>Hicks D.; Benkhelifa F.; Ahmad Z.; Statheros T.; Saied O.; Kaiwartya O.; Alsallami F.M.</t>
  </si>
  <si>
    <t>Hicks, Daniel (58551162100); Benkhelifa, Fatma (55440279000); Ahmad, Zahir (57191576847); Statheros, Thomas (17347063400); Saied, Osama (57191572004); Kaiwartya, Omprakash (55904487200); Alsallami, Farah Mahdi (55817188300)</t>
  </si>
  <si>
    <t>58551162100; 55440279000; 57191576847; 17347063400; 57191572004; 55904487200; 55817188300</t>
  </si>
  <si>
    <t>Photonics</t>
  </si>
  <si>
    <t>884</t>
  </si>
  <si>
    <t>2-s2.0-85168878710</t>
  </si>
  <si>
    <t>Muslimov T.; Kozlov E.; Munasypov R.</t>
  </si>
  <si>
    <t>Muslimov, Tagir (57197746832); Kozlov, Evgeny (58664770500); Munasypov, Rustem (7801613796)</t>
  </si>
  <si>
    <t>57197746832; 58664770500; 7801613796</t>
  </si>
  <si>
    <t>Proceedings - 2023 International Russian Automation Conference, RusAutoCon 2023</t>
  </si>
  <si>
    <t>collision avoidance; Multi-UAV system; obstacle avoidance; swarm control; UAV formation</t>
  </si>
  <si>
    <t>2-s2.0-85174972212</t>
  </si>
  <si>
    <t>Ojo T.P.; Chi H.; Hilliard E.; Yan J.</t>
  </si>
  <si>
    <t>Ojo, Taiwo P. (57679879000); Chi, Hongmei (8888500200); Hilliard, Emmanuel (58558736600); Yan, Jie (55467814000)</t>
  </si>
  <si>
    <t>57679879000; 8888500200; 58558736600; 55467814000</t>
  </si>
  <si>
    <t>Proceedings - 2023 8th International Conference on Automation, Control and Robotics Engineering, CACRE 2023</t>
  </si>
  <si>
    <t>CNN; Cybersecurity; Digital forensics; LSTM; Performance; SVM</t>
  </si>
  <si>
    <t>2-s2.0-85169446828</t>
  </si>
  <si>
    <t>Park Y.; Ryu D.; Kwon D.; Park Y.</t>
  </si>
  <si>
    <t>Park, Yohan (55660095600); Ryu, Daeun (58116873200); Kwon, Deokkyu (57221739597); Park, Youngho (56962990300)</t>
  </si>
  <si>
    <t>55660095600; 58116873200; 57221739597; 56962990300</t>
  </si>
  <si>
    <t>2034</t>
  </si>
  <si>
    <t>AVISPA; BAN logic; Internet of Drones; mutual authentication; PUF</t>
  </si>
  <si>
    <t>2-s2.0-85148882730</t>
  </si>
  <si>
    <t>Parameswarath R.P.; Sikdar B.</t>
  </si>
  <si>
    <t>Parameswarath, Rohini Poolat (57221852143); Sikdar, Biplab (7003523486)</t>
  </si>
  <si>
    <t>57221852143; 7003523486</t>
  </si>
  <si>
    <t>Decentralized identifier; drones; mutual authentication; privacy; security; unmanned aerial vehicles (UAVs); verifiable credential</t>
  </si>
  <si>
    <t>2-s2.0-85187378909</t>
  </si>
  <si>
    <t>Vajravelu A.; Ashok Kumar N.; Sarkar S.; Degadwala S.</t>
  </si>
  <si>
    <t>Vajravelu, Ashok (36730675800); Ashok Kumar, N. (57132803500); Sarkar, Swagata (56111873300); Degadwala, Sheshang (57192540864)</t>
  </si>
  <si>
    <t>36730675800; 57132803500; 56111873300; 57192540864</t>
  </si>
  <si>
    <t>2-s2.0-85169018601</t>
  </si>
  <si>
    <t>Chen J.; Li Z.; Wang Q.; Tang P.; Kong S.; Hu J.</t>
  </si>
  <si>
    <t>Chen, Jiayan (57196109181); Li, Zhiqian (58679659100); Wang, Qiang (56991659900); Tang, Ping (57204719310); Kong, Shuai (36134654700); Hu, Jiansheng (58155290200)</t>
  </si>
  <si>
    <t>57196109181; 58679659100; 56991659900; 57204719310; 36134654700; 58155290200</t>
  </si>
  <si>
    <t>Insight: Non-Destructive Testing and Condition Monitoring</t>
  </si>
  <si>
    <t>65</t>
  </si>
  <si>
    <t>heating pipeline; infrared image; leak detection; R3Det; UAV</t>
  </si>
  <si>
    <t>2-s2.0-85178101561</t>
  </si>
  <si>
    <t>Hafeez S.; Khan A.R.; Al-Quraan M.M.; Mohjazi L.; Zoha A.; Imran M.A.; Sun Y.</t>
  </si>
  <si>
    <t>Hafeez, Sana (57211147231); Khan, Ahsan Raza (57466995700); Al-Quraan, Mohammad M. (57218659713); Mohjazi, Lina (39161801900); Zoha, Ahmed (24777703300); Imran, Muhammad Ali (58153251900); Sun, Yao (57192200363)</t>
  </si>
  <si>
    <t>57211147231; 57466995700; 57218659713; 39161801900; 24777703300; 58153251900; 57192200363</t>
  </si>
  <si>
    <t>Blockchain; drone communication; federated learning; privacy; security; UAV networks</t>
  </si>
  <si>
    <t>2-s2.0-85164832870</t>
  </si>
  <si>
    <t>Rawat S.S.; Alotaibi Y.; Malsa N.; Gupta V.</t>
  </si>
  <si>
    <t>Rawat, Sur Singh (57216740627); Alotaibi, Youseef (55395786100); Malsa, Nitima (57215611309); Gupta, Vimal (56668210300)</t>
  </si>
  <si>
    <t>57216740627; 55395786100; 57215611309; 56668210300</t>
  </si>
  <si>
    <t>Computers, Materials and Continua</t>
  </si>
  <si>
    <t>76</t>
  </si>
  <si>
    <t>blockchain; data privacy; Ethereum; network security; smart contract; Unmanned aerial vehicles (UAVs)</t>
  </si>
  <si>
    <t>2-s2.0-85173473061</t>
  </si>
  <si>
    <t>Zheng X.; Yang J.; Tang C.; Lu S.; Ding J.; Kong Y.</t>
  </si>
  <si>
    <t>Zheng, Xiaodong (58883940700); Yang, Jun (57192452424); Tang, Chengkai (36643012300); Lu, Shan (57226381422); Ding, Jiawei (58068845800); Kong, Yicheng (57201530312)</t>
  </si>
  <si>
    <t>58883940700; 57192452424; 36643012300; 57226381422; 58068845800; 57201530312</t>
  </si>
  <si>
    <t>Proceedings of 2023 IEEE International Conference on Signal Processing, Communications and Computing, ICSPCC 2023</t>
  </si>
  <si>
    <t>drone deception; fusion deception; immersion; key point protection</t>
  </si>
  <si>
    <t>2-s2.0-85184854264</t>
  </si>
  <si>
    <t>Lemieszewski L.; Prochacki S.</t>
  </si>
  <si>
    <t>Lemieszewski, Lukasz (15077473100); Prochacki, Szymon (58851985200)</t>
  </si>
  <si>
    <t>15077473100; 58851985200</t>
  </si>
  <si>
    <t>Decision Maker; GNSS; GPS; Multiple Criterion Decision</t>
  </si>
  <si>
    <t>2-s2.0-85183571690</t>
  </si>
  <si>
    <t>Chavekar A.; Mulla Y.; Mane S.; Kumar S.; Kazi F.</t>
  </si>
  <si>
    <t>Chavekar, Amey (58968093800); Mulla, Yasir (58968754300); Mane, Sushant (58968754400); Kumar, Sunny (57213857288); Kazi, Faruk (36455806600)</t>
  </si>
  <si>
    <t>58968093800; 58968754300; 58968754400; 57213857288; 36455806600</t>
  </si>
  <si>
    <t>Proceedings - International Carnahan Conference on Security Technology</t>
  </si>
  <si>
    <t>Beyond Visual Line of Sight (BVLOS); Communication protocols; Direct-sequence spread spectrum (DSSS); Frequency-hopping spread spectrum (FUSS); Satellite Communications (SATCOM); unmanned aerial vehicles (UAV)</t>
  </si>
  <si>
    <t>2-s2.0-85208975742</t>
  </si>
  <si>
    <t>Feng Z.; Cao G.; Grigoriadis K.M.; Pan Q.</t>
  </si>
  <si>
    <t>Feng, Zhaowen (57221326509); Cao, Guoyan (56824920700); Grigoriadis, Karolos M. (7005715052); Pan, Quan (7202997700)</t>
  </si>
  <si>
    <t>57221326509; 56824920700; 7005715052; 7202997700</t>
  </si>
  <si>
    <t>Model-predictive control (MPC); Paillier homomorphic encryption; security and privacy; unmanned aerial system (UAS); unmanned aerial vehicles (UAVs)</t>
  </si>
  <si>
    <t>2-s2.0-85149363518</t>
  </si>
  <si>
    <t>Gowroju S.; Santhosh Ramchander N.</t>
  </si>
  <si>
    <t>Gowroju, Swathi (57221499478); Santhosh Ramchander, N. (57742856900)</t>
  </si>
  <si>
    <t>57221499478; 57742856900</t>
  </si>
  <si>
    <t>Drone Technology: Future Trends and Practical Applications</t>
  </si>
  <si>
    <t>2-s2.0-85161906478</t>
  </si>
  <si>
    <t>Mynuddin M.; Khan S.U.; Mahmoud M.N.; Alsharif A.</t>
  </si>
  <si>
    <t>Mynuddin, Mohammed (24475358100); Khan, Sultan Uddin (58505429400); Mahmoud, Mahmoud Nabil (57156169400); Alsharif, Ahmad (57195410201)</t>
  </si>
  <si>
    <t>24475358100; 58505429400; 57156169400; 57195410201</t>
  </si>
  <si>
    <t>2023 IEEE Conference on Communications and Network Security, CNS 2023</t>
  </si>
  <si>
    <t>2-s2.0-85177595250</t>
  </si>
  <si>
    <t>2-s2.0-85172450411</t>
  </si>
  <si>
    <t>Unnisa N.; Tatineni M.; Fatima K.; Pasha M.M.</t>
  </si>
  <si>
    <t>Unnisa, Nazeer (57217677918); Tatineni, Madhavi (55383903500); Fatima, Kaleem (26430845600); Pasha, Mohammad Mahaboob (57201006403)</t>
  </si>
  <si>
    <t>57217677918; 55383903500; 26430845600; 57201006403</t>
  </si>
  <si>
    <t>International Journal of Communication Systems</t>
  </si>
  <si>
    <t>36</t>
  </si>
  <si>
    <t>e5504</t>
  </si>
  <si>
    <t>anti-jamming; enhanced deep temporal convolutional network; future beam and proactive handoff prediction model; Hybrid Crow Black Widow Search Optimization; reconfigurable intelligent surfaces; THz communication system; unmanned aerial vehicle</t>
  </si>
  <si>
    <t>2-s2.0-85164369497</t>
  </si>
  <si>
    <t>Salam W.; Raazi S.K.-U.-R.; Ansari N.H.</t>
  </si>
  <si>
    <t>Salam, Waqas (58528821500); Raazi, Syed Khaliq-Ur-Rehman (23393798000); Ansari, Nauman Hafeez (58528687900)</t>
  </si>
  <si>
    <t>58528821500; 23393798000; 58528687900</t>
  </si>
  <si>
    <t>IMTIC 2023 - 7th International Multi-Topic ICT Conference 2023: AI Convergence towards Sustainable Communications</t>
  </si>
  <si>
    <t>Authentication; Cyberattack; Drone; HMAC-SHA256; IoD; IoT; PBKDF2; TOTP; UAV</t>
  </si>
  <si>
    <t>2-s2.0-85167416422</t>
  </si>
  <si>
    <t>12th Mediterranean Conference on Embedded Computing, MECO 2023</t>
  </si>
  <si>
    <t>cyber-attack; Drone swarm; GNSS Spoofing; GPS Spoofing; UAS; UAV swarm</t>
  </si>
  <si>
    <t>2-s2.0-85164967996</t>
  </si>
  <si>
    <t>Muthukrishnan R.; Kannan S.; Prabhu R.; Zhao Y.; Bhowmick P.</t>
  </si>
  <si>
    <t>Muthukrishnan, Ramkumar (58674417400); Kannan, Somasundar (55423781300); Prabhu, Radhakrishna (36632887700); Zhao, Yafan (15924692800); Bhowmick, Parijat (57189092781)</t>
  </si>
  <si>
    <t>58674417400; 55423781300; 36632887700; 15924692800; 57189092781</t>
  </si>
  <si>
    <t>12742</t>
  </si>
  <si>
    <t>127420C</t>
  </si>
  <si>
    <t>Aerial images; Cascade classifier; Image processing; Object detection; Object tracking</t>
  </si>
  <si>
    <t>2-s2.0-85176506630</t>
  </si>
  <si>
    <t>Naji H.R.; Ayati A.</t>
  </si>
  <si>
    <t>Naji, Hamid Reza (6602675299); Ayati, Aref (58719783600)</t>
  </si>
  <si>
    <t>6602675299; 58719783600</t>
  </si>
  <si>
    <t>14th International Conference on Information and Knowledge Technology, IKT 2023</t>
  </si>
  <si>
    <t>Cyber Security; Drone; RCV; Risk Management; UAV</t>
  </si>
  <si>
    <t>2-s2.0-85186768829</t>
  </si>
  <si>
    <t>Schermann R.; Ammerer T.; Stelzer P.; MacHer G.; Steger C.</t>
  </si>
  <si>
    <t>Schermann, Raphael (57226878912); Ammerer, Thomas (58743005500); Stelzer, Philipp (57208838135); MacHer, Georg (56418503500); Steger, Christian (35582717900)</t>
  </si>
  <si>
    <t>57226878912; 58743005500; 57208838135; 56418503500; 35582717900</t>
  </si>
  <si>
    <t>Proceedings - 2023 IEEE 34th International Symposium on Software Reliability Engineering Workshop, ISSREW 2023</t>
  </si>
  <si>
    <t>IDPS; safety; security; UAV</t>
  </si>
  <si>
    <t>2-s2.0-85178515791</t>
  </si>
  <si>
    <t>Gao Z.; Fan W.; Luo R.</t>
  </si>
  <si>
    <t>Gao, Zhenxu (58663425000); Fan, Wenjun (57199683358); Luo, Ruxue (58493711800)</t>
  </si>
  <si>
    <t>58663425000; 57199683358; 58493711800</t>
  </si>
  <si>
    <t>APNOMS 2023 - 24th Asia-Pacific Network Operations and Management Symposium: Intelligent Management for Enabling the Digital Transformation</t>
  </si>
  <si>
    <t>Drone; Quantum Encryption; Quantum Key Distribution; UAV</t>
  </si>
  <si>
    <t>2-s2.0-85174849344</t>
  </si>
  <si>
    <t>Garcia J.C.P.; Benslimane A.; Braeken A.; Su Z.</t>
  </si>
  <si>
    <t>Garcia, Julio Cesar Perez (57211801459); Benslimane, Abderrahim (7005984674); Braeken, An (55879025200); Su, Zhou (56237795400)</t>
  </si>
  <si>
    <t>57211801459; 7005984674; 55879025200; 56237795400</t>
  </si>
  <si>
    <t>authentication; blockchain; Internet of Drones (IoD); unmanned aerial vehicle (UAV); Î¼Tesla</t>
  </si>
  <si>
    <t>2-s2.0-85161060112</t>
  </si>
  <si>
    <t>Mahmoud H.H.; Al-Shammari M.K.M.; Amran G.A.; Eldin E.T.; Alareqi A.R.; Ghamry N.A.; ALnajjar E.; Almosharea E.</t>
  </si>
  <si>
    <t>Mahmoud, Halah Hasan (57216248938); Al-Shammari, Marwan Kadhim Mohammed (57202509899); Amran, Gehad Abdullah (57226720062); Eldin, Elsayed Tag (57925959400); Alareqi, Ala R. (58479006900); Ghamry, Nivin A. (8268651900); ALnajjar, Ehaa (58479574400); Almosharea, Esmail (57864923100)</t>
  </si>
  <si>
    <t>57216248938; 57202509899; 57226720062; 57925959400; 58479006900; 8268651900; 58479574400; 57864923100</t>
  </si>
  <si>
    <t>anti-submarine warfare; dragonfly algorithm; high altitude unmanned aerial vehicles; re-fragmentation; unmanned aerial vehicles; unmanned underwater vehicles; Unmanned vehicles</t>
  </si>
  <si>
    <t>2-s2.0-85164283161</t>
  </si>
  <si>
    <t>Shaaban A.; Jung O.; Soro F.; Fas-Millán M.-A.</t>
  </si>
  <si>
    <t>Shaaban, Abdelkader (57195398725); Jung, Oliver (8919099800); Soro, Francesca (57200151576); Fas-Millán, Miguel-Ángel (57208674613)</t>
  </si>
  <si>
    <t>57195398725; 8919099800; 57200151576; 57208674613</t>
  </si>
  <si>
    <t>ACM International Conference Proceeding Series</t>
  </si>
  <si>
    <t>Anomaly Detection; Security Analysis; U-space; Unmanned Aerial Vehicles; Unmanned Traffic Management</t>
  </si>
  <si>
    <t>2-s2.0-85174303239</t>
  </si>
  <si>
    <t>Michieletto G.; Formaggio F.; Cenedese A.; Tomasin S.</t>
  </si>
  <si>
    <t>Michieletto, Giulia (57188645521); Formaggio, Francesco (57202605840); Cenedese, Angelo (57199358579); Tomasin, Stefano (6506347573)</t>
  </si>
  <si>
    <t>57188645521; 57202605840; 57199358579; 6506347573</t>
  </si>
  <si>
    <t>IEEE Transactions on Automation Science and Engineering</t>
  </si>
  <si>
    <t>Mobility and navigation; multi-robot systems; sensing and networks; unmanned aerial vehicles</t>
  </si>
  <si>
    <t>2-s2.0-85139494834</t>
  </si>
  <si>
    <t>Sönmez M.; Pelin C.-E.; Georgescu M.; Pelin G.; Stelescu M.D.; Nituica M.; Stoian G.; Alexandrescu L.; Gurau D.</t>
  </si>
  <si>
    <t>Sönmez, Maria (51462081600); Pelin, Cristina-Elisabeta (56830407800); Georgescu, Mihai (42061241400); Pelin, George (56641851800); Stelescu, Maria Daniela (23570269200); Nituica, Mihaela (56309989300); Stoian, George (55319355300); Alexandrescu, Laurentia (25521098400); Gurau, Dana (54935157900)</t>
  </si>
  <si>
    <t>51462081600; 56830407800; 42061241400; 56641851800; 23570269200; 56309989300; 55319355300; 25521098400; 54935157900</t>
  </si>
  <si>
    <t>ICAMS Proceedings of the International Conference on Advanced Materials and Systems</t>
  </si>
  <si>
    <t>application; composite; UAV</t>
  </si>
  <si>
    <t>2-s2.0-85153511517</t>
  </si>
  <si>
    <t>Tsao K.-Y.; Girdler T.; Vassilakis V.G.</t>
  </si>
  <si>
    <t>Tsao, Kai-Yun (57720603000); Girdler, Thomas (57221683718); Vassilakis, Vassilios G. (23478613900)</t>
  </si>
  <si>
    <t>57720603000; 57221683718; 23478613900</t>
  </si>
  <si>
    <t>133</t>
  </si>
  <si>
    <t>102894</t>
  </si>
  <si>
    <t>Cyber security and privacy; Flying ad-hoc network (FANET); Unmanned aerial vehicle (UAV)</t>
  </si>
  <si>
    <t>2-s2.0-85131070076</t>
  </si>
  <si>
    <t>Wu J.; Ye J.; Zou J.; Gao J.; Sun X.; Cui K.</t>
  </si>
  <si>
    <t>Wu, Jie (59068771200); Ye, Jiaquan (57211972255); Zou, Jie (57209656409); Gao, Jing (57209656787); Sun, Xueman (58603674700); Cui, Kaitao (57217103953)</t>
  </si>
  <si>
    <t>59068771200; 57211972255; 57209656409; 57209656787; 58603674700; 57217103953</t>
  </si>
  <si>
    <t>2022 IEEE 5th International Conference on Electronics Technology, ICET 2022</t>
  </si>
  <si>
    <t>electromagnetic interference; electromagnetic radiation; navigation station; protection distance; UAV jammer</t>
  </si>
  <si>
    <t>2-s2.0-85136323604</t>
  </si>
  <si>
    <t>Loertthiraporn T.; Silakorn P.; Witoonsoontorn K.; Lertthanasart A.; Thepsriha S.; Laemkhowthong C.</t>
  </si>
  <si>
    <t>Loertthiraporn, Thirut (58151335100); Silakorn, Passaworn (57201384901); Witoonsoontorn, Kunachat (58150570900); Lertthanasart, Athipkiat (58151648100); Thepsriha, Suthisak (58151335200); Laemkhowthong, Chatchai (58151335300)</t>
  </si>
  <si>
    <t>58151335100; 57201384901; 58150570900; 58151648100; 58151335200; 58151335300</t>
  </si>
  <si>
    <t>International Petroleum Technology Conference, IPTC 2023</t>
  </si>
  <si>
    <t>2-s2.0-85150599954</t>
  </si>
  <si>
    <t>Mershad K.</t>
  </si>
  <si>
    <t>Mershad, Khaleel (23397813400)</t>
  </si>
  <si>
    <t>23397813400</t>
  </si>
  <si>
    <t>100495</t>
  </si>
  <si>
    <t>2-s2.0-85132439556</t>
  </si>
  <si>
    <t>Gaber T.; Guo X.F.; Salloum S.</t>
  </si>
  <si>
    <t>Gaber, Tarek (36824668600); Guo, Xin Fan (58398344600); Salloum, Said (57195670894)</t>
  </si>
  <si>
    <t>36824668600; 58398344600; 57195670894</t>
  </si>
  <si>
    <t>480 LNICST</t>
  </si>
  <si>
    <t>Algorithm Latency; Decision Tree; DoS attack; Machine learning; Smart cities</t>
  </si>
  <si>
    <t>2-s2.0-85163289689</t>
  </si>
  <si>
    <t>Veksler M.; Rodriguez D.L.; Aris A.; Akkaya K.; Uluagac A.S.</t>
  </si>
  <si>
    <t>Veksler, Maryna (57912295300); Rodriguez, David Langus (58089443600); Aris, Ahmet (53879369200); Akkaya, Kemal (6603154960); Uluagac, A. Selcuk (22735196300)</t>
  </si>
  <si>
    <t>57912295300; 58089443600; 53879369200; 6603154960; 22735196300</t>
  </si>
  <si>
    <t>Proceedings - IEEE Military Communications Conference MILCOM</t>
  </si>
  <si>
    <t>2022-November</t>
  </si>
  <si>
    <t>device fingerprinting; LoRa; Unmanned aerial vehicles (UAVs)</t>
  </si>
  <si>
    <t>2-s2.0-85147328550</t>
  </si>
  <si>
    <t>Singh A.; Sharma G.; Krishnamurthi R.; Kumar A.; Bhatia S.; Mashat A.</t>
  </si>
  <si>
    <t>Singh, Anuraj (57221149127); Sharma, Gaurav (57202965230); Krishnamurthi, Rajalakshmi (57211929482); Kumar, Adarsh (16744112800); Bhatia, Surbhi (56655934600); Mashat, Arwa (57211476380)</t>
  </si>
  <si>
    <t>57221149127; 57202965230; 57211929482; 16744112800; 56655934600; 57211476380</t>
  </si>
  <si>
    <t>Journal of Circuits, Systems and Computers</t>
  </si>
  <si>
    <t>2230010</t>
  </si>
  <si>
    <t>Artificial intelligence; Battlefield of Things (BoT); communication network; cybersecurity; drone system; Internet of Things (IoT) attacks; security policy and law; sensors and actuators; threat intelligence system; UAV - unmanned aerial vehicle</t>
  </si>
  <si>
    <t>2-s2.0-85136203824</t>
  </si>
  <si>
    <t>Aydin H.; Temizel C.; Yurukcu M.</t>
  </si>
  <si>
    <t>Aydin, Hakki (57218109052); Temizel, Cenk (13411283100); Yurukcu, Mesut (56700349200)</t>
  </si>
  <si>
    <t>57218109052; 13411283100; 56700349200</t>
  </si>
  <si>
    <t>Proceedings of the Annual Offshore Technology Conference</t>
  </si>
  <si>
    <t>2-s2.0-85149292617</t>
  </si>
  <si>
    <t>Karatzinis G.D.; Michailidis P.; Michailidis I.T.; Kapoutsis A.C.; Kosmatopoulos E.B.; Boutalis Y.S.</t>
  </si>
  <si>
    <t>Karatzinis, Georgios D. (57203895053); Michailidis, Panagiotis (57225278031); Michailidis, Iakovos T. (55654736200); Kapoutsis, Athanasios Ch. (55806879200); Kosmatopoulos, Elias B. (7003350547); Boutalis, Yiannis S. (6602518782)</t>
  </si>
  <si>
    <t>57203895053; 57225278031; 55654736200; 55806879200; 7003350547; 6602518782</t>
  </si>
  <si>
    <t>Integrated Computer-Aided Engineering</t>
  </si>
  <si>
    <t>aerial remote sensing; ansys fluent test-bed; dynamic plume tracking; Heterogeneous swarm intelligence; multi-agent planning</t>
  </si>
  <si>
    <t>2-s2.0-85138765681</t>
  </si>
  <si>
    <t>Ali K.; Joraimee Mohamad A.; Rifai D.; Hazim Aizuddin Othman M.; Mohamed Ayub M.A.; Hussian A.H.; Paw K.S.; Phing C.C.; Yaw C.T.; Ding T.J.</t>
  </si>
  <si>
    <t>Ali, Kharudin (36130958600); Joraimee Mohamad, A. (57883506300); Rifai, Damhuji (56167376800); Hazim Aizuddin Othman, M. (57884003900); Mohamed Ayub, Mohd Anuar (57883506400); Hussian, Ammar Husaini (57225082077); Paw, Koh Siaw (57884252700); Phing, Chen Chai (57884999200); Yaw, Chong Tak (36560884300); Ding, Tan Jiang (57883757200)</t>
  </si>
  <si>
    <t>36130958600; 57883506300; 56167376800; 57884003900; 57883506400; 57225082077; 57884252700; 57884999200; 36560884300; 57883757200</t>
  </si>
  <si>
    <t>2319</t>
  </si>
  <si>
    <t>012001</t>
  </si>
  <si>
    <t>2-s2.0-85137727595</t>
  </si>
  <si>
    <t>Liu R.; Xiao Y.; Li Z.; Cao H.</t>
  </si>
  <si>
    <t>Liu, Ruixi (57827619200); Xiao, Yuxin (57737881600); Li, Zhidong (57830608500); Cao, Hanlin (57830515300)</t>
  </si>
  <si>
    <t>57827619200; 57737881600; 57830608500; 57830515300</t>
  </si>
  <si>
    <t>2022 3rd International Conference on Computer Vision, Image and Deep Learning and International Conference on Computer Engineering and Applications, CVIDL and ICCEA 2022</t>
  </si>
  <si>
    <t>Artificial Intelligence; Computer Vision; Machine Learning; Object Detection</t>
  </si>
  <si>
    <t>2-s2.0-85135412237</t>
  </si>
  <si>
    <t>Abro G.E.M.; Zulkifli S.A.B.M.; Masood R.J.; Asirvadam V.S.; Laouti A.</t>
  </si>
  <si>
    <t>Abro, Ghulam E. Mustafa (57203095211); Zulkifli, Saiful Azrin B. M. (25927767800); Masood, Rana Javed (56383539900); Asirvadam, Vijanth Sagayan (24824003600); Laouti, Anis (57941381900)</t>
  </si>
  <si>
    <t>57203095211; 25927767800; 56383539900; 24824003600; 57941381900</t>
  </si>
  <si>
    <t>284</t>
  </si>
  <si>
    <t>advancement; classification; tracking and communication threats; unmanned aerial vehicle</t>
  </si>
  <si>
    <t>2-s2.0-85140591725</t>
  </si>
  <si>
    <t>Ojo T.; Chi H.; Erskine S.K.</t>
  </si>
  <si>
    <t>Ojo, Taiwo (57679879000); Chi, Hongmei (8888500200); Erskine, Samuel Kofi (57209251304)</t>
  </si>
  <si>
    <t>57679879000; 8888500200; 57209251304</t>
  </si>
  <si>
    <t>Proceedings - 2022 International Conference on Computational Science and Computational Intelligence, CSCI 2022</t>
  </si>
  <si>
    <t>Cyber-Attacks; Digital forensics; Drones; Machine Learning</t>
  </si>
  <si>
    <t>2-s2.0-85172022652</t>
  </si>
  <si>
    <t>Jacovic M.; Liston M.J.; Pano V.; Mainland G.; Dandekar K.R.</t>
  </si>
  <si>
    <t>Jacovic, Marko (57144399800); Liston, Michael J. (57218529451); Pano, Vasil (56878974700); Mainland, Geoffrey (16552783500); Dandekar, Kapil R. (7004328694)</t>
  </si>
  <si>
    <t>57144399800; 57218529451; 56878974700; 16552783500; 7004328694</t>
  </si>
  <si>
    <t>IET Cyber-Physical Systems: Theory and Applications</t>
  </si>
  <si>
    <t>cyber-physical systems; hardware-in-the-loop stimulation; telecommunication security</t>
  </si>
  <si>
    <t>2-s2.0-85123792804</t>
  </si>
  <si>
    <t>Pardhasaradhi B.; Cenkeramaddi L.R.</t>
  </si>
  <si>
    <t>Pardhasaradhi, Bethi (57222404298); Cenkeramaddi, Linga Reddy (15922248600)</t>
  </si>
  <si>
    <t>57222404298; 15922248600</t>
  </si>
  <si>
    <t>IEEE Sensors Journal</t>
  </si>
  <si>
    <t>drones tracking; GPS spoofing; multi-radar multi-drone tracking; sensor fusion; track-to-track association</t>
  </si>
  <si>
    <t>2-s2.0-85128673872</t>
  </si>
  <si>
    <t>Aouladhadj D.; Kpre E.; Freitas M.D.; Deniau V.; Gransart C.; Gaquiere C.</t>
  </si>
  <si>
    <t>Aouladhadj, Driss (57818850200); Kpre, Ettien (56582309700); Freitas, Mauro De (57203659613); Deniau, Virginie (24466454100); Gransart, Christophe (55917439900); Gaquiere, Christophe (7003970918)</t>
  </si>
  <si>
    <t>57818850200; 56582309700; 57203659613; 24466454100; 55917439900; 7003970918</t>
  </si>
  <si>
    <t>2022 3rd URSI Atlantic and Asia Pacific Radio Science Meeting, AT-AP-RASC 2022</t>
  </si>
  <si>
    <t>classification; confusion matrix; Convolutional Neural Network; detection; jamming; RF sensing; UAV</t>
  </si>
  <si>
    <t>2-s2.0-85134878464</t>
  </si>
  <si>
    <t>Viana J.; Farkhari H.; Campos L.M.; Sebastiao P.; Cercas F.; Bernardo L.; Dinis R.</t>
  </si>
  <si>
    <t>Viana, Joseanne (57224003097); Farkhari, Hamed (57365591800); Campos, Luis Miguel (57194220608); Sebastiao, Pedro (55900519300); Cercas, Francisco (8974593600); Bernardo, Luis (55540999300); Dinis, Rui (6701511111)</t>
  </si>
  <si>
    <t>57224003097; 57365591800; 57194220608; 55900519300; 8974593600; 55540999300; 6701511111</t>
  </si>
  <si>
    <t>2022-June</t>
  </si>
  <si>
    <t>4G; Convolutional Neural Networks (CNNs); Cybersecurity; Deep Learning; Jamming Detection; Jamming Identification; SG; UAV; Unmanned Aerial Vehicles</t>
  </si>
  <si>
    <t>2-s2.0-85137803729</t>
  </si>
  <si>
    <t>2022-May</t>
  </si>
  <si>
    <t>counter-drone system; jamming attacks; relative vehicle positioning; Signals of opportunity</t>
  </si>
  <si>
    <t>2-s2.0-85137260254</t>
  </si>
  <si>
    <t>Wu J.; Guo J.; Lv Z.</t>
  </si>
  <si>
    <t>Wu, Jingyi (57427529700); Guo, Jinkang (57406614200); Lv, Zhihan (55925162500)</t>
  </si>
  <si>
    <t>57427529700; 57406614200; 55925162500</t>
  </si>
  <si>
    <t>attack; deep learning; digital twins; dpfs frequent subgragh; security; unmanned aerial vehicle</t>
  </si>
  <si>
    <t>2-s2.0-85137267600</t>
  </si>
  <si>
    <t>Xiong D.; Wei W.; Zhang W.; Huang K.; Li B.; Zhang L.; Bian L.; Liu J.</t>
  </si>
  <si>
    <t>Xiong, Daoyang (57852958000); Wei, Wei (57852958100); Zhang, Wei (58372751500); Huang, Kai (57284839400); Li, Baohai (57284400100); Zhang, Li (57852393200); Bian, Liyun (57852812200); Liu, Jiali (57852740900)</t>
  </si>
  <si>
    <t>57852958000; 57852958100; 58372751500; 57284839400; 57284400100; 57852393200; 57852812200; 57852740900</t>
  </si>
  <si>
    <t>2022 IEEE 2nd International Conference on Electronic Technology, Communication and Information, ICETCI 2022</t>
  </si>
  <si>
    <t>Monitoring Management; Three-Dimensional Visualization; UAV Inspection; Wireless Sensing Technology</t>
  </si>
  <si>
    <t>2-s2.0-85136325924</t>
  </si>
  <si>
    <t>Hamadi R.; Ghazzai H.; Massoud Y.</t>
  </si>
  <si>
    <t>Hamadi, Raby (57218875428); Ghazzai, Hakim (55479977600); Massoud, Yehia (14018366500)</t>
  </si>
  <si>
    <t>57218875428; 55479977600; 14018366500</t>
  </si>
  <si>
    <t>2023 IEEE International Conference on Smart Mobility, SM 2023</t>
  </si>
  <si>
    <t>Intrusion Detection Systems; Reinforcement-Learning; Smart Cities; Unmanned Aerial Vehicles</t>
  </si>
  <si>
    <t>2-s2.0-85159852099</t>
  </si>
  <si>
    <t>Horovitz S.; Zexer I.; Ganot B.</t>
  </si>
  <si>
    <t>Horovitz, Shay (24766356300); Zexer, Israel (58243124400); Ganot, Ben (58242015400)</t>
  </si>
  <si>
    <t>24766356300; 58243124400; 58242015400</t>
  </si>
  <si>
    <t>2022 IEEE 7th International Conference on Intelligent Transportation Engineering, ICITE 2022</t>
  </si>
  <si>
    <t>drone; GPS; spoofing; UAV</t>
  </si>
  <si>
    <t>2-s2.0-85158817834</t>
  </si>
  <si>
    <t>Rugo A.; Ardagna C.A.; Ioini N.E.</t>
  </si>
  <si>
    <t>Rugo, Alessio (33568297700); Ardagna, Claudio A. (6507064597); Ioini, Nabil El (57950159100)</t>
  </si>
  <si>
    <t>33568297700; 6507064597; 57950159100</t>
  </si>
  <si>
    <t>ACM Computing Surveys</t>
  </si>
  <si>
    <t>55</t>
  </si>
  <si>
    <t>Cybersecurity; threats; unmanned aerial vehicles; unmanned aircraft systems</t>
  </si>
  <si>
    <t>2-s2.0-85127210838</t>
  </si>
  <si>
    <t>Wei S.; Huang H.; Chen G.; Blasch E.; Chen Y.; Xu R.; Pham K.</t>
  </si>
  <si>
    <t>Wei, Sixiao (55812927000); Huang, Hui (59112806300); Chen, Genshe (14618921800); Blasch, Erik (7003503895); Chen, Yu (57203162576); Xu, Ronghua (57202455922); Pham, Khanh (7005618744)</t>
  </si>
  <si>
    <t>55812927000; 59112806300; 14618921800; 7003503895; 57203162576; 57202455922; 7005618744</t>
  </si>
  <si>
    <t>2023-April</t>
  </si>
  <si>
    <t>Anomaly Detection; Container-Based Microservices; Decentralized; Edge-Fog-Cloud Computing; Machine Learning</t>
  </si>
  <si>
    <t>2-s2.0-85160641039</t>
  </si>
  <si>
    <t>Sanghavi P.; Kaur H.</t>
  </si>
  <si>
    <t>Sanghavi, Priyansh (58114427000); Kaur, Hargeet (57195739115)</t>
  </si>
  <si>
    <t>58114427000; 57195739115</t>
  </si>
  <si>
    <t>Proceedings of the 17th INDIACom; 2023 10th International Conference on Computing for Sustainable Global Development, INDIACom 2023</t>
  </si>
  <si>
    <t>Cyber Attack; Cyber Security; Cyber Threat; UAVs; Unmanned Aerial Vehicles</t>
  </si>
  <si>
    <t>2-s2.0-85159611542</t>
  </si>
  <si>
    <t>Tanveer M.; Khan A.U.; Kumar N.; Hassan M.M.</t>
  </si>
  <si>
    <t>Tanveer, Muhammad (57214601656); Khan, Abd Ullah (57188812513); Kumar, Neeraj (57206866080); Hassan, Mohammad Mehedi (57201949986)</t>
  </si>
  <si>
    <t>57214601656; 57188812513; 57206866080; 57201949986</t>
  </si>
  <si>
    <t>Access control; authenticated encryption with associative data (AEAD); authentication; Internet of Drones (IoD); security</t>
  </si>
  <si>
    <t>2-s2.0-85107327322</t>
  </si>
  <si>
    <t>Agyemang I.O.; Zhang X.; Adjei-Mensah I.; Agbley B.L.Y.; Mawuli B.C.; Fiasam L.D.; Sey C.</t>
  </si>
  <si>
    <t>Agyemang, Isaac Osei (22633358900); Zhang, Xiaoling (52265071000); Adjei-Mensah, Isaac (57669527700); Agbley, Bless Lord Y. (57221745526); Mawuli, Bernard Cobbinah (57221744420); Fiasam, Linda Delali (57473497400); Sey, Collins (57323731400)</t>
  </si>
  <si>
    <t>22633358900; 52265071000; 57669527700; 57221745526; 57221744420; 57473497400; 57323731400</t>
  </si>
  <si>
    <t>Journal of Intelligent and Fuzzy Systems</t>
  </si>
  <si>
    <t>43</t>
  </si>
  <si>
    <t>autonomous; deep convolutional neural network; drone; Navigation; unmanned aerial vehicle; waypoint</t>
  </si>
  <si>
    <t>2-s2.0-85145655997</t>
  </si>
  <si>
    <t>Kaushik K.; Negi R.; Dev P.</t>
  </si>
  <si>
    <t>Kaushik, Keshav (57189443247); Negi, Rahul (58072552000); Dev, Prabhav (58073053200)</t>
  </si>
  <si>
    <t>57189443247; 58072552000; 58073053200</t>
  </si>
  <si>
    <t>Proceedings of 5th International Conference on Contemporary Computing and Informatics, IC3I 2022</t>
  </si>
  <si>
    <t>Electronic Warfare; Wi-Fi; Wi-Fi Jammer; Wireless; wireless attacks</t>
  </si>
  <si>
    <t>2-s2.0-85152034263</t>
  </si>
  <si>
    <t>Liu S.; Chen J.; Hong G.; Cao L.; Wu M.</t>
  </si>
  <si>
    <t>Liu, Shaogang (57205205133); Chen, Jiangli (57609500400); Hong, Guihua (57212270049); Cao, Lizhu (57607909700); Wu, Ming (57608438500)</t>
  </si>
  <si>
    <t>57205205133; 57609500400; 57212270049; 57607909700; 57608438500</t>
  </si>
  <si>
    <t>network security; security protection; security risk; UAV system</t>
  </si>
  <si>
    <t>2-s2.0-85149942126</t>
  </si>
  <si>
    <t>Chiper F.-L.; Martian A.; Muscalu D.-I.; Vladeanu C.; Marghescu I.</t>
  </si>
  <si>
    <t>Chiper, Florin-Lucian (57271220200); Martian, Alexandru (36241906900); Muscalu, Daniel-Ionut (57824273400); Vladeanu, Calin (24450913200); Marghescu, Ion (6507297205)</t>
  </si>
  <si>
    <t>57271220200; 36241906900; 57824273400; 24450913200; 6507297205</t>
  </si>
  <si>
    <t>14th International Conference on Communications, COMM 2022 - Proceedings</t>
  </si>
  <si>
    <t>drone; drone defense system; jamming; software defined radio; spectrum sensing; UAV</t>
  </si>
  <si>
    <t>2-s2.0-85135184003</t>
  </si>
  <si>
    <t>Usman M.; Amin R.; Aldabbas H.; Alouffi B.</t>
  </si>
  <si>
    <t>Usman, Muhammad (58716826200); Amin, Rashid (57193614173); Aldabbas, Hamza (42961050600); Alouffi, Bader (57219716150)</t>
  </si>
  <si>
    <t>58716826200; 57193614173; 42961050600; 57219716150</t>
  </si>
  <si>
    <t>1026</t>
  </si>
  <si>
    <t>2-s2.0-85127045058</t>
  </si>
  <si>
    <t>Khan A.; Ivaki N.; Madeira H.</t>
  </si>
  <si>
    <t>Khan, Anamta (57249622000); Ivaki, Naghmeh (55556863000); Madeira, Henrique (7004929011)</t>
  </si>
  <si>
    <t>57249622000; 55556863000; 7004929011</t>
  </si>
  <si>
    <t>Proceedings of IEEE Pacific Rim International Symposium on Dependable Computing, PRDC</t>
  </si>
  <si>
    <t>Extended Kalman Filter (EKF); Fault Injection; Flight Controller Software; Reliability; UAVs</t>
  </si>
  <si>
    <t>2-s2.0-85147841486</t>
  </si>
  <si>
    <t>Wang X.; Gursoy M.C.</t>
  </si>
  <si>
    <t>Wang, Xueyuan (57201552341); Gursoy, M. Cenk (9736475700)</t>
  </si>
  <si>
    <t>57201552341; 9736475700</t>
  </si>
  <si>
    <t>IEEE Transactions on Information Forensics and Security</t>
  </si>
  <si>
    <t>IoT networks; jamming attack; reinforcement learning; UAV path planning</t>
  </si>
  <si>
    <t>2-s2.0-85153392551</t>
  </si>
  <si>
    <t>Costa J.; Matos R.; Araujo J.; Li J.; Choi E.; Nguyen T.A.; Lee J.-W.; Min D.</t>
  </si>
  <si>
    <t>Costa, Jackson (58076287700); Matos, Rubens (54785034600); Araujo, Jean (7102674226); Li, Jueying (58076014900); Choi, Eunmi (8969714200); Nguyen, Tuan Anh (56433780500); Lee, Jae-Woo (57203409283); Min, Dugki (7201670327)</t>
  </si>
  <si>
    <t>58076287700; 54785034600; 7102674226; 58076014900; 8969714200; 56433780500; 57203409283; 7201670327</t>
  </si>
  <si>
    <t>35</t>
  </si>
  <si>
    <t>cloud-in-the-loop simulation; K3S; Kubernetes; Nginx; operational digital twin; software aging; software rejuvenation; urban air mobility</t>
  </si>
  <si>
    <t>2-s2.0-85146797606</t>
  </si>
  <si>
    <t>Silva D.L.D.; MacHado R.; Coutinho O.L.; Antreich F.</t>
  </si>
  <si>
    <t>Silva, Douglas Lopes Da (57217311088); MacHado, Renato (7101977934); Coutinho, Olympio L. (15924727200); Antreich, Felix (23990221600)</t>
  </si>
  <si>
    <t>57217311088; 7101977934; 15924727200; 23990221600</t>
  </si>
  <si>
    <t>C-UAS; drones; Q-learning; reinforcement learning; software-in-the-loop; UAV</t>
  </si>
  <si>
    <t>2-s2.0-85149828020</t>
  </si>
  <si>
    <t>Baig Z.; Syed N.; Mohammad N.</t>
  </si>
  <si>
    <t>Baig, Zubair (14008320400); Syed, Naeem (57195356507); Mohammad, Nazeeruddin (55799662500)</t>
  </si>
  <si>
    <t>14008320400; 57195356507; 55799662500</t>
  </si>
  <si>
    <t>205</t>
  </si>
  <si>
    <t>criminal activity; cyber attacks; drones; machine learning</t>
  </si>
  <si>
    <t>2-s2.0-85133522893</t>
  </si>
  <si>
    <t>13414 LNCS</t>
  </si>
  <si>
    <t>The proceedings contain 24 papers. The special focus in this conference is on Computer Safety, Reliability and Security. The topics include: STPA-Driven Multilevel Runtime Monitoring for In-Time Hazard Detection; proposal of Cybersecurity and Safety Co-engineering Approaches on Cyber-Physical Systems; On the Feasibility and Performance of Secure OPC UA Communication with IIoT Devices; SailFAIL: Model-Derived Simulation-Assisted ISA-Level Fault-Injection Platforms; quality of Fault Injection Strategies on Hardware Accelerator; assessment of the Impact of U-space Faulty Conditions on Drones Conflict Rate; ACTOR: Accelerating Fault Injection Campaigns Using Timeout Detection Based on Autocorrelation; formally Compensating Performance Limitations for Imprecise 2D Object Detection; architectural Patterns for Handling Runtime Uncertainty of Data-Driven Models in Safety-Critical Perception; bayesianSafety - An Open-Source Package for Causality-Guided, Multi-model Safety Analysis; Hardware Faults that Matter: Understanding and Estimating the Safety Impact of Hardware Faults on Object Detection DNNs; Application of STPA for the Elicitation of Safety Requirements for a Machine Learning-Based Perception Component in Automotive; Exploring a Maximal Number of Relevant Obstacles for Testing UAVs; data-Driven Assessment of Parameterized Scenarios for Autonomous Vehicles; optimising the Reliability that Can Be Claimed for a Software-Based System Based on Failure-Free Tests of Its Components; safety Certification with the Open Source Microkernel-Based Operating System L4Re; data-Driven Inference of Fault Tree Models Exploiting Symmetry and Modularization; ARACHNE: Automated Validation of Assurance Cases with Stochastic Contract Networks; automating Pattern Selection for Assurance Case Development for Cyber-Physical Systems; generating Assurance Cases Using Workflow+ Models; Uncertainty Elicitation and Propagation in GSN Models of Assurance Cases; impact of Machine Learning on Safety Monitors.</t>
  </si>
  <si>
    <t>2-s2.0-85137973519</t>
  </si>
  <si>
    <t>Aydln E.E.; Kara O.; Cakir F.; Cansiz B.S.; Secinti G.; Canberk B.</t>
  </si>
  <si>
    <t>Aydln, Esin Ece (57830273200); Kara, Omer (57830273300); Cakir, Furkan (57829900500); Cansiz, Berna Simsek (57830555500); Secinti, Gokhan (55772480100); Canberk, Berk (35084950600)</t>
  </si>
  <si>
    <t>57830273200; 57830273300; 57829900500; 57830555500; 55772480100; 35084950600</t>
  </si>
  <si>
    <t>DroNet 2022 - Proceedings of the 2022 8th Workshop on Micro Aerial Vehicle Networks, Systems, and Applications, Part of MobiSys 2022</t>
  </si>
  <si>
    <t>ad hoc networks; aerial swarms; contention; protocol design; self-organizing time division multiple access (STDMA)</t>
  </si>
  <si>
    <t>2-s2.0-85135403396</t>
  </si>
  <si>
    <t>Causa F.; Fasano G.</t>
  </si>
  <si>
    <t>Causa, Flavia (57193775010); Fasano, Giancarmine (16174945500)</t>
  </si>
  <si>
    <t>57193775010; 16174945500</t>
  </si>
  <si>
    <t>2023 IEEE/ION Position, Location and Navigation Symposium, PLANS 2023</t>
  </si>
  <si>
    <t>cooperative UAVs; GNSS integrity monitoring; Multipath; Navigation; Spoofing</t>
  </si>
  <si>
    <t>2-s2.0-85162860531</t>
  </si>
  <si>
    <t>Bhandarkar A.B.; Jayaweera S.K.; Lane S.A.</t>
  </si>
  <si>
    <t>Bhandarkar, Adhitya Bantwal (57415877300); Jayaweera, Sudharman K. (6701665728); Lane, Steven A. (55174955400)</t>
  </si>
  <si>
    <t>57415877300; 6701665728; 55174955400</t>
  </si>
  <si>
    <t>Adversarial attacks; Deep Q-Network (DQN); Deep Reinforcement Learning (DRL); Optimal trajectory learning; Unmanned Aerial Vehicles (UAVs); wireless user coverage</t>
  </si>
  <si>
    <t>2-s2.0-85147324144</t>
  </si>
  <si>
    <t>Colter J.; Kinnison M.; Henderson A.; Schlager S.M.; Bryan S.; O'Grady K.L.; Abballe A.; Harbour S.</t>
  </si>
  <si>
    <t>Colter, Jamison (57966289200); Kinnison, Matthew (57966198900); Henderson, Alex (57944938900); Schlager, Stephen M. (57966344300); Bryan, Samuel (57966317000); O'Grady, Katherine L. (57966317400); Abballe, Ashlie (57966170800); Harbour, Steven (57050266700)</t>
  </si>
  <si>
    <t>57966289200; 57966198900; 57944938900; 57966344300; 57966317000; 57966317400; 57966170800; 57050266700</t>
  </si>
  <si>
    <t>2022-September</t>
  </si>
  <si>
    <t>cyberattack; cybersecurity; DDoS; distributed denial-of-service; drone; man-in-the-middle; mitm; spoofing; UAS; Unmanned Aerial Systems</t>
  </si>
  <si>
    <t>2-s2.0-85141936865</t>
  </si>
  <si>
    <t>Amit R.A.; Mohan C.K.</t>
  </si>
  <si>
    <t>Amit, Rasna A. (57330954900); Mohan, C. Krishna (55325461200)</t>
  </si>
  <si>
    <t>57330954900; 55325461200</t>
  </si>
  <si>
    <t>IEEE Aerospace Conference Proceedings</t>
  </si>
  <si>
    <t>2022-March</t>
  </si>
  <si>
    <t>2-s2.0-85137568376</t>
  </si>
  <si>
    <t>Ahmed M.; Cox D.; Simpson B.; Aloufi A.</t>
  </si>
  <si>
    <t>Ahmed, Mohiuddin (57206975377); Cox, David (57455208700); Simpson, Benjamin (57455360800); Aloufi, Aseel (57455517000)</t>
  </si>
  <si>
    <t>57206975377; 57455208700; 57455360800; 57455517000</t>
  </si>
  <si>
    <t>1990</t>
  </si>
  <si>
    <t>2-s2.0-85124757139</t>
  </si>
  <si>
    <t>Luo S.; Liu X.</t>
  </si>
  <si>
    <t>Luo, Sumeng (58243760100); Liu, Xin (57209845280)</t>
  </si>
  <si>
    <t>58243760100; 57209845280</t>
  </si>
  <si>
    <t>2023 3rd International Conference on Neural Networks, Information and Communication Engineering, NNICE 2023</t>
  </si>
  <si>
    <t>drones; intelligent jamming; neural networks; reinforcement learning</t>
  </si>
  <si>
    <t>2-s2.0-85158963090</t>
  </si>
  <si>
    <t>da Silva Y.M.R.; Andrade F.A.A.; Sousa L.; de Castro G.G.R.; Dias J.T.; Berger G.; Lima J.; Pinto M.F.</t>
  </si>
  <si>
    <t>da Silva, Yago M. R. (58032073500); Andrade, Fabio A. A. (57204611258); Sousa, Lucas (57219305375); de Castro, Gabriel G. R. (57504870000); Dias, João T. (57195606047); Berger, Guido (57386208300); Lima, José (55851941311); Pinto, Milena F. (56368367700)</t>
  </si>
  <si>
    <t>58032073500; 57204611258; 57219305375; 57504870000; 57195606047; 57386208300; 55851941311; 56368367700</t>
  </si>
  <si>
    <t>410</t>
  </si>
  <si>
    <t>automatic inspection; computer vision; pipe inspection; unmanned aerial system</t>
  </si>
  <si>
    <t>2-s2.0-85144836335</t>
  </si>
  <si>
    <t>Dang Y.; Benzaid C.; Yang B.; Taleb T.; Shen Y.</t>
  </si>
  <si>
    <t>Dang, Yongchao (57221995717); Benzaid, Chafika (25923291700); Yang, Bin (55584795503); Taleb, Tarik (6602641627); Shen, Yulong (8537823200)</t>
  </si>
  <si>
    <t>57221995717; 25923291700; 55584795503; 6602641627; 8537823200</t>
  </si>
  <si>
    <t>Deep ensemble learning; global positioning system (GPS) spoofing; multilayer perceptron (MLP); path loss; unmanned aerial vehicle (UAV)</t>
  </si>
  <si>
    <t>2-s2.0-85135752617</t>
  </si>
  <si>
    <t>Toma A.; Cecchinato N.; Drioli C.; Oliva G.; Ferrin G.; Sechi G.; Foresti G.L.</t>
  </si>
  <si>
    <t>Toma, Andrea (56303677700); Cecchinato, Niccolò (57230287600); Drioli, Carlo (6603112728); Oliva, Giuseppe (57987637600); Ferrin, Giovanni (35190294600); Sechi, Gianluigi (57987749400); Foresti, Gian Luca (7006427233)</t>
  </si>
  <si>
    <t>56303677700; 57230287600; 6603112728; 57987637600; 35190294600; 57987749400; 7006427233</t>
  </si>
  <si>
    <t xml:space="preserve">Nowadays, UAVs are of fundamental importance in numerous civil applications like search and rescue and military applications like monitoring and patrolling or counter-UAV where the remote UAV nodes collect sensor data. In the last case, flying UAVs collect environmental data to be used to contrast external attacks launched by adversary drones. However, due to the limited computing resources on board of the acquisition UAVs, most of the signal processing is still performed on a ground central unit where the sensor data is sent wirelessly. This poses serious security problems from malicious entities such as cyber attacks that exploit vulnerabilities at the application level. One possibility to reduce the risk is to concentrate part of the computing onboard of the remote nodes. In this context, we propose a framework where detection of nearby drones and their localization and tracking can be performed in real-time on the small computing devices mounted on board of the drones. Background subtraction is applied to the video frames for pre-processing with the objective of an on-board UAV detection using machine-vision algorithms. For the localization and tracking of the detected UAV, multi-channel acoustic signals are instead considered and DOA estimations are obtained through the MUSIC algorithm. In this work, the proposed idea is described in detail along with some experiments and, then, methods of effective implementation are provided.  © 2022 The Author(s). </t>
  </si>
  <si>
    <t>audio MUSIC localization; detection localization; onboard multimedia processing; tracking; UAV security; video background subtraction</t>
  </si>
  <si>
    <t>2-s2.0-85143078617</t>
  </si>
  <si>
    <t>Mairaj A.; Javaid A.Y.</t>
  </si>
  <si>
    <t>Mairaj, Aakif (57204772705); Javaid, Ahmad Y. (55613342900)</t>
  </si>
  <si>
    <t>57204772705; 55613342900</t>
  </si>
  <si>
    <t>211</t>
  </si>
  <si>
    <t>108962</t>
  </si>
  <si>
    <t>DDoS attack; Drone security; FANETs; Game theory; Quantal response equilibrium</t>
  </si>
  <si>
    <t>2-s2.0-85129748173</t>
  </si>
  <si>
    <t>Ren Y.; Wang Z.</t>
  </si>
  <si>
    <t>Ren, Yan (50661884800); Wang, Zhiqiang (36761776700)</t>
  </si>
  <si>
    <t>50661884800; 36761776700</t>
  </si>
  <si>
    <t>Proceedings - 2022 International Conference on Machine Learning, Cloud Computing and Intelligent Mining, MLCCIM 2022</t>
  </si>
  <si>
    <t>deep learning; image matching; image preprocessing; UAV; visual localization</t>
  </si>
  <si>
    <t>2-s2.0-85143800316</t>
  </si>
  <si>
    <t>Davidovich B.; Nassi B.; Elovici Y.</t>
  </si>
  <si>
    <t>Davidovich, Barak (57409835500); Nassi, Ben (57202915015); Elovici, Yuval (6602317815)</t>
  </si>
  <si>
    <t>57409835500; 57202915015; 6602317815</t>
  </si>
  <si>
    <t>2608</t>
  </si>
  <si>
    <t>countermeasures; drones; GPS spoofing</t>
  </si>
  <si>
    <t>2-s2.0-85127119339</t>
  </si>
  <si>
    <t>Valianti P.; Papaioannou S.; Kolios P.; Ellinas G.</t>
  </si>
  <si>
    <t>Valianti, Panayiota (57219724817); Papaioannou, Savvas (56566305600); Kolios, Panayiotis (35932458400); Ellinas, Georgios (7004484129)</t>
  </si>
  <si>
    <t>57219724817; 56566305600; 35932458400; 7004484129</t>
  </si>
  <si>
    <t>decision and control; jamming; Multi-agent tracking; optimization</t>
  </si>
  <si>
    <t>2-s2.0-85101888167</t>
  </si>
  <si>
    <t>We J.; Ye J.; Zou J.; Gao J.; Cui K.</t>
  </si>
  <si>
    <t>We, Jie (58095404800); Ye, Jiaquan (57211972255); Zou, Jie (57209656409); Gao, Jing (57209656787); Cui, Kaitao (57217103953)</t>
  </si>
  <si>
    <t>58095404800; 57211972255; 57209656409; 57209656787; 57217103953</t>
  </si>
  <si>
    <t>IMCEC 2022 - IEEE 5th Advanced Information Management, Communicates, Electronic and Automation Control Conference</t>
  </si>
  <si>
    <t>Electromagnetic interference; Instrument landing system; Protection distance; Protection rate; UAV jamming equipment</t>
  </si>
  <si>
    <t>2-s2.0-85147668775</t>
  </si>
  <si>
    <t>Munir M.S.; Dipro S.H.; Hasan K.; Islam T.; Shetty S.</t>
  </si>
  <si>
    <t>Munir, Md. Shirajum (57212317527); Dipro, Sumit Howlader (58073062100); Hasan, Kamrul (59397742600); Islam, Tariqul (57213772433); Shetty, Sachin (8970891400)</t>
  </si>
  <si>
    <t>57212317527; 58073062100; 59397742600; 57213772433; 8970891400</t>
  </si>
  <si>
    <t>755</t>
  </si>
  <si>
    <t>2-s2.0-85146590003</t>
  </si>
  <si>
    <t>Crippa P.</t>
  </si>
  <si>
    <t>Crippa, Paolo (58250683300)</t>
  </si>
  <si>
    <t>58250683300</t>
  </si>
  <si>
    <t>Handbook of Security Science</t>
  </si>
  <si>
    <t>2-s2.0-85159500263</t>
  </si>
  <si>
    <t>Li H.; Zhang Y.; Dan Z.; Ma L.; Zhang C.; Wang Q.</t>
  </si>
  <si>
    <t>Li, Haobo (57934767900); Zhang, Yi (56888594600); Dan, Zesheng (57201363565); Ma, Lejing (57933983600); Zhang, Cunle (57878381100); Wang, Quanquan (58068999800)</t>
  </si>
  <si>
    <t>57934767900; 56888594600; 57201363565; 57933983600; 57878381100; 58068999800</t>
  </si>
  <si>
    <t>2022 IEEE International Conference on Signal Processing, Communications and Computing, ICSPCC 2022</t>
  </si>
  <si>
    <t>A large number of UAVs; Artificial bee colony; Distributed optimization; Interference efficiency</t>
  </si>
  <si>
    <t>2-s2.0-85146432634</t>
  </si>
  <si>
    <t>Sathaye H.; LaMountain G.; Closas P.; Ranganathan A.</t>
  </si>
  <si>
    <t>Sathaye, Harshad (57209179350); LaMountain, Gerald (56438015000); Closas, Pau (16068074200); Ranganathan, Aanjhan (55210447400)</t>
  </si>
  <si>
    <t>57209179350; 56438015000; 16068074200; 55210447400</t>
  </si>
  <si>
    <t>29th Annual Network and Distributed System Security Symposium, NDSS 2022</t>
  </si>
  <si>
    <t>2-s2.0-85139891525</t>
  </si>
  <si>
    <t>Bera B.; Das A.K.; Garg S.; Jalil Piran M.; Hossain M.S.</t>
  </si>
  <si>
    <t>Bera, Basudeb (57214777647); Das, Ashok Kumar (55450732800); Garg, Sahil (55601765300); Jalil Piran, Md. (56565456500); Hossain, M. Shamim (24066717900)</t>
  </si>
  <si>
    <t>57214777647; 55450732800; 55601765300; 56565456500; 24066717900</t>
  </si>
  <si>
    <t>Access control; battlefield surveillance; drones; Internet of Things (IoT); key agreement; security</t>
  </si>
  <si>
    <t>2-s2.0-85099216108</t>
  </si>
  <si>
    <t>Cheranev A.; Panchenko S.</t>
  </si>
  <si>
    <t>Cheranev, Alexander (57236788000); Panchenko, Stepan (57208834899)</t>
  </si>
  <si>
    <t>57236788000; 57208834899</t>
  </si>
  <si>
    <t>Proceedings - 2022 Ural Symposium on Biomedical Engineering, Radioelectronics and Information Technology, USBEREIT 2022</t>
  </si>
  <si>
    <t>communication protocol; detection; drone; software-defined radio system; UAV</t>
  </si>
  <si>
    <t>2-s2.0-85141844533</t>
  </si>
  <si>
    <t>IDIMT 2022 - Digitalization of Society, Business and Management in a Pandemic: 30th Interdisciplinary Information Management Talks</t>
  </si>
  <si>
    <t>Cybersecurity; Potential Threats; Security Mechanisms; Security Services</t>
  </si>
  <si>
    <t>2-s2.0-85137149158</t>
  </si>
  <si>
    <t>Prasanna Srinivasan S.; Sathyadevan S.</t>
  </si>
  <si>
    <t>Prasanna Srinivasan, S. (58360864400); Sathyadevan, Shiju (55212153100)</t>
  </si>
  <si>
    <t>58360864400; 55212153100</t>
  </si>
  <si>
    <t>ISDFS 2023 - 11th International Symposium on Digital Forensics and Security</t>
  </si>
  <si>
    <t>GPS spoofing; MPU; path loss; UAV</t>
  </si>
  <si>
    <t>2-s2.0-85163053025</t>
  </si>
  <si>
    <t>Wei S.; Li L.; Chen G.; Blasch E.; Chang K.-C.; Clemons T.M.; Pham K.</t>
  </si>
  <si>
    <t>Wei, Sixiao (55812927000); Li, Li (57221560496); Chen, Genshe (14618921800); Blasch, Erik (7003503895); Chang, Kuo-Chu (55702958400); Clemons, Thomas M. (14522187900); Pham, Khanh (7005618744)</t>
  </si>
  <si>
    <t>55812927000; 57221560496; 14618921800; 7003503895; 55702958400; 14522187900; 7005618744</t>
  </si>
  <si>
    <t>2023-March</t>
  </si>
  <si>
    <t>2-s2.0-85160521084</t>
  </si>
  <si>
    <t>Mishra R.; Saxena S.</t>
  </si>
  <si>
    <t>Mishra, Renu (36343912800); Saxena, Sandeep (55480311600)</t>
  </si>
  <si>
    <t>36343912800; 55480311600</t>
  </si>
  <si>
    <t>Lecture Notes in Civil Engineering</t>
  </si>
  <si>
    <t>304</t>
  </si>
  <si>
    <t>Blockchain; Consensus mechanism; Internet of drones; Internet of things; IoT; Mutual authentication; Smart contract; UAV</t>
  </si>
  <si>
    <t>2-s2.0-85151065089</t>
  </si>
  <si>
    <t>Li L.; Lian X.; Wang Y.; Tan L.</t>
  </si>
  <si>
    <t>Li, Lin (57903037700); Lian, Xiaofeng (57212654245); Wang, Yulong (57902611200); Tan, Li (59070550700)</t>
  </si>
  <si>
    <t>57903037700; 57212654245; 57902611200; 59070550700</t>
  </si>
  <si>
    <t>9203</t>
  </si>
  <si>
    <t>2-s2.0-85138647714</t>
  </si>
  <si>
    <t>Wang B.; Tresoldi G.; Strohmeier M.; Lenders V.</t>
  </si>
  <si>
    <t>Wang, Boya (57772684700); Tresoldi, Giorgio (57211245759); Strohmeier, Martin (55348427300); Lenders, Vincent (12786066100)</t>
  </si>
  <si>
    <t>57772684700; 57211245759; 55348427300; 12786066100</t>
  </si>
  <si>
    <t>ASIA CCS 2022 - Proceedings of the 2022 ACM Asia Conference on Computer and Communications Security</t>
  </si>
  <si>
    <t>aircraf; collision avoidance; flarm; spoofing; uav</t>
  </si>
  <si>
    <t>2-s2.0-85133205474</t>
  </si>
  <si>
    <t>Purisai S.; Sharar O.</t>
  </si>
  <si>
    <t>Purisai, Sri (57737781500); Sharar, Omer (57203160310)</t>
  </si>
  <si>
    <t>57737781500; 57203160310</t>
  </si>
  <si>
    <t>SAE Technical Papers</t>
  </si>
  <si>
    <t>2-s2.0-85131809178</t>
  </si>
  <si>
    <t>Li J.Q.; Cross S.A.; Yang G.; Wang K.</t>
  </si>
  <si>
    <t>Li, Joshua Qiang (57216663187); Cross, Stephen A. (7202109282); Yang, Guangwei (57001643400); Wang, Kelvin (7501400390)</t>
  </si>
  <si>
    <t>57216663187; 7202109282; 57001643400; 7501400390</t>
  </si>
  <si>
    <t>International Conference on Transportation and Development 2022: Application of Emerging Technologies - Selected Papers from the Proceedings of the International Conference on Transportation and Development 2022</t>
  </si>
  <si>
    <t>Asphalt runway; dynamic modulus; field performance; semi-circular bend (SCB) testing; Unmanned Aerial Vehicle (UAV) facility</t>
  </si>
  <si>
    <t>2-s2.0-85138722543</t>
  </si>
  <si>
    <t>2209</t>
  </si>
  <si>
    <t>2-s2.0-85127009867</t>
  </si>
  <si>
    <t>Haider M.; Ahmed I.; Rawat D.B.</t>
  </si>
  <si>
    <t>Haider, Majumder (57205028654); Ahmed, Imtiaz (57196854804); Rawat, Danda B. (24725483600)</t>
  </si>
  <si>
    <t>57205028654; 57196854804; 24725483600</t>
  </si>
  <si>
    <t>International Conference on Ubiquitous and Future Networks, ICUFN</t>
  </si>
  <si>
    <t>2022-July</t>
  </si>
  <si>
    <t>5G and beyond; cyber physical system (CPS); cybersecurity; energy efficiency; Unmanned aerial vehicles (UAVs)</t>
  </si>
  <si>
    <t>2-s2.0-85135243458</t>
  </si>
  <si>
    <t>He X.; Chen Q.; Tang L.; Wang W.; Liu T.</t>
  </si>
  <si>
    <t>He, Xiaoqiang (57202160214); Chen, Qianbin (9635791600); Tang, Lun (35318601300); Wang, Weili (57194836995); Liu, Tong (59050297000)</t>
  </si>
  <si>
    <t>57202160214; 9635791600; 35318601300; 57194836995; 59050297000</t>
  </si>
  <si>
    <t>Blockchain; conditional generative adversarial network (CGAN); distributed federated learning; intrusion detection system (IDS); long short-term memory (LSTM); unmanned aerial vehicle (UAV) network</t>
  </si>
  <si>
    <t>2-s2.0-85136685290</t>
  </si>
  <si>
    <t>Pohjavirta O.; Liang X.; Wang Y.; Kukko A.; Pyörälä J.; Hyyppä E.; Yu X.; Kaartinen H.; Hyyppä J.</t>
  </si>
  <si>
    <t>Pohjavirta, Onni (57216273655); Liang, Xinlian (35488207000); Wang, Yunsheng (55866373700); Kukko, Antero (9737845400); Pyörälä, Jiri (56951371100); Hyyppä, Eric (57207757858); Yu, Xiaowei (55747667400); Kaartinen, Harri (8545284000); Hyyppä, Juha (7004260140)</t>
  </si>
  <si>
    <t>57216273655; 35488207000; 55866373700; 9737845400; 56951371100; 57207757858; 55747667400; 8545284000; 7004260140</t>
  </si>
  <si>
    <t>Forest Ecosystems</t>
  </si>
  <si>
    <t>100080</t>
  </si>
  <si>
    <t>2-s2.0-85144771982</t>
  </si>
  <si>
    <t>Altaweel A.; Mukkath H.; Kamel I.</t>
  </si>
  <si>
    <t>Altaweel, Ala (36460529100); Mukkath, Hena (57211903210); Kamel, Ibrahim (56266264600)</t>
  </si>
  <si>
    <t>36460529100; 57211903210; 56266264600</t>
  </si>
  <si>
    <t>Drones; Flying Ad-Hoc NETwork (FANET); GPS spoofing attack; systematic literature review; unmanned ariel vehicle (UAV); wireless network security</t>
  </si>
  <si>
    <t>2-s2.0-85161059544</t>
  </si>
  <si>
    <t>ATM; Communication; Cyber-attacks; Cybersecurity; Navigation; Surveillance; UAS network; UTM</t>
  </si>
  <si>
    <t>2-s2.0-85141933926</t>
  </si>
  <si>
    <t>Shafique A.; Rehman M.U.; Khan K.H.; Jamal S.S.; Mehmood A.; Chaudhry S.A.</t>
  </si>
  <si>
    <t>Shafique, Arslan (57203429130); Rehman, Mujeeb Ur (59272855000); Khan, Kashif Hesham (57402141600); Jamal, Sajjad Shaukat (57198092048); Mehmood, Abid (57190409845); Chaudhry, Shehzad Ashraf (55270209500)</t>
  </si>
  <si>
    <t>57203429130; 59272855000; 57402141600; 57198092048; 57190409845; 55270209500</t>
  </si>
  <si>
    <t>chaos theory; cyberattacks; DNA encoding; Unmanned aerial vehicles</t>
  </si>
  <si>
    <t>2-s2.0-85153797448</t>
  </si>
  <si>
    <t>Amponis G.; Radoglou-Grammatikis P.; Lagkas T.; Mallouli W.; Cavalli A.; Klonidis D.; Markakis E.; Sarigiannidis P.</t>
  </si>
  <si>
    <t>Amponis, George (57221555716); Radoglou-Grammatikis, Panagiotis (57195135180); Lagkas, Thomas (6507945237); Mallouli, Wissam (14037829000); Cavalli, Ana (7101898075); Klonidis, Dimitris (9274397700); Markakis, Evangelos (7006033121); Sarigiannidis, Panagiotis (12445587500)</t>
  </si>
  <si>
    <t>57221555716; 57195135180; 6507945237; 14037829000; 7101898075; 9274397700; 7006033121; 12445587500</t>
  </si>
  <si>
    <t>Eurasip Journal on Wireless Communications and Networking</t>
  </si>
  <si>
    <t>2022</t>
  </si>
  <si>
    <t>124</t>
  </si>
  <si>
    <t>2-s2.0-85144143793</t>
  </si>
  <si>
    <t>Bottino V.; De Alteriis G.; Schiano Lo Moriello R.; Accardo D.</t>
  </si>
  <si>
    <t>Bottino, Verdiana (57240962600); De Alteriis, Giorgio (57205585257); Schiano Lo Moriello, Rosario (6507721996); Accardo, Domenico (6603652386)</t>
  </si>
  <si>
    <t>57240962600; 57205585257; 6507721996; 6603652386</t>
  </si>
  <si>
    <t>2022 IEEE 9th International Workshop on Metrology for AeroSpace, MetroAeroSpace 2022 - Proceedings</t>
  </si>
  <si>
    <t>5G; GNSS RTK; IMU; Kalman Filter; UAV</t>
  </si>
  <si>
    <t>2-s2.0-85137995960</t>
  </si>
  <si>
    <t>Xie Y.; Gardi A.; Sabatini R.; Liang A.</t>
  </si>
  <si>
    <t>Xie, Yibing (57226759538); Gardi, Alessandro (57198865986); Sabatini, Roberto (56962744800); Liang, Annie (57966199300)</t>
  </si>
  <si>
    <t>57226759538; 57198865986; 56962744800; 57966199300</t>
  </si>
  <si>
    <t>A; ATM; Cybersecurity; DCB; Metaheuristics Algorithm; Path Planning; Re-routing; UTM</t>
  </si>
  <si>
    <t>2-s2.0-85141937859</t>
  </si>
  <si>
    <t>548</t>
  </si>
  <si>
    <t>2-s2.0-85144928016</t>
  </si>
  <si>
    <t>Sokolov V.; Skladannyi P.; Platonenko A.</t>
  </si>
  <si>
    <t>Sokolov, Volodymyr (57208521755); Skladannyi, Pavlo (57204922790); Platonenko, Artem (57216485441)</t>
  </si>
  <si>
    <t>57208521755; 57204922790; 57216485441</t>
  </si>
  <si>
    <t>Proceedings - IEEE International Conference on Electronics and Nanotechnology, ELNANO</t>
  </si>
  <si>
    <t>cyberattack; drone; jamming; noise generator; radio suppression; UAV; unmanned aerial vehicle</t>
  </si>
  <si>
    <t>2-s2.0-85142604882</t>
  </si>
  <si>
    <t>Sun Y.; Ma O.</t>
  </si>
  <si>
    <t>Sun, Yufeng (57219259606); Ma, Ou (7004452847)</t>
  </si>
  <si>
    <t>57219259606; 7004452847</t>
  </si>
  <si>
    <t>87</t>
  </si>
  <si>
    <t>3D digitizing; aircraft inspection; aircraft scanning; optimization; path planning; UAV</t>
  </si>
  <si>
    <t>2-s2.0-85128028751</t>
  </si>
  <si>
    <t>Ihekoronye V.U.; Ajakwe S.O.; Kim D.-S.; Lee J.M.</t>
  </si>
  <si>
    <t>Ihekoronye, Vivian Ukamaka (57415267500); Ajakwe, Simeon Okechukwu (57414321100); Kim, Dong-Seong (55586876300); Lee, Jae Min (57194451001)</t>
  </si>
  <si>
    <t>57415267500; 57414321100; 55586876300; 57194451001</t>
  </si>
  <si>
    <t>International Conference on ICT Convergence</t>
  </si>
  <si>
    <t>2022-October</t>
  </si>
  <si>
    <t>Drones Security; Intrusion Detection System; Mobile edge computing; Pearson Correlation Coefficient; Random Forest; UAV Network</t>
  </si>
  <si>
    <t>2-s2.0-85143256198</t>
  </si>
  <si>
    <t>Šimon O.; Götthans T.</t>
  </si>
  <si>
    <t>Šimon, Ondřej (57221505684); Götthans, Tomáš (41761598800)</t>
  </si>
  <si>
    <t>57221505684; 41761598800</t>
  </si>
  <si>
    <t>3025</t>
  </si>
  <si>
    <t>2-s2.0-85139826714</t>
  </si>
  <si>
    <t>Springer Proceedings in Mathematics and Statistics</t>
  </si>
  <si>
    <t>404</t>
  </si>
  <si>
    <t>2-s2.0-85151060560</t>
  </si>
  <si>
    <t>Mohd T.K.; Tesfa E.M.</t>
  </si>
  <si>
    <t>Mohd, Tauheed Khan (57201863174); Tesfa, Elnatan Mesfin (58223155900)</t>
  </si>
  <si>
    <t>57201863174; 58223155900</t>
  </si>
  <si>
    <t>2023 IEEE 13th Annual Computing and Communication Workshop and Conference, CCWC 2023</t>
  </si>
  <si>
    <t>DJI-Mavic3; DJIMavic2; drones; QuadAirDrone; quadcopters; Sky Viper Journey; tello; UAVs; Unmanned aerial vehicles</t>
  </si>
  <si>
    <t>2-s2.0-85156249090</t>
  </si>
  <si>
    <t>Chen P.; Li H.; Ma L.</t>
  </si>
  <si>
    <t>Chen, Peilin (57216499971); Li, Haobo (57934767900); Ma, Lejing (57933983600)</t>
  </si>
  <si>
    <t>57216499971; 57934767900; 57933983600</t>
  </si>
  <si>
    <t>IET Communications</t>
  </si>
  <si>
    <t>artificial bee colony; distributed jamming; distributed optimization; massive UAVs</t>
  </si>
  <si>
    <t>2-s2.0-85140267530</t>
  </si>
  <si>
    <t>Intwala K.; Jatav S.; Kolhe K.</t>
  </si>
  <si>
    <t>Intwala, Krunal (58091393100); Jatav, Sunita (57638112200); Kolhe, Kishor (6507998695)</t>
  </si>
  <si>
    <t>58091393100; 57638112200; 6507998695</t>
  </si>
  <si>
    <t>2022 6th International Conference on Computing, Communication, Control and Automation, ICCUBEA 2022</t>
  </si>
  <si>
    <t>Anti-drone System; Automation; IoT; Wireless Attacks</t>
  </si>
  <si>
    <t>2-s2.0-85147444972</t>
  </si>
  <si>
    <t>Liang C.; Miao M.; Ma J.; Yan H.; Zhang Q.; Li X.</t>
  </si>
  <si>
    <t>Liang, Chen (57209894372); Miao, Meixia (56519306200); Ma, Jianfeng (25621725700); Yan, Hongyang (56528690300); Zhang, Qun (35338668900); Li, Xinghua (36166745800)</t>
  </si>
  <si>
    <t>57209894372; 56519306200; 25621725700; 56528690300; 35338668900; 36166745800</t>
  </si>
  <si>
    <t>Concurrency and Computation: Practice and Experience</t>
  </si>
  <si>
    <t>e5925</t>
  </si>
  <si>
    <t>attack detection; drone; GPS spoofing; UAV</t>
  </si>
  <si>
    <t>2-s2.0-85088312463</t>
  </si>
  <si>
    <t>Ferreira R.; Gaspar J.; Sebastião P.; Souto N.</t>
  </si>
  <si>
    <t>Ferreira, Renato (57208421957); Gaspar, João (57033731900); Sebastião, Pedro (55900519300); Souto, Nuno (8872974500)</t>
  </si>
  <si>
    <t>57208421957; 57033731900; 55900519300; 8872974500</t>
  </si>
  <si>
    <t>1487</t>
  </si>
  <si>
    <t>GPS spoofing; Jamming; Radionavigation; Software defined radio; Unmanned aerial vehicles</t>
  </si>
  <si>
    <t>2-s2.0-85124475848</t>
  </si>
  <si>
    <t>Seo S.; Han S.; Kim D.</t>
  </si>
  <si>
    <t>Seo, Sang (57218557890); Han, Sangwoo (57579446000); Kim, Dohoon (57221362094)</t>
  </si>
  <si>
    <t>57218557890; 57579446000; 57221362094</t>
  </si>
  <si>
    <t>3147</t>
  </si>
  <si>
    <t>ad hoc; cyber-electronic warfare; modeling and simulation; security; wireless threat</t>
  </si>
  <si>
    <t>2-s2.0-85128345522</t>
  </si>
  <si>
    <t>1010 LNEE</t>
  </si>
  <si>
    <t>The proceedings contain 362 papers. The special focus in this conference is on Autonomous Unmanned Systems. The topics include: Integrated Virtual Simulation and Test System for Vision-Based Applications of UAVs; UAV Integrated Internet-of-Vehicle (IoV) System for Flooding Monitoring and Rescue; pursuit-Evasion Games for Multi-agent Based on Reinforcement Learning with Obstacles; air Exhaust Environment Simulation of Altitude Test Facility Control Based on Model-Assisted Active Disturbance Rejection Control; underwater Vortex and Aggregation Behaviors Based on Monocular Vision; Visual Active Tracking Algorithm for UAV Cluster Based on Deep Reinforcement Learning; a Camera-Based Real-Time Parking Positioning Method for Air-Ground Vehicles; Evaluation of Autonomous Capability of Ground Attack UAV Based on Hierarchical Analysis Method; Intelligent Air Combat Maneuvering Decision Based on TD3 Algorithm; research on Transmitting Beamforming of Uniform Circular Frequency Diversity Array Sonar; preface; Online Compensation Method for Inertial Device Error of Airborne UAV; enhanced Reinforcement Learning Method Based on AlphaGo-Zero; a Self-organizing Dual-Layer Defense Algorithm for Multi-agent Systems; deep Reinforcement Learning Based on Curriculum Learning for Drone Swarm Area Defense; Reinforcement Learning-Based Cooperative Adversarial Algorithm for UAV Cluster; UAV Maneuvering Target Tracking with Position-Attitude Fusion; formation Control of Multi-agent Based on Deep Reinforcement Learning; A HPEDF-Based Reinforcement Learning Radar Scheduling Method; Environmental Target Recognition System for ROV Based on Forward Looking Sonar; fast Parking Slot Detection in the Bird's Eye View; Design of UAV 3D Visual Simulation System Based on X-Plane; Multi-agent Deep Reinforcement Learning for Dynamic Motion Control Allocation in UAV Swarm Cooperative Jamming to Netted Radar; Research on Distributed Task Decision-Making Method of UAV Swarm Based on Information Consistency.</t>
  </si>
  <si>
    <t>2-s2.0-85151072781</t>
  </si>
  <si>
    <t>Jameii S.M.; Zamirnaddafi R.S.; Rezabakhsh R.</t>
  </si>
  <si>
    <t>Jameii, Seyed Mahdi (55441554200); Zamirnaddafi, Romina Sadat (57808280700); Rezabakhsh, Reza (57808548800)</t>
  </si>
  <si>
    <t>55441554200; 57808280700; 57808548800</t>
  </si>
  <si>
    <t>e7213</t>
  </si>
  <si>
    <t>Internet of drones (IoD); Internet of Flying Things (IoFT); security; systematic review; Unmanned Aerial Vehicle (UAV)</t>
  </si>
  <si>
    <t>2-s2.0-85134400177</t>
  </si>
  <si>
    <t>Kumar M.S.; Kasbekar G.S.; Maity A.</t>
  </si>
  <si>
    <t>Kumar, M. Surendra (58424306800); Kasbekar, Gaurav S. (35094254700); Maity, Arnab (55428087000)</t>
  </si>
  <si>
    <t>58424306800; 35094254700; 55428087000</t>
  </si>
  <si>
    <t>asynchronous; Cyber-vulnerabilities; efficacy; GPS spoofing; UAV</t>
  </si>
  <si>
    <t>2-s2.0-85163623216</t>
  </si>
  <si>
    <t>Del Peral-Rosado J.A.; Nolle P.; Razavi S.M.; Lindmark G.; Shrestha D.; Gunnarsson F.; Kaltenberger F.; Sirola N.; Sarkka O.; Rostrom J.; Vaarala K.; Miettinen P.; Pojani G.; Canzian L.; Babaroglu H.; Rastorgueva-Foi E.; Talvitie J.; Flachs D.</t>
  </si>
  <si>
    <t>Del Peral-Rosado, Jose A. (35573029000); Nolle, Patric (57876885800); Razavi, Sara M. (35090524800); Lindmark, Gustav (57193576664); Shrestha, Deep (57216628669); Gunnarsson, Fredrik (6603759200); Kaltenberger, Florian (55897560600); Sirola, Niilo (16069664800); Sarkka, Olli (57079154500); Rostrom, Juha (57876822800); Vaarala, Kim (57877082300); Miettinen, Pasi (57876885900); Pojani, Giacomo (57195478599); Canzian, Luca (36967933900); Babaroglu, Huseyin (57876886000); Rastorgueva-Foi, Elizaveta (56724686200); Talvitie, Jukka (35203986700); Flachs, Detlef (57876886100)</t>
  </si>
  <si>
    <t>35573029000; 57876885800; 35090524800; 57193576664; 57216628669; 6603759200; 55897560600; 16069664800; 57079154500; 57876822800; 57877082300; 57876885900; 57195478599; 36967933900; 57876886000; 56724686200; 35203986700; 57876886100</t>
  </si>
  <si>
    <t>2022 10th Workshop on Satellite Navigation Technology, NAVITEC 2022</t>
  </si>
  <si>
    <t>5G; GNSS; Hybrid Positioning; UAV</t>
  </si>
  <si>
    <t>2-s2.0-85137360422</t>
  </si>
  <si>
    <t>Pekarcik P.; Chovancova E.; Havrilla M.; Hasin M.</t>
  </si>
  <si>
    <t>Pekarcik, Peter (58136066000); Chovancova, Eva (16051977200); Havrilla, Martin (57222705645); Hasin, Martin (57222704861)</t>
  </si>
  <si>
    <t>58136066000; 16051977200; 57222705645; 57222704861</t>
  </si>
  <si>
    <t>2023 IEEE 21st World Symposium on Applied Machine Intelligence and Informatics, SAMI 2023 - Proceedings</t>
  </si>
  <si>
    <t>attack; Blesa; Bluesmacking; Bluesnarfing; communication; cyberattack; drone; MAVLink; protocol; security; security analysis; sensor; simulation; The 'open sesame bug'; UAV</t>
  </si>
  <si>
    <t>2-s2.0-85149754598</t>
  </si>
  <si>
    <t>1659 CCIS</t>
  </si>
  <si>
    <t>The proceedings contain 30 papers. The special focus in this conference is on Telematics and Computing. The topics include: Storytelling to Visualize Changes in Regions Based on Social Inclusion Indicators; Open edX as a Learning Remote Platform for Mexico City-IPN; implementation of Time-Frequency Moments for the Classification of Atrial Fibrillation Sequences Through a Bidirectional Long-Short Term Memory Network; Construction of a Technological Component to Support ISMS for the Detection of Obfuscation in Computer Worm Samples; design and Implementation of an Interactive Photoplethysmography and Galvanic Skin Response Based Gamepad; Simulation and Implementation of an Environmental Monitoring System Based on LPWAN/IoT; blockchain Technology Applied to Health Care Supply Chain; analysis of Music Provenanced of Intelligence Artificial and its Possible Advantages in Therapeutic Non-pharmacologic; Methodology for the Acquisition and Forensic Analysis of a Remote Piloted Aircraft System (RPAS); adaptive Based Frequency Domain Filter for Periodic Noise Reduction in Images Acquired by Projection Fringes; multiobjective Model for Resource Allocation Optimization: A Case Study; reinforcement Learning Applied to Position Control of a Robotic Leg: An Overview; Digital Transformation of Higher Education: Mexico City-IPN as a Practical Case; an Approach to Simulate Malware Propagation in the Internet of Drones; gamification and Usability in Educational Contexts: A Systematic Review; groups in the Educational Institutions, a Glance from the Administration Perspective; senior Citizens’ Training Experience in Secure Electronic Payment Methods; Study of Energy Consumption of UAVs to Temporarily Assist Wireless Communication Systems; validation of Security Variables for Audits in Wireless Wi-Fi Networks; integration of a Virtual Object on Formative Object Oriented Programming for the Emavi Military Aviation School Cadets; spatio-Temporal Analysis in Open Dataset from Respiratory Diseases; monitoring and Prediction of Drinking Water Consumption.</t>
  </si>
  <si>
    <t>2-s2.0-85142734375</t>
  </si>
  <si>
    <t>Olaguer E.P.; Jeltema S.; Gauthier T.; Jermalowicz D.; Ostaszewski A.; Batterman S.; Xia T.; Raneses J.; Kovalchick M.; Miller S.; Acevedo J.; Lamb J.; Benya J.; Wendling A.; Zhu J.</t>
  </si>
  <si>
    <t>Olaguer, Eduardo P. (6506795436); Jeltema, Shelley (57763432900); Gauthier, Thomas (57762009800); Jermalowicz, Dustin (57762243600); Ostaszewski, Arthur (58462255400); Batterman, Stuart (58391634200); Xia, Tian (57197755536); Raneses, Julia (57763191900); Kovalchick, Michael (6505757704); Miller, Scott (59441762000); Acevedo, Jorge (57221112074); Lamb, Jonathan (57763192100); Benya, Jeff (57762961200); Wendling, April (57763433100); Zhu, Joyce (57762720000)</t>
  </si>
  <si>
    <t>6506795436; 57763432900; 57762009800; 57762243600; 58462255400; 58391634200; 57197755536; 57763191900; 6505757704; 59441762000; 57221112074; 57763192100; 57762961200; 57763433100; 57762720000</t>
  </si>
  <si>
    <t>Atmosphere</t>
  </si>
  <si>
    <t>983</t>
  </si>
  <si>
    <t>greenhouse gases; landfills; methane; ozone precursors</t>
  </si>
  <si>
    <t>2-s2.0-85132792664</t>
  </si>
  <si>
    <t>Mehmood R.T.; Ahmed G.; Siddiqui S.</t>
  </si>
  <si>
    <t>Mehmood, Roshaan Tariq (58095869600); Ahmed, Ghufran (24723831800); Siddiqui, Shahbaz (57221663102)</t>
  </si>
  <si>
    <t>58095869600; 24723831800; 57221663102</t>
  </si>
  <si>
    <t>2022 16th International Conference on Open Source Systems and Technologies, ICOSST 2022 - Proceedings</t>
  </si>
  <si>
    <t>COOJA Simulator; Intrusion Detection Systems (IDS); Machine Learning (ML); Random Forest Classifier (RFC); Unmanned Aerial System (UAS); Unmanned Aerial Vehicle (UAV)</t>
  </si>
  <si>
    <t>2-s2.0-85147686257</t>
  </si>
  <si>
    <t>Priyadharshini S.P.; Balamurugan P.</t>
  </si>
  <si>
    <t>Priyadharshini, S.P. (57958325600); Balamurugan, P. (57204495492)</t>
  </si>
  <si>
    <t>57958325600; 57204495492</t>
  </si>
  <si>
    <t>Proceedings of the 2022 International Conference on Innovative Computing, Intelligent Communication and Smart Electrical Systems, ICSES 2022</t>
  </si>
  <si>
    <t>Cyber-Security Threats; Drones; IoT; Smart Farming; Unmanned Aerial Vehicle (UAV)</t>
  </si>
  <si>
    <t>2-s2.0-85141468806</t>
  </si>
  <si>
    <t>Jang I.; Lim S.; Jeon H.</t>
  </si>
  <si>
    <t>Jang, Inmo (57196086367); Lim, Suckhyun (57848706600); Jeon, Hyunkook (57848029500)</t>
  </si>
  <si>
    <t>57196086367; 57848706600; 57848029500</t>
  </si>
  <si>
    <t>2022 19th International Conference on Ubiquitous Robots, UR 2022</t>
  </si>
  <si>
    <t>2-s2.0-85136107587</t>
  </si>
  <si>
    <t>Sung Y.-H.; Park S.-J.; Kim D.-Y.; Kim S.</t>
  </si>
  <si>
    <t>Sung, Young-Hwa (58001399400); Park, Soo-Jae (58002278900); Kim, Dong-Yeon (58001835700); Kim, Sungho (57214086723)</t>
  </si>
  <si>
    <t>58001399400; 58002278900; 58001835700; 57214086723</t>
  </si>
  <si>
    <t>9412</t>
  </si>
  <si>
    <t>1D CNN; deep learning; GPS spoofing attack; small UAV; SVM</t>
  </si>
  <si>
    <t>2-s2.0-85143825629</t>
  </si>
  <si>
    <t>Roy S.; Xue M.</t>
  </si>
  <si>
    <t>Roy, Sandip (10639679200); Xue, Mengran (34874297000)</t>
  </si>
  <si>
    <t>10639679200; 34874297000</t>
  </si>
  <si>
    <t>AIAA Aviation and Aeronautics Forum and Exposition, AIAA AVIATION Forum 2021</t>
  </si>
  <si>
    <t>AIAA 2021-2335</t>
  </si>
  <si>
    <t>2-s2.0-85126801608</t>
  </si>
  <si>
    <t>Straub J.</t>
  </si>
  <si>
    <t>Straub, Jeremy (57757363200)</t>
  </si>
  <si>
    <t>57757363200</t>
  </si>
  <si>
    <t>2021-March</t>
  </si>
  <si>
    <t>9438140</t>
  </si>
  <si>
    <t>2-s2.0-85111395277</t>
  </si>
  <si>
    <t>Satheesh Kumar M.; Vimal S.; Jhanjhi N.Z.; Dhanabalan S.S.; Alhumyani H.A.</t>
  </si>
  <si>
    <t>Satheesh Kumar, M. (57205229828); Vimal, S. (57150956300); Jhanjhi, N.Z. (36088700700); Dhanabalan, Shanmuga Sundar (55279792800); Alhumyani, Hesham A. (55586872500)</t>
  </si>
  <si>
    <t>57205229828; 57150956300; 36088700700; 55279792800; 55586872500</t>
  </si>
  <si>
    <t>Energy Reports</t>
  </si>
  <si>
    <t>Blockchain; Cyber security; Energy trading; GNSS; GPS spoofing; Integrity; Unmanned Aerial Vehicles (UAVs)</t>
  </si>
  <si>
    <t>2-s2.0-85119878224</t>
  </si>
  <si>
    <t>Yang B.; Taleb T.; Chen G.; Shen S.</t>
  </si>
  <si>
    <t>Yang, Bin (55584795503); Taleb, Tarik (6602641627); Chen, Guilin (55733440100); Shen, Shikai (56506078600)</t>
  </si>
  <si>
    <t>55584795503; 6602641627; 55733440100; 56506078600</t>
  </si>
  <si>
    <t>2-s2.0-85126325226</t>
  </si>
  <si>
    <t>Clarke S.G.; Thapliyal O.; Hwang S.; Hwang I.</t>
  </si>
  <si>
    <t>Clarke, Shanelle G. (58410450700); Thapliyal, Omanshu (57201820595); Hwang, Sounghwan (57436198100); Hwang, Inseok (26643143000)</t>
  </si>
  <si>
    <t>58410450700; 57201820595; 57436198100; 26643143000</t>
  </si>
  <si>
    <t>AIAA Science and Technology Forum and Exposition, AIAA SciTech Forum 2022</t>
  </si>
  <si>
    <t>AIAA 2022-2342</t>
  </si>
  <si>
    <t>2-s2.0-85123884639</t>
  </si>
  <si>
    <t>Jurcevic M.; Vitas I.</t>
  </si>
  <si>
    <t>Jurcevic, Marko (22979806300); Vitas, Igor (56316057200)</t>
  </si>
  <si>
    <t>22979806300; 56316057200</t>
  </si>
  <si>
    <t>2021 44th International Convention on Information, Communication and Electronic Technology, MIPRO 2021 - Proceedings</t>
  </si>
  <si>
    <t>5G; edge computing; HD video stream; performance evaluation; proof-of-concept; remote control; UAV</t>
  </si>
  <si>
    <t>2-s2.0-85123052703</t>
  </si>
  <si>
    <t>Koutalakis P.D.; Tzoraki O.A.; Prazioutis G.I.; Gkiatas G.T.; Zaimes G.N.</t>
  </si>
  <si>
    <t>Koutalakis, Paschalis D. (57076905600); Tzoraki, Ourania A. (15926615500); Prazioutis, Georgios I. (57223267720); Gkiatas, Georgios T. (57220994586); Zaimes, George N. (12767422700)</t>
  </si>
  <si>
    <t>57076905600; 15926615500; 57223267720; 57220994586; 12767422700</t>
  </si>
  <si>
    <t>4697</t>
  </si>
  <si>
    <t>Drone; DSM; Fissures; Geohazard; GIS; Mapping; Natural disaster; Nature‐based solutions; Orthomosaic; UAS</t>
  </si>
  <si>
    <t>2-s2.0-85105373967</t>
  </si>
  <si>
    <t>Kara M.; Laouid A.; Bounceur A.; Hammoudeh M.; Alshaikh M.; Kebache R.</t>
  </si>
  <si>
    <t>Kara, Mostefa (58799842700); Laouid, Abdelkader (55933328300); Bounceur, Ahcene (6504653977); Hammoudeh, Mohammad (58980788800); Alshaikh, Muath (57188834531); Kebache, Romaissa (57463105700)</t>
  </si>
  <si>
    <t>58799842700; 55933328300; 6504653977; 58980788800; 57188834531; 57463105700</t>
  </si>
  <si>
    <t>Consensus; Data Collection.; Drone; Secure communication; UAV</t>
  </si>
  <si>
    <t>2-s2.0-85128626631</t>
  </si>
  <si>
    <t>Jacobsen R.H.; Marandi A.</t>
  </si>
  <si>
    <t>Jacobsen, Rune Hylsberg (7101646653); Marandi, Ali (58579105400)</t>
  </si>
  <si>
    <t>7101646653; 58579105400</t>
  </si>
  <si>
    <t>2021-November</t>
  </si>
  <si>
    <t>Drone; Risk assessment; Security management; Threat model; Unmanned aerial vehicle</t>
  </si>
  <si>
    <t>2-s2.0-85124144983</t>
  </si>
  <si>
    <t>Li Y.; Pawlak J.; Price J.; Al Shamaileh K.; Niyaz Q.; Paheding S.; Devabhaktuni V.</t>
  </si>
  <si>
    <t>Li, Yuchen (57328376000); Pawlak, Jered (57328283100); Price, Joshua (57328190400); Al Shamaileh, Khair (37113626900); Niyaz, Quamar (55191240800); Paheding, Sidike (56585990900); Devabhaktuni, Vijay (6602156750)</t>
  </si>
  <si>
    <t>57328376000; 57328283100; 57328190400; 37113626900; 55191240800; 56585990900; 6602156750</t>
  </si>
  <si>
    <t>convolutional neural networks (CNNs); Cybersecurity; deep learning; jamming; machine learning (ML); orthogonal frequency division multiplexing (OFDM); software-defined radio (SDR); spectrogram; unmanned aerial vehicles (UAVs)</t>
  </si>
  <si>
    <t>2-s2.0-85124727011</t>
  </si>
  <si>
    <t>Wang J.; Liu Y.; Song H.</t>
  </si>
  <si>
    <t>Wang, Jian (57201726571); Liu, Yongxin (55485423100); Song, Houbing (57199094588)</t>
  </si>
  <si>
    <t>57201726571; 55485423100; 57199094588</t>
  </si>
  <si>
    <t>9374654</t>
  </si>
  <si>
    <t>2-s2.0-85102829804</t>
  </si>
  <si>
    <t>268</t>
  </si>
  <si>
    <t>2-s2.0-85111978346</t>
  </si>
  <si>
    <t>Ionut G.S.; Stefan N.C.; Mangher R.; Mangher V.</t>
  </si>
  <si>
    <t>Ionut, Gheorghe Silviu (57424554700); Stefan, Negrea Catalin (35737669800); Mangher, Robert (57423810200); Mangher, Vlad (57424107600)</t>
  </si>
  <si>
    <t>57424554700; 35737669800; 57423810200; 57424107600</t>
  </si>
  <si>
    <t>International Journal of Mechatronics and Applied Mechanics</t>
  </si>
  <si>
    <t>Artificial Intelligence; Drone Research and Development; ROA; RPA; RPV; UAV</t>
  </si>
  <si>
    <t>2-s2.0-85123895242</t>
  </si>
  <si>
    <t>Melnyk R.</t>
  </si>
  <si>
    <t>Melnyk, Richard (16424686600)</t>
  </si>
  <si>
    <t>16424686600</t>
  </si>
  <si>
    <t>ASEE Annual Conference and Exposition, Conference Proceedings</t>
  </si>
  <si>
    <t>2-s2.0-85124546420</t>
  </si>
  <si>
    <t>Simon O.; Gotthans T.; Popela M.</t>
  </si>
  <si>
    <t>Simon, Ondrej (57221505684); Gotthans, Tomas (41761598800); Popela, Miroslav (57211567250)</t>
  </si>
  <si>
    <t>57221505684; 41761598800; 57211567250</t>
  </si>
  <si>
    <t>2022 32nd International Conference Radioelektronika, RADIOELEKTRONIKA 2022 - Proceedings</t>
  </si>
  <si>
    <t>AKRS; Barker; drone; EMP; jamming; UAV</t>
  </si>
  <si>
    <t>2-s2.0-85130150772</t>
  </si>
  <si>
    <t>Insaurralde C.C.; Blasch E.</t>
  </si>
  <si>
    <t>Insaurralde, Carlos C. (9334768900); Blasch, Erik (7003503895)</t>
  </si>
  <si>
    <t>9334768900; 7003503895</t>
  </si>
  <si>
    <t>Journal of Aerospace Information Systems</t>
  </si>
  <si>
    <t>Countermeasure?</t>
  </si>
  <si>
    <t>2-s2.0-85125641358</t>
  </si>
  <si>
    <t>Aydin Y.; Kurt G.K.; Ozdemir E.; Yanikomeroglu H.</t>
  </si>
  <si>
    <t>Aydin, Yucel (25627484300); Kurt, Gunes Karabulut (57219783285); Ozdemir, Enver (55516649700); Yanikomeroglu, Halim (6603917247)</t>
  </si>
  <si>
    <t>25627484300; 57219783285; 55516649700; 6603917247</t>
  </si>
  <si>
    <t>IEEE Journal of Radio Frequency Identification</t>
  </si>
  <si>
    <t>drone base station; Drone swarm; group authentication; handover; unmanned aerial vehicles; user equipment; UxNB</t>
  </si>
  <si>
    <t>2-s2.0-85126304018</t>
  </si>
  <si>
    <t>2021 10th Mediterranean Conference on Embedded Computing, MECO 2021</t>
  </si>
  <si>
    <t>9460250</t>
  </si>
  <si>
    <t>drone swarm; Impulse Radio (IR); Jamming attack detection; Ultra-Wideband (UWB) Unmanned Aerial Vehicle (UAV); Wireless sensor network (WSN)</t>
  </si>
  <si>
    <t>2-s2.0-85114207834</t>
  </si>
  <si>
    <t>Harvey W.; Rainwater C.; Cothren J.</t>
  </si>
  <si>
    <t>Harvey, Winthrop (57289322400); Rainwater, Chase (14520774300); Cothren, Jackson (23008352800)</t>
  </si>
  <si>
    <t>57289322400; 14520774300; 23008352800</t>
  </si>
  <si>
    <t>Remote Sensing</t>
  </si>
  <si>
    <t>4017</t>
  </si>
  <si>
    <t>Absolute visual geolocalization; Convolutional neural network; Deep learning; Drone; Geolocalization; Machine learning; UAV; Visual localization</t>
  </si>
  <si>
    <t>2-s2.0-85116706166</t>
  </si>
  <si>
    <t>Veerappan C.S.; Keong P.L.K.; Balachandran V.; Fadilah M.S.B.M.</t>
  </si>
  <si>
    <t>Veerappan, Chandra Sekar (56784266000); Keong, Peter Loh Kok (57203091665); Balachandran, Vivek (54946371700); Fadilah, Mohammad Shameel Bin Mohammad (57268852400)</t>
  </si>
  <si>
    <t>56784266000; 57203091665; 54946371700; 57268852400</t>
  </si>
  <si>
    <t>Proceedings of the 16th IEEE Conference on Industrial Electronics and Applications, ICIEA 2021</t>
  </si>
  <si>
    <t>802.11 packets; Drone Security; framework; Machine Learning in Drone Security; penetration testing; UAV; vulnerability; Wi-Fi</t>
  </si>
  <si>
    <t>2-s2.0-85115443630</t>
  </si>
  <si>
    <t>Willuhn T.</t>
  </si>
  <si>
    <t>Willuhn, Tobias (58682316300)</t>
  </si>
  <si>
    <t>58682316300</t>
  </si>
  <si>
    <t>Microwave Journal</t>
  </si>
  <si>
    <t>2-s2.0-85175870373</t>
  </si>
  <si>
    <t>Kong P.-Y.</t>
  </si>
  <si>
    <t>Kong, Peng-Yong (35876661400)</t>
  </si>
  <si>
    <t>35876661400</t>
  </si>
  <si>
    <t>countermeasure; cyberattack; Cybersecurity; drone; UAV; unmanned aerial vehicle</t>
  </si>
  <si>
    <t>2-s2.0-85118611946</t>
  </si>
  <si>
    <t>Pyzynski M.; Balcerzak T.</t>
  </si>
  <si>
    <t>Pyzynski, Mariusz (57219728107); Balcerzak, Tomasz (57205465585)</t>
  </si>
  <si>
    <t>57219728107; 57205465585</t>
  </si>
  <si>
    <t>Journal of Intelligent and Robotic Systems: Theory and Applications</t>
  </si>
  <si>
    <t>Cybersecurity; Cyberspace; Drones; UAS</t>
  </si>
  <si>
    <t>2-s2.0-85106341531</t>
  </si>
  <si>
    <t>Guerber C.; Royer M.; Larrieu N.</t>
  </si>
  <si>
    <t>Guerber, Christophe (57193888217); Royer, Mickaël (55843499100); Larrieu, Nicolas (6508251747)</t>
  </si>
  <si>
    <t>57193888217; 55843499100; 6508251747</t>
  </si>
  <si>
    <t>Journal of Information Security and Applications</t>
  </si>
  <si>
    <t>61</t>
  </si>
  <si>
    <t>102940</t>
  </si>
  <si>
    <t>AODV; FANET; Machine Learning; Random Forest Classifier; SDN; Security architecture</t>
  </si>
  <si>
    <t>2-s2.0-85110735968</t>
  </si>
  <si>
    <t>Zhang J.</t>
  </si>
  <si>
    <t>Zhang, Jian (57211562070)</t>
  </si>
  <si>
    <t>57211562070</t>
  </si>
  <si>
    <t>2022 14th International Conference on Computer and Automation Engineering, ICCAE 2022</t>
  </si>
  <si>
    <t>covert surveillance; reinforcement learning; secretly eavesdropping; trajectory planning; Unmanned aerial vehicles (UAVs); wireless communications</t>
  </si>
  <si>
    <t>2-s2.0-85129863014</t>
  </si>
  <si>
    <t>Ouyang J.; Rao B.; Zhou Y.</t>
  </si>
  <si>
    <t>Ouyang, Jiakang (58788633000); Rao, Bin (14627929900); Zhou, Yongkun (57216859556)</t>
  </si>
  <si>
    <t>58788633000; 14627929900; 57216859556</t>
  </si>
  <si>
    <t>Proceedings of the IEEE Radar Conference</t>
  </si>
  <si>
    <t>2021-December</t>
  </si>
  <si>
    <t>electronic countermeasures; jamming; radar detection; UAV cluster</t>
  </si>
  <si>
    <t>2-s2.0-85181080182</t>
  </si>
  <si>
    <t>Basan E.; Basan A.; Nekrasov A.; Fidge C.; Gamec J.; Gamcová M.</t>
  </si>
  <si>
    <t>Basan, Elena (56021952900); Basan, Alexandr (35112705700); Nekrasov, Alexey (7103412745); Fidge, Colin (15122189100); Gamec, Ján (25031283300); Gamcová, Mária (35931950300)</t>
  </si>
  <si>
    <t>56021952900; 35112705700; 7103412745; 15122189100; 25031283300; 35931950300</t>
  </si>
  <si>
    <t>Sensors (Switzerland)</t>
  </si>
  <si>
    <t>509</t>
  </si>
  <si>
    <t>Anomalies; Cyber attacks; Cyber threats; Entropy; GPS; Spoofing; UAV</t>
  </si>
  <si>
    <t>2-s2.0-85099349190</t>
  </si>
  <si>
    <t>De Carvalho Bertoli G.; Pereira L.A.; Saotome O.</t>
  </si>
  <si>
    <t>De Carvalho Bertoli, Gustavo (57188990101); Pereira, Loureneo Alves (57524307800); Saotome, Osamu (24469232600)</t>
  </si>
  <si>
    <t>57188990101; 57524307800; 24469232600</t>
  </si>
  <si>
    <t>2021 10th Latin-American Symposium on Dependable Computing, LADC 2021 - Proceedings</t>
  </si>
  <si>
    <t>2-s2.0-85125293431</t>
  </si>
  <si>
    <t>Titouna C.; Naït-Abdesselam F.</t>
  </si>
  <si>
    <t>Titouna, Chafiq (55639343800); Naït-Abdesselam, Farid (55952572800)</t>
  </si>
  <si>
    <t>2021 International Wireless Communications and Mobile Computing, IWCMC 2021</t>
  </si>
  <si>
    <t>Bayesian network; GPS spoofing attack detection; Unmanned aerial vehicles</t>
  </si>
  <si>
    <t>2-s2.0-85125652553</t>
  </si>
  <si>
    <t>Lu W.; Chen L.W.; Xiao Q.C.; Zhu C.</t>
  </si>
  <si>
    <t>Lu, Wei (57222586261); Chen, Li Wen (56840935200); Xiao, Qing Chao (57420024700); Zhu, Cheng (57420024600)</t>
  </si>
  <si>
    <t>57222586261; 56840935200; 57420024700; 57420024600</t>
  </si>
  <si>
    <t>Proceedings - 2021 International Symposium on Computer Technology and Information Science, ISCTIS 2021</t>
  </si>
  <si>
    <t>pseudolites; signal processing; software radio; UAV countermeasures</t>
  </si>
  <si>
    <t>2-s2.0-85123219919</t>
  </si>
  <si>
    <t>Baum M.S.</t>
  </si>
  <si>
    <t>Baum, Michael Scott (57897496600)</t>
  </si>
  <si>
    <t>57897496600</t>
  </si>
  <si>
    <t>2-s2.0-85138322631</t>
  </si>
  <si>
    <t>Hazarika H.; Rohit D.; Pasha S.M.K.; Maeda T.; Masyhur I.; Arsyad A.; Nurdin S.</t>
  </si>
  <si>
    <t>Hazarika, Hemanta (6602866368); Rohit, Divyesh (57190884231); Pasha, Siavash Manafi Khajeh (56825735100); Maeda, Tsubasa (57220087500); Masyhur, Irsyam (57220086434); Arsyad, Ardy (52163103400); Nurdin, Sukiman (57216425060)</t>
  </si>
  <si>
    <t>6602866368; 57190884231; 56825735100; 57220087500; 57220086434; 52163103400; 57216425060</t>
  </si>
  <si>
    <t>Soils and Foundations</t>
  </si>
  <si>
    <t>Drone survey; Dynamic cone penetration test; Flow-slide; Large distance flow; Liquefaction; Water film</t>
  </si>
  <si>
    <t>2-s2.0-85096882935</t>
  </si>
  <si>
    <t>Bohacik J.</t>
  </si>
  <si>
    <t>Bohacik, Jan (35730940200)</t>
  </si>
  <si>
    <t>35730940200</t>
  </si>
  <si>
    <t>International Conference on Information and Digital Technologies 2021, IDT 2021</t>
  </si>
  <si>
    <t>9497540</t>
  </si>
  <si>
    <t>data mining; phishing; security; UAV</t>
  </si>
  <si>
    <t>2-s2.0-85112415558</t>
  </si>
  <si>
    <t>Tran T.D.; Thiriet J.-M.; Marchand N.; El Mrabti A.</t>
  </si>
  <si>
    <t>Tran, Trung Duc (57211499864); Thiriet, Jean-Marc (6603235582); Marchand, Nicolas (57787886900); El Mrabti, Amin (35096039900)</t>
  </si>
  <si>
    <t>57211499864; 6603235582; 57787886900; 35096039900</t>
  </si>
  <si>
    <t>104</t>
  </si>
  <si>
    <t>Cybersecurity; Privacy; risk assessment; SORA; Specific operation; UAS</t>
  </si>
  <si>
    <t>2-s2.0-85121034284</t>
  </si>
  <si>
    <t>Aydın S.; Kahraman C.</t>
  </si>
  <si>
    <t>Aydın, Serhat (36809122800); Kahraman, Cengiz (7003388495)</t>
  </si>
  <si>
    <t>36809122800; 7003388495</t>
  </si>
  <si>
    <t>Studies in Systems, Decision and Control</t>
  </si>
  <si>
    <t>372</t>
  </si>
  <si>
    <t>2-s2.0-85114857891</t>
  </si>
  <si>
    <t>Nooralishahi P.; López F.; Maldague X.</t>
  </si>
  <si>
    <t>Nooralishahi, Parham (54382294000); López, Fernando (57188658269); Maldague, Xavier (7003528304)</t>
  </si>
  <si>
    <t>54382294000; 57188658269; 7003528304</t>
  </si>
  <si>
    <t>1412</t>
  </si>
  <si>
    <t>2-s2.0-85100756814</t>
  </si>
  <si>
    <t>Karimibiuki M.; Pattabiraman K.; Ivanov A.</t>
  </si>
  <si>
    <t>Karimibiuki, Mehdi (54917121300); Pattabiraman, Karthik (8887951000); Ivanov, Andre (7404524836)</t>
  </si>
  <si>
    <t>54917121300; 8887951000; 7404524836</t>
  </si>
  <si>
    <t>Authentication; Cyber physical systems; denial of service; DoS; Drone; Drones; Dynamic IoT systems; Internet of Things; IoT; Lyapunov function; PID controller; Robotic vehicles; Security; Stability function; Stability law; UAV; UAVs; Unmanned Aerial Vehicles</t>
  </si>
  <si>
    <t>2-s2.0-85125014889</t>
  </si>
  <si>
    <t>Alladi T.; Venkatesh V.; Chamola V.; Chaturvedi N.</t>
  </si>
  <si>
    <t>Alladi, Tejasvi (57211628204); Venkatesh, Vishnu (57227189700); Chamola, Vinay (55427784900); Chaturvedi, Nitin (36131024600)</t>
  </si>
  <si>
    <t>57211628204; 57227189700; 55427784900; 36131024600</t>
  </si>
  <si>
    <t>IEEE INFOCOM 2021 - IEEE Conference on Computer Communications Workshops, INFOCOM WKSHPS 2021</t>
  </si>
  <si>
    <t>9484594</t>
  </si>
  <si>
    <t>5G base stations; Mutual authentication; PUFs; UAVs; Wireless networks</t>
  </si>
  <si>
    <t>2-s2.0-85113322028</t>
  </si>
  <si>
    <t>Zhang X.; Chen C.; Su K.; Lin L.; Tian Y.</t>
  </si>
  <si>
    <t>Zhang, Xiaomei (57221977762); Chen, Chengbin (57214363937); Su, Kaixiong (16246105000); Lin, Liang (57216416032); Tian, Yaoyuan (57216414696)</t>
  </si>
  <si>
    <t>57221977762; 57214363937; 16246105000; 57216416032; 57216414696</t>
  </si>
  <si>
    <t>632</t>
  </si>
  <si>
    <t>022062</t>
  </si>
  <si>
    <t>Filter fusion; Flight controller; Integrated navigation; PID control; Quadrotor drone</t>
  </si>
  <si>
    <t>2-s2.0-85100838254</t>
  </si>
  <si>
    <t>Bedi J.; Padhy R.K.; Padhi S.S.</t>
  </si>
  <si>
    <t>Bedi, Jatinder (55170651900); Padhy, R.K. (37039699700); Padhi, Sidhartha S. (26323208200)</t>
  </si>
  <si>
    <t>55170651900; 37039699700; 26323208200</t>
  </si>
  <si>
    <t>Industry 4.0 Technologies for Business Excellence: Frameworks, Practices, and Applications</t>
  </si>
  <si>
    <t>2-s2.0-85138368726</t>
  </si>
  <si>
    <t>Chibi N.T.; Ghazi H.E.; Fihri W.F.</t>
  </si>
  <si>
    <t>Chibi, Nabil Tazi (57262783700); Ghazi, Hassan El (24343651400); Fihri, Wassim Fassi (57189075879)</t>
  </si>
  <si>
    <t>57262783700; 24343651400; 57189075879</t>
  </si>
  <si>
    <t>2021 3rd International Conference on Transportation and Smart Technologies, TST 2021</t>
  </si>
  <si>
    <t>Cyber-Security; Drone; Intrusion Detection; Received Signal Strength Indication (RSSI); Trilateration; Vulnerability</t>
  </si>
  <si>
    <t>2-s2.0-85115180881</t>
  </si>
  <si>
    <t>Mondal H.; Chatterjee U.</t>
  </si>
  <si>
    <t>Mondal, Hirak (57213053773); Chatterjee, Urbi (57189003951)</t>
  </si>
  <si>
    <t>57213053773; 57189003951</t>
  </si>
  <si>
    <t>Proceedings of the 2021 Asian Hardware Oriented Security and Trust Symposium, AsianHOST 2021</t>
  </si>
  <si>
    <t>Authentication; Denial of Service; Masquerade Attack; Physically Unclonable Functions; Replay Attack; Unmanned Air Vehicles</t>
  </si>
  <si>
    <t>2-s2.0-85126751849</t>
  </si>
  <si>
    <t>Sidharthan S.; Ashok A.; Bourgeois A.</t>
  </si>
  <si>
    <t>Sidharthan, Sreejesh (57343984300); Ashok, Ashwin (57203025970); Bourgeois, Anu (35407153300)</t>
  </si>
  <si>
    <t>57343984300; 57203025970; 35407153300</t>
  </si>
  <si>
    <t>S3 2021 - Proceedings of the 2021 12th ACM Wireless of the Students, by the Students, and for the Students ,S3 Workshop, Part of ACM MobiCom 2021</t>
  </si>
  <si>
    <t>adversary; attack surface analysis; drone; internet of drone (IoD); threat vectors; UAV</t>
  </si>
  <si>
    <t>2-s2.0-85119279268</t>
  </si>
  <si>
    <t>Sbitnev A.V.; Antonov A.A.; Matyuk S.P.; Anikaev K.P.; Barmotin A.D.</t>
  </si>
  <si>
    <t>Sbitnev, Aleksandr V. (58699627800); Antonov, Aleksandr A. (57428718700); Matyuk, Sergey P. (57428891700); Anikaev, Kirill P. (57428891800); Barmotin, Aleksandr D. (57429781700)</t>
  </si>
  <si>
    <t>58699627800; 57428718700; 57428891700; 57428891800; 57429781700</t>
  </si>
  <si>
    <t>airspace; cybersecurity; information security; unmanned aerial vehicle</t>
  </si>
  <si>
    <t>2-s2.0-85123627467</t>
  </si>
  <si>
    <t>Advances in Science, Technology and Innovation</t>
  </si>
  <si>
    <t>2-s2.0-85119113545</t>
  </si>
  <si>
    <t>Baig M.S.; Ahmed F.; Memon A.M.</t>
  </si>
  <si>
    <t>Baig, Muhammad Sawood (57468168600); Ahmed, Faisal (57223017982); Memon, Ali Mobin (57468784200)</t>
  </si>
  <si>
    <t>57468168600; 57223017982; 57468784200</t>
  </si>
  <si>
    <t>Proceedings - 2021 IEEE 4th International Conference on Computing and Information Sciences, ICCIS 2021</t>
  </si>
  <si>
    <t>campaign's; experiment; phishing; scam; security awareness; Spear-Phishing; target; UAV</t>
  </si>
  <si>
    <t>2-s2.0-85125335050</t>
  </si>
  <si>
    <t>Galvan J.; Raja A.; Li Y.; Yuan J.</t>
  </si>
  <si>
    <t>Galvan, Julio (57302374700); Raja, Ashok (57202846971); Li, Yanyan (56647164200); Yuan, Jiawei (56314792700)</t>
  </si>
  <si>
    <t>57302374700; 57202846971; 56647164200; 56314792700</t>
  </si>
  <si>
    <t>2-s2.0-85124170806</t>
  </si>
  <si>
    <t>Ortner P.; Steinhofler R.; Hodl P.; Leitgeb E.; Fluhr H.</t>
  </si>
  <si>
    <t>Ortner, Philipp (57212082455); Steinhofler, Raphael (57425746000); Hodl, Patrick (57426046700); Leitgeb, Erich (56216645100); Fluhr, Holger (8220359000)</t>
  </si>
  <si>
    <t>57212082455; 57425746000; 57426046700; 56216645100; 8220359000</t>
  </si>
  <si>
    <t>2021 International Symposium on Networks, Computers and Communications, ISNCC 2021</t>
  </si>
  <si>
    <t>Geospatial guidance; GPS; No-fly-zone; Spoofing; UAV</t>
  </si>
  <si>
    <t>2-s2.0-85123418569</t>
  </si>
  <si>
    <t>Ly B.; Ly R.</t>
  </si>
  <si>
    <t>Ly, Bora (57217151790); Ly, Romny (57608844600)</t>
  </si>
  <si>
    <t>57217151790; 57608844600</t>
  </si>
  <si>
    <t>Journal of Cyber Security Technology</t>
  </si>
  <si>
    <t>COVID-19; Cyber-attacks; drone; security; UAS; UAV</t>
  </si>
  <si>
    <t>2-s2.0-85206596386</t>
  </si>
  <si>
    <t>Alluhybi W.I.; Alhazmi O.H.</t>
  </si>
  <si>
    <t>Alluhybi, Wiam I. (57289880300); Alhazmi, Omar H. (9239998700)</t>
  </si>
  <si>
    <t>57289880300; 9239998700</t>
  </si>
  <si>
    <t>2-s2.0-85116756278</t>
  </si>
  <si>
    <t>Hassija V.; Chamola V.; Agrawal A.; Goyal A.; Luong N.C.; Niyato D.; Yu F.R.; Guizani M.</t>
  </si>
  <si>
    <t>Hassija, Vikas (57209808751); Chamola, Vinay (55427784900); Agrawal, Adhar (57224514068); Goyal, Adit (57221313172); Luong, Nguyen Cong (57188862862); Niyato, Dusit (8919714700); Yu, Fei Richard (57328511600); Guizani, Mohsen (7004750176)</t>
  </si>
  <si>
    <t>57209808751; 55427784900; 57224514068; 57221313172; 57188862862; 8919714700; 57328511600; 7004750176</t>
  </si>
  <si>
    <t>IEEE Communications Surveys and Tutorials</t>
  </si>
  <si>
    <t>Blockchain; drone applications; drone security; fog computing; machine learning; software defined networks; UAV</t>
  </si>
  <si>
    <t>2-s2.0-85116684743</t>
  </si>
  <si>
    <t>Alrefaei F.; Alzahrani A.; Song H.; Alrefaei S.</t>
  </si>
  <si>
    <t>Alrefaei, Faisal (57219802712); Alzahrani, Abdullah (57219287914); Song, Houbing (57199094588); Alrefaei, Salma (57224007994)</t>
  </si>
  <si>
    <t>57219802712; 57219287914; 57199094588; 57224007994</t>
  </si>
  <si>
    <t>2022 IEEE International IOT, Electronics and Mechatronics Conference, IEMTRONICS 2022</t>
  </si>
  <si>
    <t>cyber attack; deep learning; jamming attack; orthogonal frequency; UAV</t>
  </si>
  <si>
    <t>2-s2.0-85133850385</t>
  </si>
  <si>
    <t>Salamh F.E.; Karabiyik U.; Rogers M.K.; Matson E.T.</t>
  </si>
  <si>
    <t>Salamh, Fahad E. (57210393197); Karabiyik, Umit (56493051000); Rogers, Marcus K. (7402696818); Matson, Eric T. (7006694440)</t>
  </si>
  <si>
    <t>57210393197; 56493051000; 7402696818; 7006694440</t>
  </si>
  <si>
    <t>2021 IEEE 11th Annual Computing and Communication Workshop and Conference, CCWC 2021</t>
  </si>
  <si>
    <t>9376090</t>
  </si>
  <si>
    <t>cyber threats; drone forensic; kill chain; penetration testing; purple teaming tactics; UAV</t>
  </si>
  <si>
    <t>2-s2.0-85103450750</t>
  </si>
  <si>
    <t>Nwadiugwu W.-P.; Kim S.-H.; Kim D.-S.</t>
  </si>
  <si>
    <t>Nwadiugwu, Williams-Paul (57201360044); Kim, Seung-Hwan (57196228468); Kim, Dong-Seong (55586876300)</t>
  </si>
  <si>
    <t>57201360044; 57196228468; 55586876300</t>
  </si>
  <si>
    <t>4-D trajectory recreational drones; Global navigation satellite system (GNSS); Hybrid cubature-extended Kalman filter (C-EKF); Inertial measurement unit (IMU); Precise point positioning (PPP)</t>
  </si>
  <si>
    <t>2-s2.0-85116978314</t>
  </si>
  <si>
    <t>Ayati S.A.; Naji H.R.</t>
  </si>
  <si>
    <t>Ayati, Seyed Aref (58719783600); Naji, Hamid Reza (6602675299)</t>
  </si>
  <si>
    <t>58719783600; 6602675299</t>
  </si>
  <si>
    <t>2022 9th Iranian Joint Congress on Fuzzy and Intelligent Systems, CFIS 2022</t>
  </si>
  <si>
    <t>Access Control; Cryptography; Distributed Systems; Internet of Drones; Internet of Things; Internet Security; IoT; Kerberos; Smart Cities; UAV; UAV Communication Network</t>
  </si>
  <si>
    <t>2-s2.0-85129532524</t>
  </si>
  <si>
    <t>Sallouha H.; Chiumento A.; Pollin S.</t>
  </si>
  <si>
    <t>Sallouha, Hazem (57195481534); Chiumento, Alessandro (55028773700); Pollin, Sofie (8601601500)</t>
  </si>
  <si>
    <t>57195481534; 55028773700; 8601601500</t>
  </si>
  <si>
    <t>dynamic clock model; Kalman filter; Localization; multilateration; synchronization; TDoA; tracking; unmanned aerial vehicle (UAV)</t>
  </si>
  <si>
    <t>2-s2.0-85112535270</t>
  </si>
  <si>
    <t>Syed F.; Gupta S.K.; Hamood Alsamhi S.; Rashid M.; Liu X.</t>
  </si>
  <si>
    <t>Syed, Farheen (57219315373); Gupta, Sachin Kumar (57213337960); Hamood Alsamhi, Saeed (56159911000); Rashid, Mamoon (57191990629); Liu, Xuan (57189758194)</t>
  </si>
  <si>
    <t>57219315373; 57213337960; 56159911000; 57191990629; 57189758194</t>
  </si>
  <si>
    <t>Transactions on Emerging Telecommunications Technologies</t>
  </si>
  <si>
    <t>32</t>
  </si>
  <si>
    <t>e4133</t>
  </si>
  <si>
    <t>2-s2.0-85092191216</t>
  </si>
  <si>
    <t>Zou Y.; Zhu J.; Wu T.; Guo H.; Wei H.</t>
  </si>
  <si>
    <t>Zou, Yulong (55939922900); Zhu, Jia (8341788300); Wu, Tonghua (8624277100); Guo, Haiyan (55468684200); Wei, Hao (57346242200)</t>
  </si>
  <si>
    <t>55939922900; 8341788300; 8624277100; 55468684200; 57346242200</t>
  </si>
  <si>
    <t>2-s2.0-85119423764</t>
  </si>
  <si>
    <t>Zheng X.; Wu H.</t>
  </si>
  <si>
    <t>Zheng, Xiujuan (56797047200); Wu, Huaiyu (9434844600)</t>
  </si>
  <si>
    <t>56797047200; 9434844600</t>
  </si>
  <si>
    <t>Digital Signal Processing: A Review Journal</t>
  </si>
  <si>
    <t>117</t>
  </si>
  <si>
    <t>103159</t>
  </si>
  <si>
    <t>Cyber-physical system; Denial of service attack; Exponential boundedness; False data injection attack; Physical attack; Randomly occurring nonlinearities</t>
  </si>
  <si>
    <t>2-s2.0-85110591632</t>
  </si>
  <si>
    <t>Cheema M.A.; Shehzad M.K.; Qureshi H.K.; Hassan S.A.; Jung H.</t>
  </si>
  <si>
    <t>Cheema, Muhammad Asaad (57218211574); Shehzad, Muhammad Karam (57193558444); Qureshi, Hassaan Khaliq (16643746200); Hassan, Syed Ali (36679064300); Jung, Haejoon (36975737700)</t>
  </si>
  <si>
    <t>57218211574; 57193558444; 16643746200; 36679064300; 36975737700</t>
  </si>
  <si>
    <t>9187206</t>
  </si>
  <si>
    <t>Backhaul network; blockchain; drones; intelligent transportation; roadside units (RSUs); UAVs; unsupervised learning</t>
  </si>
  <si>
    <t>2-s2.0-85110911750</t>
  </si>
  <si>
    <t>Durfey N.; Sajal S.</t>
  </si>
  <si>
    <t>Durfey, Nyles (57796325500); Sajal, Sayeed (55960386900)</t>
  </si>
  <si>
    <t>57796325500; 55960386900</t>
  </si>
  <si>
    <t>2022 Intermountain Engineering, Technology and Computing, IETC 2022</t>
  </si>
  <si>
    <t>Autonomous; Challenges; Drone; Security</t>
  </si>
  <si>
    <t>2-s2.0-85133955713</t>
  </si>
  <si>
    <t>Comparative model; Data integrity; Digital evidence traceability; Kill chain; Technical issues; UAV Forensic</t>
  </si>
  <si>
    <t>2-s2.0-85107210418</t>
  </si>
  <si>
    <t>Rahman A.D.B.A.; Ghani K.A.; Khamis N.H.H.; Sidek A.R.M.</t>
  </si>
  <si>
    <t>Rahman, Ahmad Danial Bin Abdul (57222537940); Ghani, Kamaruddin Abdul (55998965300); Khamis, Nor Hisham H. (9942660300); Sidek, Abd Rahim Mat (24734441200)</t>
  </si>
  <si>
    <t>57222537940; 55998965300; 9942660300; 24734441200</t>
  </si>
  <si>
    <t>1793</t>
  </si>
  <si>
    <t>012060</t>
  </si>
  <si>
    <t>Drone; GPS; Jammer; Jamming; SDR; Unmanned Aerial Vehicle</t>
  </si>
  <si>
    <t>2-s2.0-85103082724</t>
  </si>
  <si>
    <t>Xiao L.; Jiang D.; Liu S.</t>
  </si>
  <si>
    <t>Xiao, Liang (51462321100); Jiang, Donghua (57203007272); Liu, Sicong (55804685300)</t>
  </si>
  <si>
    <t>51462321100; 57203007272; 55804685300</t>
  </si>
  <si>
    <t>Cyber Security Meets Machine Learning</t>
  </si>
  <si>
    <t>2-s2.0-85158946994</t>
  </si>
  <si>
    <t>Horota R.K.; Bachi L.; Aires A.S.; Racolte G.; Procksch N.; Danilewicz D.; Berchieri N.B.; Ott P.H.; Spigolon A.; De Oliveira L.R.; Gonzaga L., Jr.; Veronez M.R.</t>
  </si>
  <si>
    <t>Horota, Rafael Kenji (57210920444); Bachi, Leonardo (57217596544); Aires, Alysson Soares (57210914749); Racolte, Graciela (57239191100); Procksch, Natália (57219932317); Danilewicz, Daniel (22939933900); Berchieri, Natalia Bragiola (57678828000); Ott, Paulo Henrique (23390585200); Spigolon, André (55611817600); De Oliveira, Larissa Rosa (55191597100); Gonzaga, Luiz (56071435800); Veronez, Maurício Roberto (26023922300)</t>
  </si>
  <si>
    <t>57210920444; 57217596544; 57210914749; 57239191100; 57219932317; 22939933900; 57678828000; 23390585200; 55611817600; 55191597100; 56071435800; 26023922300</t>
  </si>
  <si>
    <t>International Geoscience and Remote Sensing Symposium (IGARSS)</t>
  </si>
  <si>
    <t>Coastal; DOM; Geomorphology; Island; Photogrammetry; RPA; VOM</t>
  </si>
  <si>
    <t>2-s2.0-85129896006</t>
  </si>
  <si>
    <t>Chaudhry S.A.; Yahya K.; Karuppiah M.; Kharel R.; Bashir A.K.; Zikria Y.B.</t>
  </si>
  <si>
    <t>Chaudhry, Shehzad Ashraf (55270209500); Yahya, Khalid (57202966631); Karuppiah, Marimuthu (57190179294); Kharel, Rupak (25122762400); Bashir, Ali Kashif (57193954653); Zikria, Yousaf Bin (24825945700)</t>
  </si>
  <si>
    <t>55270209500; 57202966631; 57190179294; 25122762400; 57193954653; 24825945700</t>
  </si>
  <si>
    <t>191</t>
  </si>
  <si>
    <t>107999</t>
  </si>
  <si>
    <t>Device access control; IoD; Key establishment; Stolen IoT device; UAV</t>
  </si>
  <si>
    <t>2-s2.0-85102901331</t>
  </si>
  <si>
    <t>AL-Ghafri F.’S.S.; Vidhya L.</t>
  </si>
  <si>
    <t>AL-Ghafri, Fat’hi Salim Said (57425435400); Vidhya,  Lavanya (57207912563)</t>
  </si>
  <si>
    <t>57425435400; 57207912563</t>
  </si>
  <si>
    <t>311</t>
  </si>
  <si>
    <t>2-s2.0-85123444462</t>
  </si>
  <si>
    <t>Salib A.; Moussa A.; Moussa M.; El-Sheimy N.</t>
  </si>
  <si>
    <t>Salib, A. (57222094101); Moussa, A. (36155022900); Moussa, M. (35422643300); El-Sheimy, N. (59454510300)</t>
  </si>
  <si>
    <t>57222094101; 36155022900; 35422643300; 59454510300</t>
  </si>
  <si>
    <t>ICCSPA 2020 - 4th International Conference on Communications, Signal Processing, and their Applications</t>
  </si>
  <si>
    <t>2021-January</t>
  </si>
  <si>
    <t>Heading; Magnetometer; Monocular camera; UAV; Visual odometry</t>
  </si>
  <si>
    <t>2-s2.0-85122419170</t>
  </si>
  <si>
    <t>Dovgal V.A.; Dovgal D.V.</t>
  </si>
  <si>
    <t>Dovgal, Vitaly A. (57217211937); Dovgal, Dmitry V. (57226377831)</t>
  </si>
  <si>
    <t>57217211937; 57226377831</t>
  </si>
  <si>
    <t>CEUR Workshop Proceedings</t>
  </si>
  <si>
    <t>2914</t>
  </si>
  <si>
    <t>Hacking Methods; Information Attacks; Protection Against Hacking; Security; Threats and Vulnerabilities; Unmanned Aerial Vehicle</t>
  </si>
  <si>
    <t>2-s2.0-85111397640</t>
  </si>
  <si>
    <t>Shin S.; Min D.; Lee J.</t>
  </si>
  <si>
    <t>Shin, Seokhyun (57223291673); Min, Dongchan (57211901519); Lee, Jiyun (8888772500)</t>
  </si>
  <si>
    <t>57223291673; 57211901519; 8888772500</t>
  </si>
  <si>
    <t>International Journal of Aeronautical and Space Sciences</t>
  </si>
  <si>
    <t>3D structure/landmark; Constraint method; Edge detection; Edge matching; Frame matching; GPS-denied environment; Hausdorff distance; Hough transform; Iterative closest point; Map tile; Pixel-meter coordinate transformation; Pseudo frame; Vincenty’s formulae; Vision navigation</t>
  </si>
  <si>
    <t>2-s2.0-85105471507</t>
  </si>
  <si>
    <t>Platenka V.; Vrsecka M.; Novotny J.</t>
  </si>
  <si>
    <t>Platenka, Vaclav (43661785100); Vrsecka, Marketa (6504218575); Novotny, Jakub (57210109231)</t>
  </si>
  <si>
    <t>43661785100; 6504218575; 57210109231</t>
  </si>
  <si>
    <t>2021 Communication and Information Technologies Conference Proceedings, KIT 2021 - 11th International Scientific Conference</t>
  </si>
  <si>
    <t>AKRS; CipherCAD; jamming; signal analysis; SPECON; UAV</t>
  </si>
  <si>
    <t>2-s2.0-85119212562</t>
  </si>
  <si>
    <t>Pawlak J.; Li Y.; Price J.; Wright M.; Al Shamaileh K.; Niyaz Q.; Devabhaktuni V.</t>
  </si>
  <si>
    <t>Pawlak, Jered (57328283100); Li, Yuchen (57328376000); Price, Joshua (57328190400); Wright, Matthew (57328748700); Al Shamaileh, Khair (37113626900); Niyaz, Quamar (55191240800); Devabhaktuni, Vijay (6602156750)</t>
  </si>
  <si>
    <t>57328283100; 57328376000; 57328190400; 57328748700; 37113626900; 55191240800; 6602156750</t>
  </si>
  <si>
    <t>WiseML 2021 - Proceedings of the 3rd ACM Workshop on Wireless Security and Machine Learning</t>
  </si>
  <si>
    <t>Jamming; machine learning (ML); orthogonal frequency division multiplexing (OFDM); software-defined radio (SDR); unmanned aerial vehicles (UAVs)</t>
  </si>
  <si>
    <t>2-s2.0-85118806310</t>
  </si>
  <si>
    <t>Bozveliev B.; Sotirov S.; Videv T.; Simeonov S.</t>
  </si>
  <si>
    <t>Bozveliev, Boris (57215420825); Sotirov, Sotir (8898363100); Videv, Tihomir (57215429376); Simeonov, Stanislav (48762199100)</t>
  </si>
  <si>
    <t>57215420825; 8898363100; 57215429376; 48762199100</t>
  </si>
  <si>
    <t>Studies in Big Data</t>
  </si>
  <si>
    <t>84</t>
  </si>
  <si>
    <t>Drone; Generalized nets; Intuitionistic fuzzy sets; Open TX; Receiver; Telemetry; Transmitter; UAV</t>
  </si>
  <si>
    <t>2-s2.0-85129107940</t>
  </si>
  <si>
    <t>Arat J.A.; Chua A.; Rosa L.A.D.; Ilao J.; Jamilla M.J.; Reyes J.R.; Sapang O.; Sybingco E.</t>
  </si>
  <si>
    <t>Arat, Jeamron Angelo (58196949300); Chua, Alvin (57194329774); Rosa, Louis Adrian Dela (58197446400); Ilao, Joel (55817587400); Jamilla, Marc Jervin (58197551000); Reyes, Jason Renz (57544282500); Sapang, Oswald (56771410100); Sybingco, Edwin (55497208700)</t>
  </si>
  <si>
    <t>58196949300; 57194329774; 58197446400; 55817587400; 58197551000; 57544282500; 56771410100; 55497208700</t>
  </si>
  <si>
    <t>International Journal of Automation and Smart Technology</t>
  </si>
  <si>
    <t>2-s2.0-85153618191</t>
  </si>
  <si>
    <t>Mamchenko M.V.</t>
  </si>
  <si>
    <t>Mamchenko, M.V. (57212309079)</t>
  </si>
  <si>
    <t>57212309079</t>
  </si>
  <si>
    <t>1864</t>
  </si>
  <si>
    <t>012127</t>
  </si>
  <si>
    <t>2-s2.0-85107393033</t>
  </si>
  <si>
    <t>Ko Y.; Kim J.; Duguma D.G.; Astillo P.V.; You I.; Pau G.</t>
  </si>
  <si>
    <t>Ko, Yongho (57202961487); Kim, Jiyoon (57194766336); Duguma, Daniel Gerbi (57212171288); Astillo, Philip Virgil (57188880384); You, Ilsun (14038401900); Pau, Giovanni (57201304014)</t>
  </si>
  <si>
    <t>57202961487; 57194766336; 57212171288; 57188880384; 14038401900; 57201304014</t>
  </si>
  <si>
    <t>2057</t>
  </si>
  <si>
    <t>Attacks; D2D; D2GCS; Drone; Formal verification; Security; Vulnerability</t>
  </si>
  <si>
    <t>2-s2.0-85102466314</t>
  </si>
  <si>
    <t>Maurer N.; Graupl T.; Schmitt C.; Rodosek G.D.</t>
  </si>
  <si>
    <t>Maurer, Nils (57202960845); Graupl, Thomas (21742549100); Schmitt, Corinna (55188550100); Rodosek, Gabi Dreo (6506473345)</t>
  </si>
  <si>
    <t>57202960845; 21742549100; 55188550100; 6506473345</t>
  </si>
  <si>
    <t>Proceedings of the IM 2021 - 2021 IFIP/IEEE International Symposium on Integrated Network Management</t>
  </si>
  <si>
    <t>9464072</t>
  </si>
  <si>
    <t>Cybersecurity; L-band Digital Aeronautical Communications System (LDACS); Mutual Authentication and Key Exchange (MKE); Physical Unclonable Function (PUF)</t>
  </si>
  <si>
    <t>2-s2.0-85113627342</t>
  </si>
  <si>
    <t>Lei Z.; DIng P.; Zheng W.; Fei X.; Fan H.</t>
  </si>
  <si>
    <t>Lei, Zhipeng (58383423200); DIng, Peng (57222100120); Zheng, Wei (57215081927); Fei, Xuan (57215086427); Fan, Houyang (57216269895)</t>
  </si>
  <si>
    <t>58383423200; 57222100120; 57215081927; 57215086427; 57216269895</t>
  </si>
  <si>
    <t>Proceedings of the 33rd Chinese Control and Decision Conference, CCDC 2021</t>
  </si>
  <si>
    <t>GPS repeater deception jamming; partial-band noise jamming; UAV countermeasures</t>
  </si>
  <si>
    <t>2-s2.0-85125193071</t>
  </si>
  <si>
    <t>Bansal G.; Sikdar B.</t>
  </si>
  <si>
    <t>Bansal, Gaurang (57210318404); Sikdar, Biplab (7003523486)</t>
  </si>
  <si>
    <t>57210318404; 7003523486</t>
  </si>
  <si>
    <t>2021 IEEE Globecom Workshops, GC Wkshps 2021 - Proceedings</t>
  </si>
  <si>
    <t>and privacy; mutual authentication; physical security; security; Unmanned aerial vehicles</t>
  </si>
  <si>
    <t>2-s2.0-85126096315</t>
  </si>
  <si>
    <t>Jares G.; Valasek J.</t>
  </si>
  <si>
    <t>Jares, Garrett (57226390757); Valasek, John (7003832864)</t>
  </si>
  <si>
    <t>57226390757; 7003832864</t>
  </si>
  <si>
    <t>AIAA 2021-3222</t>
  </si>
  <si>
    <t>2-s2.0-85123885507</t>
  </si>
  <si>
    <t>Majid I.; Sabatini R.; Kramer K.A.; Blasch E.; Fasano G.; Andrews G.; Camargo C.; Roy A.</t>
  </si>
  <si>
    <t>Majid, Irfan (6603429505); Sabatini, Roberto (56962744800); Kramer, Kathleen A. (11540577600); Blasch, Erik (7003503895); Fasano, Giancarmine (16174945500); Andrews, George (57222811184); Camargo, Christopher (56219075900); Roy, Aloke (7402704513)</t>
  </si>
  <si>
    <t>6603429505; 56962744800; 11540577600; 7003503895; 16174945500; 57222811184; 56219075900; 7402704513</t>
  </si>
  <si>
    <t>9398208</t>
  </si>
  <si>
    <t>2-s2.0-85104082190</t>
  </si>
  <si>
    <t>Katta S.S.; Nandyala S.; Viegas E.K.; Almahmoud A.</t>
  </si>
  <si>
    <t>Katta, Sai Srinadhu (57215319814); Nandyala, Sivaprasad (54894167400); Viegas, Eduardo Kugler (55489491500); Almahmoud, Abdelrahman (55650759800)</t>
  </si>
  <si>
    <t>57215319814; 54894167400; 55489491500; 55650759800</t>
  </si>
  <si>
    <t>Proceedings - 5th Workshop on Benchmarking Cyber-Physical Systems and Internet of Things, CPS-IoTBench 2022</t>
  </si>
  <si>
    <t>Audio; Deep learning; Detection; Identification; UAVs</t>
  </si>
  <si>
    <t>2-s2.0-85134332833</t>
  </si>
  <si>
    <t>Kilic F.R.; Ozdogan M.O.; Secinti G.; Canberk B.</t>
  </si>
  <si>
    <t>Kilic, Firat Rozkan (57226386855); Ozdogan, Mehmet Ozgen (57226388331); Secinti, Gokhan (55772480100); Canberk, Berk (35084950600)</t>
  </si>
  <si>
    <t>57226386855; 57226388331; 55772480100; 35084950600</t>
  </si>
  <si>
    <t>379</t>
  </si>
  <si>
    <t>B.A.T.M.A.N; Connectivity; Dynamic tree topology; Jamming; MAVLink; Proactive routing; Traffic control messages; Wireless mesh networks</t>
  </si>
  <si>
    <t>2-s2.0-85111355277</t>
  </si>
  <si>
    <t>Kariri E.</t>
  </si>
  <si>
    <t>Kariri, Elham (57211977776)</t>
  </si>
  <si>
    <t>57211977776</t>
  </si>
  <si>
    <t>IETE Journal of Research</t>
  </si>
  <si>
    <t>IoT security; IoT security threats; Smart agriculture; Smart farming; Threat intelligence</t>
  </si>
  <si>
    <t>2-s2.0-85125460363</t>
  </si>
  <si>
    <t>Sridhar B.; Chatterji G.; Freeman K.</t>
  </si>
  <si>
    <t>Sridhar, Banavar (56240211100); Chatterji, Gano (6701542188); Freeman, Kenneth (23972273100)</t>
  </si>
  <si>
    <t>56240211100; 6701542188; 23972273100</t>
  </si>
  <si>
    <t>AIAA 2021-3008</t>
  </si>
  <si>
    <t>2-s2.0-85123434297</t>
  </si>
  <si>
    <t>The proceedings contain 19 papers. The topics discussed include: research of the methods of collision avoidance of aircraft with the ground in controlled flight during landing; construction of a spatial stealthy trajectory of the aircraft in the detection zone of the onboard doppler radar; development of an unmanned aerial vehicle for the delivery of goods to the northern and remote regions of russia; methodology for scientific publications search results automated structuring to analyze the level of elaboration of scientific and technical problems in the aviation industry; investigation of the peculiarities of a pilot-athlete’s perception of non-instrumental information about vertical aerobatic overload; ensuring the cybersecurity of unmanned aerial vehicles as integrated into a single airspace; and monitoring and adaptive robust protection of inertial satellite navigation systems from natural and imitation interference.</t>
  </si>
  <si>
    <t>2-s2.0-85123569953</t>
  </si>
  <si>
    <t>Khanapuri E.; Sharma R.; Brink K.</t>
  </si>
  <si>
    <t>Khanapuri, Eshaan (57207938207); Sharma, Rajnikant (55685389000); Brink, Kevin (36668159600)</t>
  </si>
  <si>
    <t>57207938207; 55685389000; 36668159600</t>
  </si>
  <si>
    <t>AIAA 2022-2543</t>
  </si>
  <si>
    <t>2-s2.0-85123870568</t>
  </si>
  <si>
    <t>Barenji R.V.; Nejad M.G.</t>
  </si>
  <si>
    <t>Barenji, Reza Vatankhah (55617146300); Nejad, Mazyar Ghadiri (57198889162)</t>
  </si>
  <si>
    <t>55617146300; 57198889162</t>
  </si>
  <si>
    <t>2-s2.0-85114866437</t>
  </si>
  <si>
    <t>Jiang Y.; Yuan J.; Sun L.; Song H.</t>
  </si>
  <si>
    <t>Jiang, Yushan (59067241600); Yuan, Jiawei (56314792700); Sun, Lulu (56141567700); Song, Houbing (57199094588)</t>
  </si>
  <si>
    <t>59067241600; 56314792700; 56141567700; 57199094588</t>
  </si>
  <si>
    <t>2-s2.0-85124507559</t>
  </si>
  <si>
    <t>Khan N.A.; Jhanjhi N.Z.; Brohi S.N.; Almazroi A.A.; Almazroi A.A.</t>
  </si>
  <si>
    <t>Khan, Navid Ali (57216537861); Jhanjhi, N.Z. (36088700700); Brohi, Sarfraz Nawaz (55008038000); Almazroi, Abdulwahab Ali (57201694355); Almazroi, Abdulaleem Ali (56010596900)</t>
  </si>
  <si>
    <t>57216537861; 36088700700; 55008038000; 57201694355; 56010596900</t>
  </si>
  <si>
    <t>Drones security; Mavlink protocol; UAVs communication; Unmanned aerial vehicles</t>
  </si>
  <si>
    <t>2-s2.0-85114553078</t>
  </si>
  <si>
    <t>Kumar C.R.S.; Mohanty S.</t>
  </si>
  <si>
    <t>Kumar, C.R.S. (57190246096); Mohanty, Sanket (57218113593)</t>
  </si>
  <si>
    <t>57190246096; 57218113593</t>
  </si>
  <si>
    <t>2021-October</t>
  </si>
  <si>
    <t>Attacks; Cyber Security; Drones; GPS Spoofing; Moving Target Defence; UAVs; Vulnerabilities</t>
  </si>
  <si>
    <t>2-s2.0-85127288812</t>
  </si>
  <si>
    <t>Hollenbeck D.; Zulevic D.; Chen Y.</t>
  </si>
  <si>
    <t>Hollenbeck, Derek (57203980847); Zulevic, Demitrius (57280895300); Chen, Yangquan (7601439185)</t>
  </si>
  <si>
    <t>57203980847; 57280895300; 7601439185</t>
  </si>
  <si>
    <t>Advanced leak detection; Advanced leak quantification; Environmental monitoring; Landfill; Natural gas; Remote sensing; Source estimation</t>
  </si>
  <si>
    <t>2-s2.0-85118550606</t>
  </si>
  <si>
    <t>Pöpper C.</t>
  </si>
  <si>
    <t>Pöpper, Christina (24554344400)</t>
  </si>
  <si>
    <t>24554344400</t>
  </si>
  <si>
    <t>CPSS 2021 - Proceedings of the 7th ACM Cyber-Physical System Security Workshop</t>
  </si>
  <si>
    <t>ADS-B; aviation security; GPS; wireless system security</t>
  </si>
  <si>
    <t>2-s2.0-85108551914</t>
  </si>
  <si>
    <t>Artificial neural network; False data injection attack; Unmanned aerial vehicles</t>
  </si>
  <si>
    <t>2-s2.0-85125616229</t>
  </si>
  <si>
    <t>Silva L.D.C.; Dias F.F.; de Assis V.C.; Pinto C.B.; Rangel F.E.</t>
  </si>
  <si>
    <t>Silva, Luciana da C. (57816738800); Dias, Fábio F. (29067602200); de Assis, Vânia C. (57816105400); Pinto, Camille de B. (57816259900); Rangel, Fábio E. (57815787900)</t>
  </si>
  <si>
    <t>57816738800; 29067602200; 57816105400; 57816259900; 57815787900</t>
  </si>
  <si>
    <t>Validation of the positional accuracy of products resulting from the digital processing of UAV images1; [Validação da acurácia posicional dos produtos resultantes do processamento digital de imagens de VANTs]</t>
  </si>
  <si>
    <t>Revista Brasileira de Engenharia Agricola e Ambiental</t>
  </si>
  <si>
    <t>26</t>
  </si>
  <si>
    <t>2-s2.0-85134766649</t>
  </si>
  <si>
    <t>Tufekci B.; Tunc C.</t>
  </si>
  <si>
    <t>Tufekci, Burak (59393088100); Tunc, Cihan (35849159700)</t>
  </si>
  <si>
    <t>59393088100; 35849159700</t>
  </si>
  <si>
    <t>Proceedings of IEEE/ACS International Conference on Computer Systems and Applications, AICCSA</t>
  </si>
  <si>
    <t>Cybersecurity; Threat Modeling; UAV</t>
  </si>
  <si>
    <t>2-s2.0-85125651559</t>
  </si>
  <si>
    <t>Žnidarič A.; Kreslin M.; Anžlin A.; Krivic A.; Mongus D.</t>
  </si>
  <si>
    <t>Žnidarič, Aleš (6506050864); Kreslin, Maja (34872596700); Anžlin, Andrej (56674538800); Krivic, Andraž (57388386600); Mongus, Domen (35292778200)</t>
  </si>
  <si>
    <t>6506050864; 34872596700; 56674538800; 57388386600; 35292778200</t>
  </si>
  <si>
    <t>200 LNCE</t>
  </si>
  <si>
    <t>Concrete crack; Deep convolutional neural networks; Unmanned aerial vehicle; Visual inspection</t>
  </si>
  <si>
    <t>2-s2.0-85121936039</t>
  </si>
  <si>
    <t>Chamola V.; Kotesh P.; Agarwal A.; Naren; Gupta N.; Guizani M.</t>
  </si>
  <si>
    <t>Chamola, Vinay (55427784900); Kotesh, Pavan (57219936596); Agarwal, Aayush (57219943695); Naren (57215844696); Gupta, Navneet (55449335500); Guizani, Mohsen (7004750176)</t>
  </si>
  <si>
    <t>55427784900; 57219936596; 57219943695; 57215844696; 55449335500; 7004750176</t>
  </si>
  <si>
    <t>102324</t>
  </si>
  <si>
    <t>Attacks; Drone; Jamming; Neutralization; UAV</t>
  </si>
  <si>
    <t>2-s2.0-85096189824</t>
  </si>
  <si>
    <t>Khan S.Z.; Mohsin M.; Iqbal W.</t>
  </si>
  <si>
    <t>Khan, Shah Zahid (57224505528); Mohsin, Mujahid (36624145900); Iqbal, Waseem (56102434000)</t>
  </si>
  <si>
    <t>57224505528; 36624145900; 56102434000</t>
  </si>
  <si>
    <t>PeerJ Computer Science</t>
  </si>
  <si>
    <t>Drones; GPS spoofing; Security threats; Survey; Taxonomy; UAVs</t>
  </si>
  <si>
    <t>2-s2.0-85107774016</t>
  </si>
  <si>
    <t>Gabrielsson J.; Bugeja J.; Vogel B.</t>
  </si>
  <si>
    <t>Gabrielsson, Jonas (57245285100); Bugeja, Joseph (57193870274); Vogel, Bahtijar (36167574000)</t>
  </si>
  <si>
    <t>57245285100; 57193870274; 36167574000</t>
  </si>
  <si>
    <t>9460295</t>
  </si>
  <si>
    <t>attack; Deauthentication; Drone; IoT; open-source software; privacy; UAV</t>
  </si>
  <si>
    <t>2-s2.0-85114205880</t>
  </si>
  <si>
    <t>Minucci F.; Vinogradov E.; Pollin S.</t>
  </si>
  <si>
    <t>Minucci, Franco (25930501000); Vinogradov, Evgenii (56405212500); Pollin, Sofie (8601601500)</t>
  </si>
  <si>
    <t>25930501000; 56405212500; 8601601500</t>
  </si>
  <si>
    <t>9133405</t>
  </si>
  <si>
    <t>air traffic control; collision avoidance; Unmanned aerial vehicles; wireless communication</t>
  </si>
  <si>
    <t>2-s2.0-85094177094</t>
  </si>
  <si>
    <t>Pyzynski M.</t>
  </si>
  <si>
    <t>Pyzynski, M. (57219728107)</t>
  </si>
  <si>
    <t>57219728107</t>
  </si>
  <si>
    <t>2020 International Conference on Unmanned Aircraft Systems, ICUAS 2020</t>
  </si>
  <si>
    <t>9213922</t>
  </si>
  <si>
    <t>2-s2.0-85094954629</t>
  </si>
  <si>
    <t>Ma C.; Yang J.; Zhou C.</t>
  </si>
  <si>
    <t>Ma, Chao (57199374175); Yang, Jun (57061066100); Zhou, Chao (55657892500)</t>
  </si>
  <si>
    <t>57199374175; 57061066100; 55657892500</t>
  </si>
  <si>
    <t>IOP Conference Series: Materials Science and Engineering</t>
  </si>
  <si>
    <t>685</t>
  </si>
  <si>
    <t>012023</t>
  </si>
  <si>
    <t>2-s2.0-85078229665</t>
  </si>
  <si>
    <t>Riabukha V.P.</t>
  </si>
  <si>
    <t>Riabukha, V.P. (57210431843)</t>
  </si>
  <si>
    <t>57210431843</t>
  </si>
  <si>
    <t>Radioelectronics and Communications Systems</t>
  </si>
  <si>
    <t>63</t>
  </si>
  <si>
    <t>2-s2.0-85099087105</t>
  </si>
  <si>
    <t>Xue N.; Niu L.; Hong X.; Li Z.; Hoffaeller L.; Pöpper C.</t>
  </si>
  <si>
    <t>Xue, Nian (57219528169); Niu, Liang (57201852280); Hong, Xianbin (56562366500); Li, Zhen (57071914800); Hoffaeller, Larissa (57221053736); Pöpper, Christina (24554344400)</t>
  </si>
  <si>
    <t>57219528169; 57201852280; 56562366500; 57071914800; 57221053736; 24554344400</t>
  </si>
  <si>
    <t>3427254</t>
  </si>
  <si>
    <t>deep learning; GPS spoofing detection; neural networks; UAV</t>
  </si>
  <si>
    <t>2-s2.0-85098068579</t>
  </si>
  <si>
    <t>Ferrao I.G.; Da Silva S.A.; Pigatto D.F.; Branco K.R.L.J.C.</t>
  </si>
  <si>
    <t>Ferrao, Isadora G. (57219595665); Da Silva, Sherlon A. (57208385687); Pigatto, Daniel F. (54946641900); Branco, Kalinka R. L. J. C. (51461017000)</t>
  </si>
  <si>
    <t>57219595665; 57208385687; 54946641900; 51461017000</t>
  </si>
  <si>
    <t>2020 Latin American Robotics Symposium, 2020 Brazilian Symposium on Robotics and 2020 Workshop on Robotics in Education, LARS-SBR-WRE 2020</t>
  </si>
  <si>
    <t>9307036</t>
  </si>
  <si>
    <t>GPS Spoofing in UAVs; Security and Safety for UAVs</t>
  </si>
  <si>
    <t>2-s2.0-85100317843</t>
  </si>
  <si>
    <t>Abunada A.H.; Osman A.Y.; Khandakar A.; Chowdhury M.E.H.; Khattab T.; Touati F.</t>
  </si>
  <si>
    <t>Abunada, Abdularahman Hasan (57216955460); Osman, Ahmed Yousif (57216956229); Khandakar, Amith (36053012700); Chowdhury, Muhammad Enamul Hoque (8964151000); Khattab, Tamer (8334317300); Touati, Farid (23098760300)</t>
  </si>
  <si>
    <t>57216955460; 57216956229; 36053012700; 8964151000; 8334317300; 23098760300</t>
  </si>
  <si>
    <t>2020 IEEE International Conference on Informatics, IoT, and Enabling Technologies, ICIoT 2020</t>
  </si>
  <si>
    <t>9089515</t>
  </si>
  <si>
    <t>Anti-Drone System; Jamming signal generation; RF Control signal</t>
  </si>
  <si>
    <t>2-s2.0-85085474805</t>
  </si>
  <si>
    <t>Al-Turjman F.; Abujubbeh M.; Malekloo A.; Mostarda L.</t>
  </si>
  <si>
    <t>Al-Turjman, Fadi (20336944100); Abujubbeh, Mohammad (57195137644); Malekloo, Arman (57209105340); Mostarda, Leonardo (57221267553)</t>
  </si>
  <si>
    <t>20336944100; 57195137644; 57209105340; 57221267553</t>
  </si>
  <si>
    <t>150</t>
  </si>
  <si>
    <t>Drones; Internet of Things; Performance assessment; Software defined networking</t>
  </si>
  <si>
    <t>2-s2.0-85076566291</t>
  </si>
  <si>
    <t>Stamenkovich J.; Maalolan L.; Patterson C.</t>
  </si>
  <si>
    <t>Stamenkovich, Joseph (57215574258); Maalolan, Lakshman (57215580093); Patterson, Cameron (57203082716)</t>
  </si>
  <si>
    <t>57215574258; 57215580093; 57203082716</t>
  </si>
  <si>
    <t>2019 International Workshop on Research, Education and Development on Unmanned Aerial Systems, RED-UAS 2019</t>
  </si>
  <si>
    <t>8999690</t>
  </si>
  <si>
    <t>2-s2.0-85081219263</t>
  </si>
  <si>
    <t>Conrad A.; Isaac S.; Cochran R.; Sanchez-Rosales D.; Wilens B.; Gutha A.; Rezaei T.; Gauthier D.J.; Kwiat P.</t>
  </si>
  <si>
    <t>Conrad, Andrew (57219200438); Isaac, Samantha (57194495590); Cochran, Roderick (57219194452); Sanchez-Rosales, Daniel (57219196125); Wilens, Brian (57219202116); Gutha, Akash (57224188992); Rezaei, Tahereh (57223928778); Gauthier, Daniel J. (35563123100); Kwiat, Paul (7006628958)</t>
  </si>
  <si>
    <t>57219200438; 57194495590; 57219194452; 57219196125; 57219202116; 57224188992; 57223928778; 35563123100; 7006628958</t>
  </si>
  <si>
    <t>11678</t>
  </si>
  <si>
    <t>116780X</t>
  </si>
  <si>
    <t>Multi-rotor Drone; Quantum Communications; Quantum Cryptography; Quantum Key Distribution (QKD)</t>
  </si>
  <si>
    <t>2-s2.0-85107236676</t>
  </si>
  <si>
    <t>Morel A.E.; Kavzak Ufuktepe D.; Ignatowicz R.; Riddle A.; Qu C.; Calyam P.; Palaniappan K.</t>
  </si>
  <si>
    <t>Morel, Alicia Esquivel (57218166122); Kavzak Ufuktepe, Deniz (57221255205); Ignatowicz, Robert (57223811631); Riddle, Alexander (57223811175); Qu, Chengyi (57211255137); Calyam, Prasad (6507285722); Palaniappan, Kannappan (6701784534)</t>
  </si>
  <si>
    <t>57218166122; 57221255205; 57223811631; 57223811175; 57211255137; 6507285722; 6701784534</t>
  </si>
  <si>
    <t>Proceedings - Applied Imagery Pattern Recognition Workshop</t>
  </si>
  <si>
    <t>2020-October</t>
  </si>
  <si>
    <t>9425341</t>
  </si>
  <si>
    <t>Ns-3; Powder; Secure hybrid testbed; Security layer; UAV systems</t>
  </si>
  <si>
    <t>2-s2.0-85106178133</t>
  </si>
  <si>
    <t>Apakan A.E.; Giardullo C.</t>
  </si>
  <si>
    <t>Apakan, Ambassador Ertuğrul (57216782772); Giardullo, Cono (57216788269)</t>
  </si>
  <si>
    <t>57216782772; 57216788269</t>
  </si>
  <si>
    <t>Human Rights Quarterly</t>
  </si>
  <si>
    <t>2-s2.0-85084677959</t>
  </si>
  <si>
    <t>Kim K.; Kang Y.</t>
  </si>
  <si>
    <t>Kim, Keonwoo (35205580200); Kang, Yousung (22334154900)</t>
  </si>
  <si>
    <t>35205580200; 22334154900</t>
  </si>
  <si>
    <t>9289387</t>
  </si>
  <si>
    <t>drone security module; encryption; secure element; software driver; UAV</t>
  </si>
  <si>
    <t>2-s2.0-85099003222</t>
  </si>
  <si>
    <t>Lykou G.; Moustakas D.; Gritzalis D.</t>
  </si>
  <si>
    <t>Lykou, Georgia (57073909100); Moustakas, Dimitrios (57217335766); Gritzalis, Dimitris (7004051742)</t>
  </si>
  <si>
    <t>57073909100; 57217335766; 7004051742</t>
  </si>
  <si>
    <t>3537</t>
  </si>
  <si>
    <t>Airport resilience; Counter unmanned aerial systems (C‐UAS); Critical infrastructure protection; Cyber‐physical systems; Drones; Sensing technologies; Sensors; Unmanned aerial vehicles (UAV)</t>
  </si>
  <si>
    <t>2-s2.0-85087099948</t>
  </si>
  <si>
    <t>Gaspar J.; Ferreira R.; Sebastião P.; Souto N.</t>
  </si>
  <si>
    <t>Gaspar, João (57033731900); Ferreira, Renato (57208421957); Sebastião, Pedro (55900519300); Souto, Nuno (8872974500)</t>
  </si>
  <si>
    <t>57033731900; 57208421957; 55900519300; 8872974500</t>
  </si>
  <si>
    <t>Wireless Personal Communications</t>
  </si>
  <si>
    <t>115</t>
  </si>
  <si>
    <t>Global navigation satellite system; GPS spoofing; Software defined radio; Unmanned aerial vehicles</t>
  </si>
  <si>
    <t>2-s2.0-85081748622</t>
  </si>
  <si>
    <t>Zhao Y.; Shi P.-Y.; Guo W.-H.</t>
  </si>
  <si>
    <t>Zhao, Ying (57222169653); Shi, Peng-yao (57222166166); Guo, Wen-hao (57222170548)</t>
  </si>
  <si>
    <t>57222169653; 57222166166; 57222170548</t>
  </si>
  <si>
    <t>347</t>
  </si>
  <si>
    <t>Air quality; Big data; Drone; Monitoring</t>
  </si>
  <si>
    <t>2-s2.0-85101764669</t>
  </si>
  <si>
    <t>Yaacoub J.-P.; Noura H.; Salman O.; Chehab A.</t>
  </si>
  <si>
    <t>Yaacoub, Jean-Paul (57212534886); Noura, Hassan (55628524282); Salman, Ola (57188985077); Chehab, Ali (6602650305)</t>
  </si>
  <si>
    <t>57212534886; 55628524282; 57188985077; 6602650305</t>
  </si>
  <si>
    <t>100218</t>
  </si>
  <si>
    <t>2-s2.0-85114829025</t>
  </si>
  <si>
    <t>Rajashekar S.C.; Tourani R.; Gururajan S.</t>
  </si>
  <si>
    <t>Rajashekar, Sagar Calnoor (57219261322); Tourani, Reza (55849143800); Gururajan, Srikanth (6506355028)</t>
  </si>
  <si>
    <t>57219261322; 55849143800; 6506355028</t>
  </si>
  <si>
    <t>AIAA AVIATION 2020 FORUM</t>
  </si>
  <si>
    <t>1 PartF</t>
  </si>
  <si>
    <t>2-s2.0-85092801353</t>
  </si>
  <si>
    <t>Ye J.; Zou J.; Gao J.; Zhang G.; Kong M.; Pei Z.; Cui K.</t>
  </si>
  <si>
    <t>Ye, Jiaquan (57211972255); Zou, Jie (57209656409); Gao, Jing (57209656787); Zhang, Guomin (57222712701); Kong, Mingming (57187749500); Pei, Zheng (7101715249); Cui, Kaitao (57217103953)</t>
  </si>
  <si>
    <t>57211972255; 57209656409; 57209656787; 57222712701; 57187749500; 7101715249; 57217103953</t>
  </si>
  <si>
    <t>9393344</t>
  </si>
  <si>
    <t>Civil UAV; clustering; hopping signal detection</t>
  </si>
  <si>
    <t>2-s2.0-85103778874</t>
  </si>
  <si>
    <t>Moustafa N.; Jolfaei A.</t>
  </si>
  <si>
    <t>Moustafa, Nour (56816761200); Jolfaei, Alireza (36680369700)</t>
  </si>
  <si>
    <t>56816761200; 36680369700</t>
  </si>
  <si>
    <t>DroneCom 2020 - Proceedings of the 2nd ACM MobiCom Workshop on Drone Assisted Wireless Communications for 5G and Beyond</t>
  </si>
  <si>
    <t>Drones; Intrusion detection; Machine and deep learning algorithms; Network systems</t>
  </si>
  <si>
    <t>2-s2.0-85097130044</t>
  </si>
  <si>
    <t>Rawat K.S.; Asthana C.B.</t>
  </si>
  <si>
    <t>Rawat, Kuldeep S. (6603266012); Asthana, Chandra Bhushan (6602799219)</t>
  </si>
  <si>
    <t>6603266012; 6602799219</t>
  </si>
  <si>
    <t>2020-June</t>
  </si>
  <si>
    <t>1289</t>
  </si>
  <si>
    <t>2-s2.0-85095794845</t>
  </si>
  <si>
    <t>Surma C.C.; Barczyk M.</t>
  </si>
  <si>
    <t>Surma, Christopher C. (57201057252); Barczyk, Martin (16177500100)</t>
  </si>
  <si>
    <t>57201057252; 16177500100</t>
  </si>
  <si>
    <t>Journal of Unmanned Vehicle Systems</t>
  </si>
  <si>
    <t>Computer vision; Detection; Following; Linear model predictive control; Modeling; UAVs</t>
  </si>
  <si>
    <t>2-s2.0-85096897515</t>
  </si>
  <si>
    <t>Nguyen H.P.D.; Nguyen D.D.</t>
  </si>
  <si>
    <t>Nguyen, Huu Phuoc Dai (57204936202); Nguyen, Dinh Dung (57220953122)</t>
  </si>
  <si>
    <t>57204936202; 57220953122</t>
  </si>
  <si>
    <t>332</t>
  </si>
  <si>
    <t>2-s2.0-85102029395</t>
  </si>
  <si>
    <t>Motwani S.</t>
  </si>
  <si>
    <t>Motwani, Sachin (57219533585)</t>
  </si>
  <si>
    <t>57219533585</t>
  </si>
  <si>
    <t>3rd International Conference on Advanced Communication Technologies and Networking, CommNet 2020</t>
  </si>
  <si>
    <t>9199639</t>
  </si>
  <si>
    <t>Drone; Drone-as-a-Service (DaaS).; Light Fidelity (LiFi); Point-to-Point Communication; Unmanned Aerial Vehicle (UAV); Visible Light Communication (VLC)</t>
  </si>
  <si>
    <t>2-s2.0-85093686763</t>
  </si>
  <si>
    <t>Doer C.; Koenig R.; Trommer G.F.; Stumpf E.</t>
  </si>
  <si>
    <t>Doer, Christopher (57190376562); Koenig, Ronja (57219724188); Trommer, Gert F. (7003856637); Stumpf, Eike (25226316300)</t>
  </si>
  <si>
    <t>57190376562; 57219724188; 7003856637; 25226316300</t>
  </si>
  <si>
    <t>9213925</t>
  </si>
  <si>
    <t>2-s2.0-85094967160</t>
  </si>
  <si>
    <t>Bazarkina D.</t>
  </si>
  <si>
    <t>Bazarkina, Darya (58093385300)</t>
  </si>
  <si>
    <t>58093385300</t>
  </si>
  <si>
    <t>Proceedings of the European Conference on the Impact of Artificial Intelligence and Robotics, ECIAIR 2020</t>
  </si>
  <si>
    <t>Advanced technologies; Artificial intelligence; Communication; Psychological warfare; Terrorism</t>
  </si>
  <si>
    <t>2-s2.0-85097852697</t>
  </si>
  <si>
    <t>Pojsomphong N.; Visoottiviseth V.; Sawangphol W.; Khurat A.; Kashihara S.; Fall D.</t>
  </si>
  <si>
    <t>Pojsomphong, Nualrath (57217178032); Visoottiviseth, Vasaka (8549374100); Sawangphol, Wudhichart (37104982500); Khurat, Assadarat (16030796200); Kashihara, Shigeru (6603823788); Fall, Doudou (55307759900)</t>
  </si>
  <si>
    <t>57217178032; 8549374100; 37104982500; 16030796200; 6603823788; 55307759900</t>
  </si>
  <si>
    <t>ISCAIE 2020 - IEEE 10th Symposium on Computer Applications and Industrial Electronics</t>
  </si>
  <si>
    <t>9108835</t>
  </si>
  <si>
    <t>Drones; Penetration Testing; Security Vulnerability; Unmanned Aerial Vehicle</t>
  </si>
  <si>
    <t>2-s2.0-85086635256</t>
  </si>
  <si>
    <t>Sethuraman S.C.; Vijayakumar V.; Walczak S.</t>
  </si>
  <si>
    <t>Sethuraman, Sibi Chakkaravarthy (55753988500); Vijayakumar, Vaidehi (57225320101); Walczak, Steven (7005438456)</t>
  </si>
  <si>
    <t>55753988500; 57225320101; 7005438456</t>
  </si>
  <si>
    <t>Journal of Medical Systems</t>
  </si>
  <si>
    <t>44</t>
  </si>
  <si>
    <t>Body area network (BAN); Cyber threats; Drone; Implantable medical device (IMD); Mobile healthcare; Unmanned aerial vehicle (UAV)</t>
  </si>
  <si>
    <t>2-s2.0-85076481250</t>
  </si>
  <si>
    <t>2019-September</t>
  </si>
  <si>
    <t>9081734</t>
  </si>
  <si>
    <t>avionics analytics; decision-making support; drone cybersecurity; knowledge engineering; multi-sensor fusion</t>
  </si>
  <si>
    <t>2-s2.0-85084754034</t>
  </si>
  <si>
    <t>Chen Z.; Xu B.</t>
  </si>
  <si>
    <t>Chen, Zheyi (57211204855); Xu, Bing (55727801000)</t>
  </si>
  <si>
    <t>57211204855; 55727801000</t>
  </si>
  <si>
    <t>ICIIBMS 2020 - 5th International Conference on Intelligent Informatics and Biomedical Sciences</t>
  </si>
  <si>
    <t>9336427</t>
  </si>
  <si>
    <t>anti-jamming verification; dynamic modeling; Matlab simulation; quadrotor UAV</t>
  </si>
  <si>
    <t>2-s2.0-85101439919</t>
  </si>
  <si>
    <t>Mohammad F.; AlZoubi A.; Du H.; Jassim S.</t>
  </si>
  <si>
    <t>Mohammad, Fakher (57196345284); AlZoubi, Alaa (56786068100); Du, Hongbo (36927864700); Jassim, Sabah (6603797774)</t>
  </si>
  <si>
    <t>57196345284; 56786068100; 36927864700; 6603797774</t>
  </si>
  <si>
    <t>11399</t>
  </si>
  <si>
    <t>113990W</t>
  </si>
  <si>
    <t>Curvature Indicators; Edge Drawing; Glass Crack Recognition; Linearity; ULBP; Unmanned Aerial Vehicle (UAV)</t>
  </si>
  <si>
    <t>2-s2.0-85096358798</t>
  </si>
  <si>
    <t>Tedeschi P.; Oligeri G.; Di Pietro R.</t>
  </si>
  <si>
    <t>Tedeschi, Pietro (57205428562); Oligeri, Gabriele (17434962100); Di Pietro, Roberto (57216385914)</t>
  </si>
  <si>
    <t>57205428562; 17434962100; 57216385914</t>
  </si>
  <si>
    <t>8945330</t>
  </si>
  <si>
    <t>global positioning system; jamming; passive homing systems; UAV security</t>
  </si>
  <si>
    <t>2-s2.0-85078497148</t>
  </si>
  <si>
    <t>9213903</t>
  </si>
  <si>
    <t>2-s2.0-85094964968</t>
  </si>
  <si>
    <t>Kung R.-Y.; Pan N.-H.; Wang C.C.N.; Lee P.-C.</t>
  </si>
  <si>
    <t>Kung, Ren-Yi (57223254407); Pan, Nai-Hsin (23036033400); Wang, Charles C.N. (35191143600); Lee, Pin-Chan (16402309700)</t>
  </si>
  <si>
    <t>57223254407; 23036033400; 35191143600; 16402309700</t>
  </si>
  <si>
    <t>Advances in Civil Engineering</t>
  </si>
  <si>
    <t>2021</t>
  </si>
  <si>
    <t>5598690</t>
  </si>
  <si>
    <t>2-s2.0-85105410976</t>
  </si>
  <si>
    <t>Arjun Krishna K.; Thomas P.</t>
  </si>
  <si>
    <t>Arjun Krishna, K. (57222114229); Thomas, Paul (57222112965)</t>
  </si>
  <si>
    <t>57222114229; 57222112965</t>
  </si>
  <si>
    <t>2020 IEEE International Conference on Power Electronics and Renewable Energy Applications, PEREA 2020</t>
  </si>
  <si>
    <t>9339785</t>
  </si>
  <si>
    <t>2-s2.0-85101444662</t>
  </si>
  <si>
    <t>Caforio G.; Scazzoli D.; Reggiani L.; Magarini M.; Moullec Y.L.; Alam M.M.</t>
  </si>
  <si>
    <t>Caforio, Giulio (57221256857); Scazzoli, Davide (57193013218); Reggiani, Luca (57223210150); Magarini, Maurizio (6603615110); Moullec, Yannick Le (8590335400); Alam, Muhammad Mahtab (37065715600)</t>
  </si>
  <si>
    <t>57221256857; 57193013218; 57223210150; 6603615110; 8590335400; 37065715600</t>
  </si>
  <si>
    <t>Proceedings of the Biennial Baltic Electronics Conference, BEC</t>
  </si>
  <si>
    <t>9277253</t>
  </si>
  <si>
    <t>Digital Communication; Jamming; RF systems; UAVs; Wireless Communications</t>
  </si>
  <si>
    <t>2-s2.0-85098654309</t>
  </si>
  <si>
    <t>Meng L.; Ren S.; Tang G.; Yang C.; Yang W.</t>
  </si>
  <si>
    <t>Meng, Lianxiao (57215545789); Ren, Shuangyin (57220888025); Tang, Gaigai (57215544716); Yang, Chao (57215543180); Yang, Wu (9245772000)</t>
  </si>
  <si>
    <t>57215545789; 57220888025; 57215544716; 57215543180; 9245772000</t>
  </si>
  <si>
    <t>GPS; Multi-sensor fusion; Optical Flow; Spoofing Detection</t>
  </si>
  <si>
    <t>2-s2.0-85081135601</t>
  </si>
  <si>
    <t>Gnatyuk S.</t>
  </si>
  <si>
    <t>Gnatyuk, Sergiy (36184129600)</t>
  </si>
  <si>
    <t>36184129600</t>
  </si>
  <si>
    <t>2019 IEEE 5th International Conference Actual Problems of Unmanned Aerial Vehicles Developments, APUAVD 2019 - Proceedings</t>
  </si>
  <si>
    <t>8943833</t>
  </si>
  <si>
    <t>CIIP; civil aviation; critical aviation information system; cybersecurity; identification; security mode; UAV</t>
  </si>
  <si>
    <t>2-s2.0-85078241120</t>
  </si>
  <si>
    <t>Kadripathi K.N.; Ragav L.Y.; Shubha K.N.; Chowdary P.H.</t>
  </si>
  <si>
    <t>Kadripathi, K.N. (57210979299); Ragav, L Yethinder (57221958433); Shubha, K.N. (57221949261); Chowdary, P Hareena (57221966380)</t>
  </si>
  <si>
    <t>57210979299; 57221958433; 57221949261; 57221966380</t>
  </si>
  <si>
    <t>Proceedings of the 3rd International Conference on Intelligent Sustainable Systems, ICISS 2020</t>
  </si>
  <si>
    <t>9316032</t>
  </si>
  <si>
    <t>De-authentication; Ground control station; Raspberry Pi 3; Security threats; Unmanned aerial vehicles (UAV); Wi-Fi controlled UAVs</t>
  </si>
  <si>
    <t>2-s2.0-85100771612</t>
  </si>
  <si>
    <t>Abdulrazzak I.A.; Bierk H.M.; Ahmed A.F.</t>
  </si>
  <si>
    <t>Abdulrazzak, Ibtihaj A. (56016718400); Bierk, Hussain M. (57212919740); Ahmed, Anas F. (57211406127)</t>
  </si>
  <si>
    <t>56016718400; 57212919740; 57211406127</t>
  </si>
  <si>
    <t>174</t>
  </si>
  <si>
    <t>2-s2.0-85098282118</t>
  </si>
  <si>
    <t>Souli N.; Makrigiorgis R.; Anastasiou A.; Zacharia A.; Petrides P.; Lazanas A.; Valianti P.; Kolios P.; Ellinas G.</t>
  </si>
  <si>
    <t>Souli, N. (57218214108); Makrigiorgis, R. (57218210325); Anastasiou, A. (57191590114); Zacharia, A. (57219721593); Petrides, P. (35311905400); Lazanas, A. (57219727262); Valianti, P. (57219724817); Kolios, P. (35932458400); Ellinas, G. (7004484129)</t>
  </si>
  <si>
    <t>57218214108; 57218210325; 57191590114; 57219721593; 35311905400; 57219727262; 57219724817; 35932458400; 7004484129</t>
  </si>
  <si>
    <t>9213871</t>
  </si>
  <si>
    <t>Computer Vision; Counter-Drone; GPS jamming; Machine Learning; UAS</t>
  </si>
  <si>
    <t>2-s2.0-85094946870</t>
  </si>
  <si>
    <t>Dirir A.; Ahmed S.; Kabeer S.; Ramzan R.</t>
  </si>
  <si>
    <t>Dirir, Ahmed (57194349729); Ahmed, Sirageldin (57211791425); Kabeer, Saifudeen (57221473352); Ramzan, Rashad (15019682900)</t>
  </si>
  <si>
    <t>57194349729; 57211791425; 57221473352; 15019682900</t>
  </si>
  <si>
    <t>9339792</t>
  </si>
  <si>
    <t>Drone; Interceptor; Jammer; No Fly zone; White noise</t>
  </si>
  <si>
    <t>2-s2.0-85101461774</t>
  </si>
  <si>
    <t>Tang A.C.B.</t>
  </si>
  <si>
    <t>Tang, Anthony C.B. (57221818843)</t>
  </si>
  <si>
    <t>57221818843</t>
  </si>
  <si>
    <t>AIAA Scitech 2021 Forum</t>
  </si>
  <si>
    <t>2-s2.0-85100310869</t>
  </si>
  <si>
    <t>Guo S.; Guo D.; Zhang Q.; Wu N.; Deng J.</t>
  </si>
  <si>
    <t>Guo, Shichao (57217392487); Guo, Dandan (57216952068); Zhang, Qiongyu (57216946341); Wu, Nankai (57255638600); Deng, Jiaxin (57216971581)</t>
  </si>
  <si>
    <t>57217392487; 57216952068; 57216946341; 57255638600; 57216971581</t>
  </si>
  <si>
    <t>816</t>
  </si>
  <si>
    <t>012011</t>
  </si>
  <si>
    <t>2-s2.0-85086358365</t>
  </si>
  <si>
    <t>Zhai X.; Liu K.; Nash W.; Castineira D.</t>
  </si>
  <si>
    <t>Zhai, Xiang (58411647100); Liu, Kui (57215052764); Nash, William (58825455000); Castineira, David (14028131100)</t>
  </si>
  <si>
    <t>58411647100; 57215052764; 58825455000; 14028131100</t>
  </si>
  <si>
    <t>International Petroleum Technology Conference 2020, IPTC 2020</t>
  </si>
  <si>
    <t>2-s2.0-85085773296</t>
  </si>
  <si>
    <t>Fernandez M.J.; Sanchez-Cuevas P.J.; Heredia G.; Ollero A.</t>
  </si>
  <si>
    <t>Fernandez, Manuel J. (57192589628); Sanchez-Cuevas, Pedro J. (57195520737); Heredia, Guillermo (6603124392); Ollero, Anibal (7004325905)</t>
  </si>
  <si>
    <t>57192589628; 57195520737; 6603124392; 7004325905</t>
  </si>
  <si>
    <t>8999685</t>
  </si>
  <si>
    <t>attack; drone; security; software; UAV</t>
  </si>
  <si>
    <t>2-s2.0-85081259182</t>
  </si>
  <si>
    <t>Sommer D.; Chandra Reddy Irigireddy A.S.; Parkhurst J.; Nastrucci E.-R.</t>
  </si>
  <si>
    <t>Sommer, Daniel (57220987534); Chandra Reddy Irigireddy, Ashok Sarath (57220988607); Parkhurst, Justin (57220985369); Nastrucci, Eduardo-Rojas (57221000796)</t>
  </si>
  <si>
    <t>57220987534; 57220988607; 57220985369; 57221000796</t>
  </si>
  <si>
    <t>9256639</t>
  </si>
  <si>
    <t>Drone; GNU Radio; Radar Altimeter; RTK GPS; Software defined radio</t>
  </si>
  <si>
    <t>2-s2.0-85097979337</t>
  </si>
  <si>
    <t>Stoica P.; Basak S.; Molder C.; Scheers B.</t>
  </si>
  <si>
    <t>Stoica, Paul (57219207866); Basak, Sanjoy (57191051079); Molder, Cristian (24503352500); Scheers, Bart (23478501400)</t>
  </si>
  <si>
    <t>57219207866; 57191051079; 24503352500; 23478501400</t>
  </si>
  <si>
    <t>2020 13th International Conference on Communications, COMM 2020 - Proceedings</t>
  </si>
  <si>
    <t>9142017</t>
  </si>
  <si>
    <t>deeplearning; dronecommunications; energydetection; frequencyhopping; jamming</t>
  </si>
  <si>
    <t>2-s2.0-85091700960</t>
  </si>
  <si>
    <t>Li T.; Ma J.; Feng P.; Meng Y.; Ma X.; Zhang J.; Chenyang G.; Lu D.</t>
  </si>
  <si>
    <t>Li, Teng (57022522100); Ma, Jianfeng (25621725700); Feng, Pengbin (57193787507); Meng, Yue (57216318142); Ma, Xindi (55991759600); Zhang, Jiawei (58984515000); Chenyang, Gao (42660943800); Lu, Di (55769428600)</t>
  </si>
  <si>
    <t>57022522100; 25621725700; 57193787507; 57216318142; 55991759600; 58984515000; 42660943800; 55769428600</t>
  </si>
  <si>
    <t>Proceedings - 2019 International Conference on Networking and Network Applications, NaNA 2019</t>
  </si>
  <si>
    <t>9027572</t>
  </si>
  <si>
    <t>ECC; Identity authentication; UAV networks</t>
  </si>
  <si>
    <t>2-s2.0-85083098932</t>
  </si>
  <si>
    <t>Srinivas S.; Herschfelt A.; Yu H.; Wu S.; Li Y.; Lee H.; Chakrabarti C.; Bliss D.W.</t>
  </si>
  <si>
    <t>Srinivas, Sharanya (57200141399); Herschfelt, Andrew (57194657882); Yu, Hanguang (56734743900); Wu, Shunyao (57194216600); Li, Yang (57218425625); Lee, Hyunseok (56101841800); Chakrabarti, Chaitali (35554384700); Bliss, Daniel W. (7102454903)</t>
  </si>
  <si>
    <t>57200141399; 57194657882; 56734743900; 57194216600; 57218425625; 56101841800; 35554384700; 7102454903</t>
  </si>
  <si>
    <t>9256739</t>
  </si>
  <si>
    <t>Alternative positioning; Communications; Navigation; RF convergence; Safety-critical air transport systems (ATS); Spectrum sharing; Surveillance (CNS); Timing (APNT); Urban air mobility (UAM)</t>
  </si>
  <si>
    <t>2-s2.0-85098002875</t>
  </si>
  <si>
    <t>Feng Z.; Guan N.; Lv M.; Liu W.; Deng Q.; Liu X.; Yi W.</t>
  </si>
  <si>
    <t>Feng, Zhiwei (57191888338); Guan, Nan (21742419700); Lv, Mingsong (13006036500); Liu, Wenchen (57212449135); Deng, Qingxu (13006940800); Liu, Xue (59291288400); Yi, Wang (56123437800)</t>
  </si>
  <si>
    <t>57191888338; 21742419700; 13006036500; 57212449135; 13006940800; 59291288400; 56123437800</t>
  </si>
  <si>
    <t>103</t>
  </si>
  <si>
    <t>101694</t>
  </si>
  <si>
    <t>Cyber-physical system; GPS spoofing; Machine learning; Security; UAV</t>
  </si>
  <si>
    <t>2-s2.0-85076687557</t>
  </si>
  <si>
    <t>El Fiorenza J.C.; Lokku R.K.; Sivakumar K.; Stephanie M.R.</t>
  </si>
  <si>
    <t>El Fiorenza, J Caroline (57209340500); Lokku, Revanth Kumar (57211853173); Sivakumar, Kirthika (57211852804); Stephanie, M Reene (57211849937)</t>
  </si>
  <si>
    <t>57209340500; 57211853173; 57211852804; 57211849937</t>
  </si>
  <si>
    <t>International Journal of Innovative Technology and Exploring Engineering</t>
  </si>
  <si>
    <t>2-s2.0-85075129228</t>
  </si>
  <si>
    <t>Yang K.; Price J.; Klenke R.; Leccadito M.</t>
  </si>
  <si>
    <t>Yang, Kevin (57221855724); Price, Jeremy (57221853489); Klenke, Robert (6701636928); Leccadito, Matthew (56223623000)</t>
  </si>
  <si>
    <t>57221855724; 57221853489; 6701636928; 56223623000</t>
  </si>
  <si>
    <t>2-s2.0-85100432859</t>
  </si>
  <si>
    <t>Blasch E.; Raz A.K.; Sabatini R.; Insaurralde C.C.</t>
  </si>
  <si>
    <t>Blasch, Erik (7003503895); Raz, Ali K. (56735744500); Sabatini, Roberto (56962744800); Insaurralde, Carlos C. (9334768900)</t>
  </si>
  <si>
    <t>7003503895; 56735744500; 56962744800; 9334768900</t>
  </si>
  <si>
    <t>2-s2.0-85100315082</t>
  </si>
  <si>
    <t>Zheng X.-C.; Sun H.-M.</t>
  </si>
  <si>
    <t>Zheng, Xian-Chun (57219243195); Sun, Hung-Min (7404827640)</t>
  </si>
  <si>
    <t>57219243195; 7404827640</t>
  </si>
  <si>
    <t>Sensors and Materials</t>
  </si>
  <si>
    <t>8 p2</t>
  </si>
  <si>
    <t>Civil GPS vulnerability; GPS; Hijacking; SDR; UAV</t>
  </si>
  <si>
    <t>2-s2.0-85091889700</t>
  </si>
  <si>
    <t>Zhang P.; Lowenberg L.; Tall M.; Ouimet M.</t>
  </si>
  <si>
    <t>Zhang, Peng (57211749814); Lowenberg, Lance (57218109644); Tall, Michael (58448455900); Ouimet, Michael (57218101258)</t>
  </si>
  <si>
    <t>57211749814; 57218109644; 58448455900; 57218101258</t>
  </si>
  <si>
    <t>11425</t>
  </si>
  <si>
    <t>114250E</t>
  </si>
  <si>
    <t>Computer vision; Counter UAV; Machine learning; RF denial</t>
  </si>
  <si>
    <t>2-s2.0-85087874605</t>
  </si>
  <si>
    <t>Savkin A.V.; Huang H.; Ni W.</t>
  </si>
  <si>
    <t>Savkin, Andrey V. (7005027654); Huang, Hailong (57191205094); Ni, Wei (35956974500)</t>
  </si>
  <si>
    <t>7005027654; 57191205094; 35956974500</t>
  </si>
  <si>
    <t>IEEE Wireless Communications Letters</t>
  </si>
  <si>
    <t>9061039</t>
  </si>
  <si>
    <t>communication security; drones; eavesdropping; model predictive control; navigation; path planning; UAVs</t>
  </si>
  <si>
    <t>2-s2.0-85089487971</t>
  </si>
  <si>
    <t>Torens C.</t>
  </si>
  <si>
    <t>Torens, Christoph (36663081900)</t>
  </si>
  <si>
    <t>36663081900</t>
  </si>
  <si>
    <t>AIAA Scitech 2020 Forum</t>
  </si>
  <si>
    <t>2-s2.0-85092423947</t>
  </si>
  <si>
    <t>Karimibiuki M.; Aibin M.; Lai Y.; Khan R.; Norfield R.; Hunter A.</t>
  </si>
  <si>
    <t>Karimibiuki, Mehdi (54917121300); Aibin, Michal (56342037400); Lai, Yuyu (57215531729); Khan, Raziq (57215534130); Norfield, Ryan (57215535442); Hunter, Aaron (15055838500)</t>
  </si>
  <si>
    <t>54917121300; 56342037400; 57215531729; 57215534130; 57215535442; 15055838500</t>
  </si>
  <si>
    <t>2019 IEEE 10th Annual Ubiquitous Computing, Electronics and Mobile Communication Conference, UEMCON 2019</t>
  </si>
  <si>
    <t>8992931</t>
  </si>
  <si>
    <t>Authentication; Autonomous; Drones; Machine learning; Unmanned aircraft systems; Unmanned aircraft vehicles</t>
  </si>
  <si>
    <t>2-s2.0-85081085232</t>
  </si>
  <si>
    <t>Sadhu V.; Zonouz S.; Pompili D.</t>
  </si>
  <si>
    <t>Sadhu, Vidyasagar (57190834486); Zonouz, Saman (16481767100); Pompili, Dario (6506452040)</t>
  </si>
  <si>
    <t>57190834486; 16481767100; 6506452040</t>
  </si>
  <si>
    <t>Proceedings - IEEE International Conference on Robotics and Automation</t>
  </si>
  <si>
    <t>9197071</t>
  </si>
  <si>
    <t>2-s2.0-85092743339</t>
  </si>
  <si>
    <t>Ayala-Alfaro V.; Torres-Del Carmen F.; Ramirez-Paredes J.-P.</t>
  </si>
  <si>
    <t>Ayala-Alfaro, Victor (57219728363); Torres-Del Carmen, Felipe (57220639256); Ramirez-Paredes, Juan-Pablo (36706569900)</t>
  </si>
  <si>
    <t>57219728363; 57220639256; 36706569900</t>
  </si>
  <si>
    <t>9214067</t>
  </si>
  <si>
    <t>2-s2.0-85094954142</t>
  </si>
  <si>
    <t>Papaioannou S.; Kolios P.; Panayiotou C.G.; Polycarpou M.M.</t>
  </si>
  <si>
    <t>Papaioannou, Savvas (56566305600); Kolios, Panayiotis (35932458400); Panayiotou, Christos G. (57050648400); Polycarpou, Marios M. (7006251578)</t>
  </si>
  <si>
    <t>56566305600; 35932458400; 57050648400; 7006251578</t>
  </si>
  <si>
    <t>IEEE International Conference on Intelligent Robots and Systems</t>
  </si>
  <si>
    <t>9340835</t>
  </si>
  <si>
    <t>2-s2.0-85102412665</t>
  </si>
  <si>
    <t>Zhu H.; Cummings M.L.; Elfar M.; Wang Z.; Pajic M.</t>
  </si>
  <si>
    <t>Zhu, Haibei (57194170659); Cummings, Mary L. (57206777622); Elfar, Mahmoud (57190840154); Wang, Ziyao (57203093185); Pajic, Miroslav (35194126200)</t>
  </si>
  <si>
    <t>57194170659; 57206777622; 57190840154; 57203093185; 35194126200</t>
  </si>
  <si>
    <t>IEEE Transactions on Human-Machine Systems</t>
  </si>
  <si>
    <t>49</t>
  </si>
  <si>
    <t>8653416</t>
  </si>
  <si>
    <t>Cyber-attack detection; hidden Markov model (HMM); human geo-location; human supervisory control; strategy classification; unmanned aerial vehicle (UAV)</t>
  </si>
  <si>
    <t>2-s2.0-85076470976</t>
  </si>
  <si>
    <t>GPS; Jamming; Radionavigation; SDR; Unmanned aerial vehicles</t>
  </si>
  <si>
    <t>2-s2.0-85081594416</t>
  </si>
  <si>
    <t>2-s2.0-85092770320</t>
  </si>
  <si>
    <t>Yao G.</t>
  </si>
  <si>
    <t>Yao, Gang (57209978255)</t>
  </si>
  <si>
    <t>57209978255</t>
  </si>
  <si>
    <t>Mathematical Problems in Engineering</t>
  </si>
  <si>
    <t>5558089</t>
  </si>
  <si>
    <t>2-s2.0-85102238250</t>
  </si>
  <si>
    <t>Al-Room K.; Iqbal F.; Baker T.; Shah B.; Yankson B.; MacDermott A.; Hung P.C.K.</t>
  </si>
  <si>
    <t>Al-Room, Khalifa (57220093737); Iqbal, Farkhund (35788088300); Baker, Thar (34267505000); Shah, Babar (55354253000); Yankson, Benjamin (57209642118); MacDermott, Aine (56026399900); Hung, Patrick C.K. (25926392700)</t>
  </si>
  <si>
    <t>57220093737; 35788088300; 34267505000; 55354253000; 57209642118; 56026399900; 25926392700</t>
  </si>
  <si>
    <t>International Journal of Digital Crime and Forensics</t>
  </si>
  <si>
    <t>Bebop Parrot; DJI Phantom3; DJI Phantom4; Drones; Forensic.Syma x5c; Xiang Yu</t>
  </si>
  <si>
    <t>2-s2.0-85096824991</t>
  </si>
  <si>
    <t>Kosuda M.; Lipovsky P.; Yang W.; Bai M.; Novotnak J.; Szoke Z.</t>
  </si>
  <si>
    <t>Kosuda, Marek (57211566609); Lipovsky, Pavol (57204744170); Yang, Wenjiang (55501075300); Bai, Mingliang (57207765594); Novotnak, Jozef (57211566739); Szoke, Zoltan (57215322325)</t>
  </si>
  <si>
    <t>57211566609; 57204744170; 55501075300; 57207765594; 57211566739; 57215322325</t>
  </si>
  <si>
    <t>NTinAD 2020 - New Trends in Aviation Development 2020 - 15th International Scientific Conference, Proceedings</t>
  </si>
  <si>
    <t>9379109</t>
  </si>
  <si>
    <t>2-s2.0-85103856997</t>
  </si>
  <si>
    <t>Ouiazzane S.; Barramou F.; Addou M.</t>
  </si>
  <si>
    <t>Ouiazzane, Said (23393194700); Barramou, Fatimazahra (57215651745); Addou, Malika (57213795762)</t>
  </si>
  <si>
    <t>23393194700; 57215651745; 57213795762</t>
  </si>
  <si>
    <t>Autonomy; Distribution; Drone; Fleet of drones; Intrusion detection; Intrusion detection system; Known attacks; Multi agent system; Security; UAV; Unknown attacks; Unmanned aerial vehicle</t>
  </si>
  <si>
    <t>2-s2.0-85101458462</t>
  </si>
  <si>
    <t>Bond E.; Crowther B.; Parslew B.</t>
  </si>
  <si>
    <t>Bond, Ethan (57215577607); Crowther, Bill (57215586119); Parslew, Ben (36348614700)</t>
  </si>
  <si>
    <t>57215577607; 57215586119; 36348614700</t>
  </si>
  <si>
    <t>8999723</t>
  </si>
  <si>
    <t>2-s2.0-85081278422</t>
  </si>
  <si>
    <t>Shafique A.; Mehmood A.; Elhadef M.</t>
  </si>
  <si>
    <t>Shafique, Arslan (57203429130); Mehmood, Abid (57190409845); Elhadef, Mourad (9272435900)</t>
  </si>
  <si>
    <t>57203429130; 57190409845; 9272435900</t>
  </si>
  <si>
    <t>9380688</t>
  </si>
  <si>
    <t>attacks; drones; security; security threats; Unmanned aerial vehicles (UAVs); vulnerabilities</t>
  </si>
  <si>
    <t>2-s2.0-85103180314</t>
  </si>
  <si>
    <t>Wingo H.</t>
  </si>
  <si>
    <t>Wingo, Harry (57203435469)</t>
  </si>
  <si>
    <t>57203435469</t>
  </si>
  <si>
    <t>European Conference on Information Warfare and Security, ECCWS</t>
  </si>
  <si>
    <t>Comprehensive Privacy Policy Systems; 3D Visualization Cyberspace: The New Battlefield Cyber Manoeuvre Warfare; Cyber-Security in Smart Cities; Privacy; Data Science; Public Safety; Cloud and Edge Computing; Artificial Intelligence; Transparent; Usable</t>
  </si>
  <si>
    <t>2-s2.0-85094649320</t>
  </si>
  <si>
    <t>Hamza A.; Akram U.; Samad A.; Khosa S.N.; Fatima R.; Mushtaq M.F.</t>
  </si>
  <si>
    <t>Hamza, Ameer (57221940047); Akram, Urooj (57200579670); Samad, Ali (57195443074); Khosa, Saima Noreen (57221938566); Fatima, Rida (59291372400); Mushtaq, Muhammad Faheem (56026359300)</t>
  </si>
  <si>
    <t>57221940047; 57200579670; 57195443074; 57221938566; 59291372400; 56026359300</t>
  </si>
  <si>
    <t>Proceedings - 2020 23rd IEEE International Multi-Topic Conference, INMIC 2020</t>
  </si>
  <si>
    <t>9318207</t>
  </si>
  <si>
    <t>Defense techniques; GPS Spoofing; Sensors; UAV Cyber Attacks; Unmanned Aerial Vehicle</t>
  </si>
  <si>
    <t>2-s2.0-85100686436</t>
  </si>
  <si>
    <t>Khan N.A.; Jhanjhi N.Z.; Brohi S.N.; Nayyar A.</t>
  </si>
  <si>
    <t>Khan, Navid Ali (57216537861); Jhanjhi, Noor Zaman (36088700700); Brohi, Sarfraz Nawaz (55008038000); Nayyar, Anand (55201442200)</t>
  </si>
  <si>
    <t>57216537861; 36088700700; 55008038000; 55201442200</t>
  </si>
  <si>
    <t>Drones in Smart-Cities: Security and Performance</t>
  </si>
  <si>
    <t>2-s2.0-85143349767</t>
  </si>
  <si>
    <t>12338 LNCS</t>
  </si>
  <si>
    <t>The proceedings contain 23 papers. The special focus in this conference is on Ad-Hoc Networks and Wireless. The topics include: Energy Saving in TSCH Networks by Means of Proactive Reduction of Idle Listening; towards Long-Lasting Nanoscale Wireless Communications in the Terahertz Band for Biomedical Applications; New CAP Reduction Mechanisms for IEEE 802.15.4 DSME to Support Fluctuating Traffic in IoT Systems; testing and Evaluating a Security-Aware Pub and Sub Protocol in a Fog-Driven IoT Environment; XSS Attack Detection Model Based on Semi-supervised Learning Algorithm with Weighted Neighbor Purity; A Cross-Layer Intrusion Detection System for RPL-Based Internet of Things; secure Energy Constrained LoRa Mesh Network; CROSS City: Wi-Fi Location Proofs for Smart Tourism; total Transmission Time Minimization Through Relay Selection for Full-Duplex Wireless Powered Cooperative Communication Networks; Towards Named AI Networking: Unveiling the Potential of NDN for Edge AI; energy Aware Epidemic Strategies for Mobile Opportunistic Networks; Integrating an MQTT Proxy in a LoRa-Based Messaging System for Generic Sensor Data Collection; A Fault Tolerant LoRa/LoRaWAN Relay Protocol Using LoRaWAN Class A Devices; IETF Reliable and Available Wireless (RAW): Use Cases and Problem Statement; fast and Cost-Efficient Virtualized Network Function Placement Algorithm in Wireless Multi-hop Networks; Evaluation of DTN Routing Algorithms in Scheduled Public Transport Networks; geocaching-Inspired Navigation for Micro Aerial Vehicles with Fallible Place Recognition; a Dual-Stack Communication System for the Internet of Drones; consensus-Based Algorithms for Controlling Swarms of Unmanned Aerial Vehicles; STOP: A Location Spoofing Resistant Vehicle Inspection System; a Simulation Framework for QoE-Aware Real-Time Video Streaming in Multipath Scenarios.</t>
  </si>
  <si>
    <t>2-s2.0-85093831844</t>
  </si>
  <si>
    <t>de Carvalho Bertoli G.; Saotome O.</t>
  </si>
  <si>
    <t>de Carvalho Bertoli, Gustavo (57188990101); Saotome, Osamu (24469232600)</t>
  </si>
  <si>
    <t>57188990101; 24469232600</t>
  </si>
  <si>
    <t>Imaging and Sensing for Unmanned Aircraft Systems: Control and Performance</t>
  </si>
  <si>
    <t>2-s2.0-85118080976</t>
  </si>
  <si>
    <t>Wazid M.; Bera B.; Mitra A.; Das A.K.; Ali R.</t>
  </si>
  <si>
    <t>Wazid, Mohammad (55480987400); Bera, Basudeb (57214777647); Mitra, Ankush (57220183029); Das, Ashok Kumar (55450732800); Ali, Rashid (57193622464)</t>
  </si>
  <si>
    <t>55480987400; 57214777647; 57220183029; 55450732800; 57193622464</t>
  </si>
  <si>
    <t>Authentication; Blockchain; Healthcare; Internet of Drones (IoD); Privacy; Security</t>
  </si>
  <si>
    <t>2-s2.0-85097188500</t>
  </si>
  <si>
    <t>Li-Destri G.; Menta D.; Menta C.; Tuccitto N.</t>
  </si>
  <si>
    <t>Li-Destri, Giovanni (55310954100); Menta, Dario (57218862343); Menta, Carmelo (57218863925); Tuccitto, Nunzio (6506240842)</t>
  </si>
  <si>
    <t>55310954100; 57218862343; 57218863925; 6506240842</t>
  </si>
  <si>
    <t>Chemosensors</t>
  </si>
  <si>
    <t>77</t>
  </si>
  <si>
    <t>Chemical mapping; Drone; Long probe</t>
  </si>
  <si>
    <t>2-s2.0-85090503594</t>
  </si>
  <si>
    <t>Bowman J.; Brooks J.; Lopez C.; Marcos-Martinez A.; Salman A.</t>
  </si>
  <si>
    <t>Bowman, John (57217305589); Brooks, Jordan (57217307239); Lopez, Chandler (57217309677); Marcos-Martinez, Anaseli (57217302037); Salman, Ahmad (57213002926)</t>
  </si>
  <si>
    <t>57217305589; 57217307239; 57217309677; 57217302037; 57213002926</t>
  </si>
  <si>
    <t>2020 Systems and Information Engineering Design Symposium, SIEDS 2020</t>
  </si>
  <si>
    <t>9106687</t>
  </si>
  <si>
    <t>Autonomous Flight; Data Collection; Drone; Security; Sensor Nodes; Unmanned Aerial Vehicles (UAVs)</t>
  </si>
  <si>
    <t>2-s2.0-85087062240</t>
  </si>
  <si>
    <t>Liu Y.; Wang J.; Niu S.; Song H.</t>
  </si>
  <si>
    <t>Liu, Yongxin (55485423100); Wang, Jian (57201726571); Niu, Shuteng (57217042379); Song, Houbing (57199094588)</t>
  </si>
  <si>
    <t>55485423100; 57201726571; 57217042379; 57199094588</t>
  </si>
  <si>
    <t>12384 LNCS</t>
  </si>
  <si>
    <t>Continual learning; Deep learning; Quickest detection</t>
  </si>
  <si>
    <t>2-s2.0-85091498910</t>
  </si>
  <si>
    <t>Abughalwa M.; Hasna M.O.</t>
  </si>
  <si>
    <t>Abughalwa, Monir (55933381700); Hasna, Mazen O. (6701788606)</t>
  </si>
  <si>
    <t>55933381700; 6701788606</t>
  </si>
  <si>
    <t>ICTC 2019 - 10th International Conference on ICT Convergence: ICT Convergence Leading the Autonomous Future</t>
  </si>
  <si>
    <t>8939911</t>
  </si>
  <si>
    <t>Air-to-Air Channel Model; Airto-Ground Channel Model; Ergodic Secrecy Capacity; Rayleigh Fading Channel; Rician Fading Channels; Strictly Positive Secrecy Outage Probability; Wiretap Channels</t>
  </si>
  <si>
    <t>2-s2.0-85078252140</t>
  </si>
  <si>
    <t>Morales-Ferre R.; Richter P.; Falletti E.; De La Fuente A.; Lohan E.S.</t>
  </si>
  <si>
    <t>Morales-Ferre, Ruben (57210109801); Richter, Philipp (55917091500); Falletti, Emanuela (6602324266); De La Fuente, Alberto (57210104596); Lohan, Elena Simona (6602677794)</t>
  </si>
  <si>
    <t>57210109801; 55917091500; 6602324266; 57210104596; 6602677794</t>
  </si>
  <si>
    <t>8882350</t>
  </si>
  <si>
    <t>Aviation; drones; GNSS; interference; jamming; meaconing; SatNav; spoofing</t>
  </si>
  <si>
    <t>2-s2.0-85081750917</t>
  </si>
  <si>
    <t>Advances in Intelligent Systems and Computing</t>
  </si>
  <si>
    <t>1210 AISC</t>
  </si>
  <si>
    <t>2-s2.0-85088273367</t>
  </si>
  <si>
    <t>Jahan F.; Sun W.; Niyaz Q.; Alam M.</t>
  </si>
  <si>
    <t>Jahan, Farha (57193580312); Sun, Weiqing (57224777004); Niyaz, Quamar (55191240800); Alam, Mansoor (57213805405)</t>
  </si>
  <si>
    <t>57193580312; 57224777004; 55191240800; 57213805405</t>
  </si>
  <si>
    <t>52</t>
  </si>
  <si>
    <t>91</t>
  </si>
  <si>
    <t>Autonomous system (AS); Cybersecurity; Driverless car; Modeling; Robots; Unmanned Aerial Vehicles (UAVs)</t>
  </si>
  <si>
    <t>2-s2.0-85072371557</t>
  </si>
  <si>
    <t>Rozlosnik A.E.</t>
  </si>
  <si>
    <t>Rozlosnik, Andrés Esteban (6505780380)</t>
  </si>
  <si>
    <t>6505780380</t>
  </si>
  <si>
    <t>11409</t>
  </si>
  <si>
    <t>1140912</t>
  </si>
  <si>
    <t>Artificial Intelligence (AI): Machine Learning- Deep Learning; Big Data; Cybersecurity; Embedded Processors; Fourth Industrial Revolution; Infrared Industry; Internet of Things (IoT); IPv6; LTG-5G</t>
  </si>
  <si>
    <t>2-s2.0-85089593403</t>
  </si>
  <si>
    <t>Bel Hadj Ali N.; Abichou T.; Green R.</t>
  </si>
  <si>
    <t>Bel Hadj Ali, Nizar (27267562700); Abichou, Tarek (6603864065); Green, Roger (26425073000)</t>
  </si>
  <si>
    <t>27267562700; 6603864065; 26425073000</t>
  </si>
  <si>
    <t>Journal of the Air and Waste Management Association</t>
  </si>
  <si>
    <t>2-s2.0-85081315844</t>
  </si>
  <si>
    <t>Putranto D.S.C.; Aji A.K.; Wahyudono B.</t>
  </si>
  <si>
    <t>Putranto, Dedy Septono Catur (55382370000); Aji, Aditya Krishna (57216782417); Wahyudono, Bintang (57216791283)</t>
  </si>
  <si>
    <t>55382370000; 57216782417; 57216791283</t>
  </si>
  <si>
    <t>Proceedings of the 2019 IEEE 6th Asian Conference on Defence Technology, ACDT 2019</t>
  </si>
  <si>
    <t>9072714</t>
  </si>
  <si>
    <t>4g; drone; internet of drones; raspberry pi; secure transmission</t>
  </si>
  <si>
    <t>2-s2.0-85084681721</t>
  </si>
  <si>
    <t>9256796</t>
  </si>
  <si>
    <t>Avionics analytics; Decision-making support; Drone cybersecurity; Knowledge engineering; Multi-sensor fusion</t>
  </si>
  <si>
    <t>2-s2.0-85097976668</t>
  </si>
  <si>
    <t>Eldosouky A.; Ferdowsi A.; Saad W.</t>
  </si>
  <si>
    <t>Eldosouky, AbdelRahman (57189045352); Ferdowsi, Aidin (57194340613); Saad, Walid (57203259001)</t>
  </si>
  <si>
    <t>57189045352; 57194340613; 57203259001</t>
  </si>
  <si>
    <t>8946587</t>
  </si>
  <si>
    <t>Cooperative localization; dynamic Stackelberg equilibrium; game theory; global positioning system (GPS) spoofing; unmanned aerial vehicles (UAVs)</t>
  </si>
  <si>
    <t>2-s2.0-85083719294</t>
  </si>
  <si>
    <t>Mielke D.M.; Graupl T.</t>
  </si>
  <si>
    <t>Mielke, Daniel M. (57200371880); Graupl, Thomas (21742549100)</t>
  </si>
  <si>
    <t>57200371880; 21742549100</t>
  </si>
  <si>
    <t>9256780</t>
  </si>
  <si>
    <t>2-s2.0-85097981574</t>
  </si>
  <si>
    <t>Goble W.; Braddy E.; Burmester M.; Schwartz D.; Sloan R.; Drizis D.; Ahir N.; Ma M.; Bays M.; Chastain M.</t>
  </si>
  <si>
    <t>Goble, William (57219120116); Braddy, Elizabeth (57219118892); Burmester, Mike (7003671677); Schwartz, Daniel (13309517300); Sloan, Ryan (57219118904); Drizis, Demetra (57219119883); Ahir, Nitish (57219121866); Ma, Melissa (58732473500); Bays, Matt (35309429600); Chastain, Matt (57219121436)</t>
  </si>
  <si>
    <t>57219120116; 57219118892; 7003671677; 13309517300; 57219118904; 57219119883; 57219121866; 58732473500; 35309429600; 57219121436</t>
  </si>
  <si>
    <t>1271 AISC</t>
  </si>
  <si>
    <t>CNSSP 28 Policies; Cybersecurity; Drones; Stream authentication; Unmanned Aerial Systems; XSS vulnerabilities</t>
  </si>
  <si>
    <t>2-s2.0-85091336393</t>
  </si>
  <si>
    <t>Ahmed S.S.; Hulme K.F.; Fountas G.; Eker U.; Benedyk I.V.; Still S.E.; Anastasopoulos P.C.</t>
  </si>
  <si>
    <t>Ahmed, Sheikh Shahriar (57200040581); Hulme, Kevin F. (6701321551); Fountas, Grigorios (56543789200); Eker, Ugur (57210316776); Benedyk, Irina V. (57191267319); Still, Stephen E. (6602080098); Anastasopoulos, Panagiotis Ch. (23768188800)</t>
  </si>
  <si>
    <t>57200040581; 6701321551; 56543789200; 57210316776; 57191267319; 6602080098; 23768188800</t>
  </si>
  <si>
    <t>Frontiers in Built Environment</t>
  </si>
  <si>
    <t>106</t>
  </si>
  <si>
    <t>2-s2.0-85088936131</t>
  </si>
  <si>
    <t>Pelton J.N.</t>
  </si>
  <si>
    <t>Pelton, Joseph N. (7006602637)</t>
  </si>
  <si>
    <t>7006602637</t>
  </si>
  <si>
    <t>Handbook of Small Satellites: Technology, Design, Manufacture, Applications, Economics and Regulation: With 476 Figures and 92 Tables</t>
  </si>
  <si>
    <t>2-s2.0-85113363931</t>
  </si>
  <si>
    <t>Hermosilla A.; Zarca A.M.; Bernabe J.B.; Ortiz J.; Skarmeta A.</t>
  </si>
  <si>
    <t>Hermosilla, Ana (57218488566); Zarca, Alejandro Molina (57205211593); Bernabe, Jorge Bernal (57195618802); Ortiz, Jordi (55241420600); Skarmeta, Antonio (7004419066)</t>
  </si>
  <si>
    <t>57218488566; 57205211593; 57195618802; 55241420600; 7004419066</t>
  </si>
  <si>
    <t>9143099</t>
  </si>
  <si>
    <t>architecture; cybersecurity; IoT; SDN/NFV</t>
  </si>
  <si>
    <t>2-s2.0-85089306173</t>
  </si>
  <si>
    <t>Ossamah A.</t>
  </si>
  <si>
    <t>Ossamah, Almotery (57219798008)</t>
  </si>
  <si>
    <t>57219798008</t>
  </si>
  <si>
    <t>IEEE World Forum on Internet of Things, WF-IoT 2020 - Symposium Proceedings</t>
  </si>
  <si>
    <t>9221466</t>
  </si>
  <si>
    <t>Blockchain; Cybersecurity; Data Security; Drone Security; Drones; Internet of Things; Unmanned Aerial Vehicles</t>
  </si>
  <si>
    <t>2-s2.0-85095570365</t>
  </si>
  <si>
    <t>Gorrepati R.R.; Guntur S.R.</t>
  </si>
  <si>
    <t>Gorrepati, Rajani Reddy (42661197000); Guntur, Sitaramanjaneya Reddy (35484183300)</t>
  </si>
  <si>
    <t>42661197000; 35484183300</t>
  </si>
  <si>
    <t>2-s2.0-85102035125</t>
  </si>
  <si>
    <t>Khan N.A.; Brohi S.N.; Jhanjhi N.</t>
  </si>
  <si>
    <t>Khan, Navid Ali (57216537861); Brohi, Sarfraz Nawaz (55008038000); Jhanjhi, Nz (36088700700)</t>
  </si>
  <si>
    <t>57216537861; 55008038000; 36088700700</t>
  </si>
  <si>
    <t>118</t>
  </si>
  <si>
    <t>2-s2.0-85085180727</t>
  </si>
  <si>
    <t>Gordon J.; Kraj V.; Hwang J.H.; Raja A.</t>
  </si>
  <si>
    <t>Gordon, Joshua (57217044465); Kraj, Victoria (57217044365); Hwang, Ji Hun (57217049379); Raja, Ashok (57202846971)</t>
  </si>
  <si>
    <t>57217044465; 57217044365; 57217049379; 57202846971</t>
  </si>
  <si>
    <t>Proceedings - IEEE International Conference on Industrial Internet Cloud, ICII 2019</t>
  </si>
  <si>
    <t>9065164</t>
  </si>
  <si>
    <t>Cybersecurity; Deauthentication; Deauthorization; Denial-of-service; UAS</t>
  </si>
  <si>
    <t>2-s2.0-85085919844</t>
  </si>
  <si>
    <t>Moonen A.J.W.; Sufian B.A.M.</t>
  </si>
  <si>
    <t>Moonen, A.J. Wijnand (57220777006); Sufian, Bin Ahmad Muffriezal (57220779862)</t>
  </si>
  <si>
    <t>57220777006; 57220779862</t>
  </si>
  <si>
    <t>Offshore Technology Conference Asia 2020, OTCA 2020</t>
  </si>
  <si>
    <t>2-s2.0-85097605165</t>
  </si>
  <si>
    <t>Alladi T.; Naren; Bansal G.; Chamola V.; Guizani M.</t>
  </si>
  <si>
    <t>Alladi, Tejasvi (57211628204); Naren (57215844696); Bansal, Gaurang (57210318404); Chamola, Vinay (55427784900); Guizani, Mohsen (7004750176)</t>
  </si>
  <si>
    <t>57211628204; 57215844696; 57210318404; 55427784900; 7004750176</t>
  </si>
  <si>
    <t>69</t>
  </si>
  <si>
    <t>9237145</t>
  </si>
  <si>
    <t>Internet of Drones (IoD); mutual authentication; physical security; privacy; PUFs; security protocol; UAVs</t>
  </si>
  <si>
    <t>2-s2.0-85097578501</t>
  </si>
  <si>
    <t>He D.; Liu H.; Chan S.; Guizani M.</t>
  </si>
  <si>
    <t>He, Daojing (25627656800); Liu, Hong (57206939592); Chan, Sammy (13310352900); Guizani, Mohsen (7004750176)</t>
  </si>
  <si>
    <t>25627656800; 57206939592; 13310352900; 7004750176</t>
  </si>
  <si>
    <t>33</t>
  </si>
  <si>
    <t>8648452</t>
  </si>
  <si>
    <t>2-s2.0-85062148588</t>
  </si>
  <si>
    <t>Parlin K.; Alam M.M.; Le Moullec Y.</t>
  </si>
  <si>
    <t>Parlin, Karel (57203019528); Alam, Muhammad Mahtab (37065715600); Le Moullec, Yannick (8590335400)</t>
  </si>
  <si>
    <t>57203019528; 37065715600; 8590335400</t>
  </si>
  <si>
    <t>2018 International Conference on Military Communications and Information Systems, ICMCIS 2018</t>
  </si>
  <si>
    <t>Jamming; Software defined radio; Spread spectrum; Unmanned aerial vehicle</t>
  </si>
  <si>
    <t>2-s2.0-85050271228</t>
  </si>
  <si>
    <t>Pasic A.; Martinez-Salio J.-R.; Zarzosa S.G.; Diaz R.</t>
  </si>
  <si>
    <t>Pasic, Aljosa (15925746700); Martinez-Salio, Jose-Ramon (55392060700); Zarzosa, Susana Gonzalez (57210789519); Diaz, Rodrigo (56002224000)</t>
  </si>
  <si>
    <t>15925746700; 55392060700; 57210789519; 56002224000</t>
  </si>
  <si>
    <t>Part F130521</t>
  </si>
  <si>
    <t>a96</t>
  </si>
  <si>
    <t>Critical infrastructure protection; Cyber security; Cyber-physical systems; Secure architecture design; Security event management; Systems safety</t>
  </si>
  <si>
    <t>2-s2.0-85030331734</t>
  </si>
  <si>
    <t>Ferreira R.; Gaspar J.; Souto N.; Sebastiao P.</t>
  </si>
  <si>
    <t>Ferreira, Renato (57208421957); Gaspar, Joao (57033731900); Souto, Nuno (8872974500); Sebastiao, Pedro (55900519300)</t>
  </si>
  <si>
    <t>57208421957; 57033731900; 8872974500; 55900519300</t>
  </si>
  <si>
    <t>6th Global Wireless Summit, GWS 2018</t>
  </si>
  <si>
    <t>8686672</t>
  </si>
  <si>
    <t>GPS; Jamming; Radionavigation; SDR; Unmanned Aerial Vehicles</t>
  </si>
  <si>
    <t>2-s2.0-85064748728</t>
  </si>
  <si>
    <t>Pu C.</t>
  </si>
  <si>
    <t>Pu, Cong (56430573100)</t>
  </si>
  <si>
    <t>56430573100</t>
  </si>
  <si>
    <t>8523684</t>
  </si>
  <si>
    <t>flying ad hoc networks; intentional jamming; Internet-of-Drones (IoD); multipath routing; routing protocol</t>
  </si>
  <si>
    <t>2-s2.0-85056184922</t>
  </si>
  <si>
    <t>Dung N.D.; Rohacs J.</t>
  </si>
  <si>
    <t>Dung, Nguyen Dinh (57220953122); Rohacs, Jozsef (6603498928)</t>
  </si>
  <si>
    <t>57220953122; 6603498928</t>
  </si>
  <si>
    <t>2018 IEEE 59th Annual International Scientific Conference on Power and Electrical Engineering of Riga Technical University, RTUCON 2018 - Proceedings</t>
  </si>
  <si>
    <t>8659813</t>
  </si>
  <si>
    <t>drone models; drones; following-drone models; traffic flow; UAV; unmanned aerial vehicle</t>
  </si>
  <si>
    <t>2-s2.0-85063491880</t>
  </si>
  <si>
    <t>Jiménez A.; Andrade J.; Ogbu I.T.; Dontas I.; Capitán C.; Oliveres E.; Jia H.; Kostaridis A.</t>
  </si>
  <si>
    <t>Jiménez, Adrián (58577042900); Andrade, Juan (26647270100); Ogbu, Ivan Tesfai (57192922908); Dontas, Ioannis (58577159700); Capitán, Carlos (57210918732); Oliveres, Enric (58577631200); Jia, Huamin (7202381402); Kostaridis, Antonis (57212457279)</t>
  </si>
  <si>
    <t>58577042900; 26647270100; 57192922908; 58577159700; 57210918732; 58577631200; 7202381402; 57212457279</t>
  </si>
  <si>
    <t>Ka and Broadband Communications Conference</t>
  </si>
  <si>
    <t>2019-October</t>
  </si>
  <si>
    <t>2-s2.0-85126080859</t>
  </si>
  <si>
    <t>Yu J.; Cho B.-M.; Park K.-J.</t>
  </si>
  <si>
    <t>Yu, Jaemin (57203249013); Cho, Byeong-Moon (55813965200); Park, Kyung-Joon (35220500600)</t>
  </si>
  <si>
    <t>57203249013; 55813965200; 35220500600</t>
  </si>
  <si>
    <t>7th Asian/Australian Rotorcraft Forum, ARF 2018</t>
  </si>
  <si>
    <t>2-s2.0-85084012604</t>
  </si>
  <si>
    <t>Kwon Y.-M.; Yu J.; Cho B.-M.; Eun Y.; Park K.-J.</t>
  </si>
  <si>
    <t>Kwon, Young-Min (57194037098); Yu, Jaemin (57203249013); Cho, Byeong-Moon (55813965200); Eun, Yongsoon (7003690984); Park, Kyung-Joon (35220500600)</t>
  </si>
  <si>
    <t>57194037098; 57203249013; 55813965200; 7003690984; 35220500600</t>
  </si>
  <si>
    <t>8425627</t>
  </si>
  <si>
    <t>DoS; drones; flooding attack; MAVLink; network attack; packet injection; UAS; UAV</t>
  </si>
  <si>
    <t>2-s2.0-85051018551</t>
  </si>
  <si>
    <t>Shijith N.; Poornachandran P.; Sujadevi V.G.; Dharmana M.M.</t>
  </si>
  <si>
    <t>Shijith, N. (57198887225); Poornachandran, Prabaharan (55418308000); Sujadevi, V.G. (57192683396); Dharmana, Meher Madhu (57198886748)</t>
  </si>
  <si>
    <t>57198887225; 55418308000; 57192683396; 57198886748</t>
  </si>
  <si>
    <t>2017 Recent Developments in Control, Automation and Power Engineering, RDCAPE 2017</t>
  </si>
  <si>
    <t>Artificial Intelligence; CNN; Convolutional Neural Network; Deep Learning; Object detection; Signal jamming; UAV</t>
  </si>
  <si>
    <t>2-s2.0-85048044363</t>
  </si>
  <si>
    <t>Feng, Zhiwei (57191888338); Guan, Nan (21742419700); Lv, Mingsong (13006036500); Liu, Weichen (21743260700); Deng, Qingxu (13006940800); Liu, Xue (24178306600); Yi, Wang (56123437800)</t>
  </si>
  <si>
    <t>57191888338; 21742419700; 13006036500; 21743260700; 13006940800; 24178306600; 56123437800</t>
  </si>
  <si>
    <t>Proceedings of the 2017 Design, Automation and Test in Europe, DATE 2017</t>
  </si>
  <si>
    <t>7927214</t>
  </si>
  <si>
    <t>2-s2.0-85020231050</t>
  </si>
  <si>
    <t>Leccadito M.; Yemaneberhane B.; Nimo C.; Bakker T.; Klenke R.H.</t>
  </si>
  <si>
    <t>Leccadito, Matt (56223623000); Yemaneberhane, Berket (57193906921); Nimo, Charles (57193907281); Bakker, Tim (55803206600); Klenke, Robert H. (6701636928)</t>
  </si>
  <si>
    <t>56223623000; 57193906921; 57193907281; 55803206600; 6701636928</t>
  </si>
  <si>
    <t>AIAA Information Systems-AIAA Infotech at Aerospace, 2017</t>
  </si>
  <si>
    <t>2-s2.0-85085848397</t>
  </si>
  <si>
    <t>Schwalb E.; Schwalb J.</t>
  </si>
  <si>
    <t>Schwalb, Edward (56635430200); Schwalb, Joseph (57210921102)</t>
  </si>
  <si>
    <t>56635430200; 57210921102</t>
  </si>
  <si>
    <t>2019 International Conference on Unmanned Aircraft Systems, ICUAS 2019</t>
  </si>
  <si>
    <t>8798072</t>
  </si>
  <si>
    <t>2-s2.0-85071882407</t>
  </si>
  <si>
    <t>Kang J.-H.; Kwon Y.-M.; Park K.-J.</t>
  </si>
  <si>
    <t>Kang, Jin-Hyeok (57189035520); Kwon, Young-Min (57194037098); Park, Kyung-Joon (35220500600)</t>
  </si>
  <si>
    <t>57189035520; 57194037098; 35220500600</t>
  </si>
  <si>
    <t>1018</t>
  </si>
  <si>
    <t>Aerial networks; Drones; Spatial retreat; Unmanned aerial vehicles</t>
  </si>
  <si>
    <t>2-s2.0-85018378555</t>
  </si>
  <si>
    <t>The proceedings contain 197 papers. The topics discussed include: AeroMACS delivering secure networks through PKI policy and certificate; paving the way for an IT security architecture for LDACS: a Datalink security threat and risk analysis; on the security of aeronautical Datalink communications: problems and solutions; trustworthiness requirements and models for aviation and aerospace systems; cyber security of unmanned aircraft system traffic management (UTM); an enterprise cybersecurity strategy for federal critical infrastructure modernization; commercial space vehicle tracking using ADS-B; ADS-B mixed sUAS and NAS system capacity analysis and DAA performance; UAS CNS architectures for uncontrolled airspace; wide band channel characterization for low altitude unmanned aerial system communication using software defined radios; narrowband propagation statistics of aeronautical mobile-ground links in the L- and C-bands; phased array antenna for the mitigation of UAS interference; integration of fixed air-routes into UAS traffic management system; rapid assessment of air traffic impact of blocking airspaces; integration of UAS in existing air traffic management systems connotations and consequences; technical feasibility and impacts of reducing standard separation minima in final approach; and multi-objective integrated arrival &amp; departure aircraft sequencing under the influence of sequential flights.</t>
  </si>
  <si>
    <t>2-s2.0-85050006124</t>
  </si>
  <si>
    <t>Koval A.; Irigoyen E.; Koval T.</t>
  </si>
  <si>
    <t>Koval, Anton (56925304300); Irigoyen, Eloy (24724631500); Koval, Tetyana (16413314500)</t>
  </si>
  <si>
    <t>56925304300; 24724631500; 16413314500</t>
  </si>
  <si>
    <t>2017 IEEE 37th International Conference on Electronics and Nanotechnology, ELNANO 2017 - Proceedings</t>
  </si>
  <si>
    <t>7939812</t>
  </si>
  <si>
    <t>AR.Drone; gas; pollution; ROS</t>
  </si>
  <si>
    <t>2-s2.0-85021302034</t>
  </si>
  <si>
    <t>Siddappaji B.; Akhilesh K.B.</t>
  </si>
  <si>
    <t>Siddappaji, B. (58150379900); Akhilesh, K.B. (8875001400)</t>
  </si>
  <si>
    <t>58150379900; 8875001400</t>
  </si>
  <si>
    <t>Smart Technologies: Scope and Applications</t>
  </si>
  <si>
    <t>2-s2.0-85150565834</t>
  </si>
  <si>
    <t>Cheon J.H.; Han K.; Hong S.-M.; Kim H.J.; Kim J.; Kim S.; Seo H.; Shim H.; Song Y.</t>
  </si>
  <si>
    <t>Cheon, Jung Hee (7004902048); Han, Kyoohyung (56878090900); Hong, Seong-Min (8917629500); Kim, Hyoun Jin (7410127528); Kim, Junsoo (57191852833); Kim, Suseong (55268251400); Seo, Hosung (57212633266); Shim, Hyungbo (55817764100); Song, Yongsoo (56208663000)</t>
  </si>
  <si>
    <t>7004902048; 56878090900; 8917629500; 7410127528; 57191852833; 55268251400; 57212633266; 55817764100; 56208663000</t>
  </si>
  <si>
    <t>control design; Cryptography; cyber-physical systems; encryption; unmanned aerial vehicles</t>
  </si>
  <si>
    <t>2-s2.0-85044380148</t>
  </si>
  <si>
    <t>Mead J.; Bobda C.; Whitaker T.J.L.</t>
  </si>
  <si>
    <t>Mead, Joshua (57193610414); Bobda, Christophe (6603104702); Whitaker, Taylor J.L. (57193616416)</t>
  </si>
  <si>
    <t>57193610414; 6603104702; 57193616416</t>
  </si>
  <si>
    <t>Proceedings of the 2016 IEEE Asian Hardware Oriented Security and Trust Symposium, AsianHOST 2016</t>
  </si>
  <si>
    <t>7835557</t>
  </si>
  <si>
    <t>2-s2.0-85015149436</t>
  </si>
  <si>
    <t>Minucci F.; Vinogradov E.; Sallouha H.; Pollin S.</t>
  </si>
  <si>
    <t>Minucci, Franco (25930501000); Vinogradov, Evgenii (56405212500); Sallouha, Hazem (57195481534); Pollin, Sofie (8601601500)</t>
  </si>
  <si>
    <t>25930501000; 56405212500; 57195481534; 8601601500</t>
  </si>
  <si>
    <t>IFIP Wireless Days</t>
  </si>
  <si>
    <t>2019-April</t>
  </si>
  <si>
    <t>8734208</t>
  </si>
  <si>
    <t>location broadcasting; sense; SSID; Unmanned aerial vehicle (UAV); Wi-Fi</t>
  </si>
  <si>
    <t>2-s2.0-85068543333</t>
  </si>
  <si>
    <t>Driscoll K.R.; Roy A.; Ponchak D.S.; Downey A.N.</t>
  </si>
  <si>
    <t>Driscoll, Kevin R. (36476206400); Roy, Aloke (7402704513); Ponchak, Denise S. (6506563228); Downey, Alan N. (7007073731)</t>
  </si>
  <si>
    <t>36476206400; 7402704513; 6506563228; 7007073731</t>
  </si>
  <si>
    <t>7943785</t>
  </si>
  <si>
    <t>2-s2.0-85021235722</t>
  </si>
  <si>
    <t>De Cubber G.</t>
  </si>
  <si>
    <t>De Cubber, Geert (16424672900)</t>
  </si>
  <si>
    <t>16424672900</t>
  </si>
  <si>
    <t>3rd Annual Science Fiction Prototyping Conference 2019: Designing Your Future With Science Fiction, SciFi-It 2019</t>
  </si>
  <si>
    <t>Augmented reality; Drones; Societal acceptance; Unmanned aerial systems; Unmanned ground systems; Unmanned maritime systems</t>
  </si>
  <si>
    <t>2-s2.0-85072337604</t>
  </si>
  <si>
    <t>Xiao F.; Zhou M.; Liye Y.; Yang J.; Wang Q.</t>
  </si>
  <si>
    <t>Xiao, Feng (56982366000); Zhou, Man (56903388100); Liye, Youcheng (57197712146); Yang, Jingxiao (57197722742); Wang, Qian (56856235900)</t>
  </si>
  <si>
    <t>56982366000; 56903388100; 57197712146; 57197722742; 56856235900</t>
  </si>
  <si>
    <t>Proceedings of the Annual International Conference on Mobile Computing and Networking, MOBICOM</t>
  </si>
  <si>
    <t>Part F131210</t>
  </si>
  <si>
    <t>Drone; Secure location authentication; WiFi</t>
  </si>
  <si>
    <t>2-s2.0-85034085817</t>
  </si>
  <si>
    <t>The proceedings contain 42 papers. The topics discussed include: SAT-based synthesis of spoofing attacks in cyber-physical control systems; guaranteed physical security with restart-based design for cyber-physical systems; cyber-physical system checkpointing and recovery; cloaking the clock: emulating clock skew in controller area networks; CityResolver: a decision support system for conflict resolution in smart cities; dynamic integration of heterogeneous transportation modes under disruptive events; impact driven sensor placement for leak detection in community water networks; SDCWorks: a formal framework for software defined control of smart manufacturing systems; towards a framework for realizable safety critical control through active set invariance; co-regulation of computational and physical effectors in a quadrotor unmanned aircraft system; OpenUAV: a UAV testbed for the CPs and robotics community; learning and control using Gaussian processes; distributed optimal control synthesis for multi-robot systems under global temporal tasks; fly-by-logic: control of multi-drone fleets with temporal logic objectives; context-aware detection in medical cyber-physical systems; a data-driven approach to artificial pancreas verification and synthesis; platform for model-based design and testing for deep brain stimulation; and autoware on board: enabling autonomous vehicles with embedded systems.</t>
  </si>
  <si>
    <t>2-s2.0-85053516090</t>
  </si>
  <si>
    <t>Ortiz-Sanz J.; Gil-Docampo M.; Arza-García M.; Cañas-Guerrero I.</t>
  </si>
  <si>
    <t>Ortiz-Sanz, Juan (57205721416); Gil-Docampo, Mariluz (56707474700); Arza-García, Marcos (57204151200); Cañas-Guerrero, Ignacio (6506821300)</t>
  </si>
  <si>
    <t>57205721416; 56707474700; 57204151200; 6506821300</t>
  </si>
  <si>
    <t>1424</t>
  </si>
  <si>
    <t>Cellar; Drone; Heat leaks; Infrared thermography; Thermal bridges; Thermal inspection; UAS; Wine maturation; Winery</t>
  </si>
  <si>
    <t>2-s2.0-85068184967</t>
  </si>
  <si>
    <t>Barchyn T.E.; Hugenholtz C.H.; Myshak S.; Bauer J.</t>
  </si>
  <si>
    <t>Barchyn, Thomas E. (24461065500); Hugenholtz, Chris H. (8696440600); Myshak, Stephen (56491232800); Bauer, Jim (57199368671)</t>
  </si>
  <si>
    <t>24461065500; 8696440600; 56491232800; 57199368671</t>
  </si>
  <si>
    <t>Drone; Leaks; Methane; Natural gas; UAV</t>
  </si>
  <si>
    <t>2-s2.0-85053931159</t>
  </si>
  <si>
    <t>Bunse C.; Plotz S.</t>
  </si>
  <si>
    <t>Bunse, Christian (55993988000); Plotz, Sebastian (57202791041)</t>
  </si>
  <si>
    <t>55993988000; 57202791041</t>
  </si>
  <si>
    <t>10953 LNCS</t>
  </si>
  <si>
    <t>Drone; Radio protocol; Reverse engineering; Security; UAV; Wireless</t>
  </si>
  <si>
    <t>2-s2.0-85049363174</t>
  </si>
  <si>
    <t>Viet H.N.; Kwon K.-R.; Kwon S.-K.; Lee E.-J.; Lee S.-H.; Kim C.-Y.</t>
  </si>
  <si>
    <t>Viet, Hoan Nguyen (6506841345); Kwon, Ki-Ryong (13606061300); Kwon, Soon-Kak (25925914000); Lee, Eung-Joo (56141911500); Lee, Suk-Hwan (24721765800); Kim, Chee-Yong (56141611100)</t>
  </si>
  <si>
    <t>6506841345; 13606061300; 25925914000; 56141911500; 24721765800; 56141611100</t>
  </si>
  <si>
    <t>Proceedings of the 2017 IEEE 24th International Congress on Electronics, Electrical Engineering and Computing, INTERCON 2017</t>
  </si>
  <si>
    <t>8079647</t>
  </si>
  <si>
    <t>Drone security; GPS signal generator; IF (intermediate frequency) signals; Signal-to-noise ratio (SNR)</t>
  </si>
  <si>
    <t>2-s2.0-85039980317</t>
  </si>
  <si>
    <t>Gaspar J.; Ferreira R.; Sebastiao P.; Souto N.</t>
  </si>
  <si>
    <t>Gaspar, Joao (57033731900); Ferreira, Renato (57208421957); Sebastiao, Pedro (55900519300); Souto, Nuno (8872974500)</t>
  </si>
  <si>
    <t>8686727</t>
  </si>
  <si>
    <t>GNSS; GPS; SDR; SPOOFING; UAV</t>
  </si>
  <si>
    <t>2-s2.0-85064748596</t>
  </si>
  <si>
    <t>Siewert S.; Sampigethaya K.; Buchholz J.; Rizor S.</t>
  </si>
  <si>
    <t>Siewert, Sam (6603440213); Sampigethaya, Krishna (12767047900); Buchholz, Jonathan (57202926506); Rizor, Steve (57215336168)</t>
  </si>
  <si>
    <t>6603440213; 12767047900; 57202926506; 57215336168</t>
  </si>
  <si>
    <t>9081710</t>
  </si>
  <si>
    <t>ADS-B; fail-safe; fail-secure; GPS; UAM; UAS; UTM</t>
  </si>
  <si>
    <t>2-s2.0-85084752920</t>
  </si>
  <si>
    <t>1113 CCIS</t>
  </si>
  <si>
    <t>2-s2.0-85076293464</t>
  </si>
  <si>
    <t>2017-September</t>
  </si>
  <si>
    <t>The proceedings contain 160 papers. The topics discussed include: a what-if analysis tool for planning airport traffic; evaluation of approval request/call for release coordination procedures for Charlotte Douglas International Airport; security, privacy and safety evaluation of dynamic and static fleets of drones; optimization of the interfering device for use of interference communication UAV; cyber safety and security for reduced crew operations (RCO); examination of pilot benefits from cognitive assistance for single-pilot general aviation operations; quantifying pilot contribution to flight safety during drive shaft failure; and dynamic interference quantification for multicore processors.</t>
  </si>
  <si>
    <t>2-s2.0-85040986230</t>
  </si>
  <si>
    <t>Gaspar J.; Ferreira R.B.; Sebastiao P.; Souto N.; Postolache O.A.</t>
  </si>
  <si>
    <t>Gaspar, Joao (57033731900); Ferreira, Renato Branco (57208421957); Sebastiao, Pedro (55900519300); Souto, Nuno (8872974500); Postolache, Octavian Adrian (6701457335)</t>
  </si>
  <si>
    <t>57033731900; 57208421957; 55900519300; 8872974500; 6701457335</t>
  </si>
  <si>
    <t>2019 International Conference on Sensing and Instrumentation in IoT Era, ISSI 2019</t>
  </si>
  <si>
    <t>9043667</t>
  </si>
  <si>
    <t>Global Network Satellite Systems; Jamming; Real-time Location Systems; Software Defined Radio; Spoofing</t>
  </si>
  <si>
    <t>2-s2.0-85083204532</t>
  </si>
  <si>
    <t>Li H.; Zeng H.; Downey A.N.; Kerczewski R.J.; Ivancic W.D.; Matheou K.; Murawski R.W.</t>
  </si>
  <si>
    <t>Li, Hongxiang (57189946349); Zeng, Huacheng (55345725600); Downey, Alan N. (7007073731); Kerczewski, Robert J. (6602101466); Ivancic, William D. (59023047900); Matheou, Konstantin (57202955804); Murawski, Robert W. (8311778900)</t>
  </si>
  <si>
    <t>57189946349; 55345725600; 7007073731; 6602101466; 59023047900; 57202955804; 8311778900</t>
  </si>
  <si>
    <t>8735229</t>
  </si>
  <si>
    <t>Interference; LTE; MIMO; UAS</t>
  </si>
  <si>
    <t>2-s2.0-85068036079</t>
  </si>
  <si>
    <t>Iqbal F.; Yankson B.; AlYammahi M.A.; AlMansoori N.; Qayed S.M.; Shah B.; Baker T.</t>
  </si>
  <si>
    <t>Iqbal, Farkhund (35788088300); Yankson, Benjamin (57209642118); AlYammahi, Maryam A. (57223373993); AlMansoori, Naeema (57209645324); Qayed, Suaad Mohammed (57209645004); Shah, Babar (55354253000); Baker, Thar (34267505000)</t>
  </si>
  <si>
    <t>35788088300; 57209642118; 57223373993; 57209645324; 57209645004; 55354253000; 34267505000</t>
  </si>
  <si>
    <t>International Journal of Electronic Security and Digital Forensics</t>
  </si>
  <si>
    <t>Unmanned aerial vehicles (UAVs), also known as drones, provides unique functionalities, which allows area surveillance, inspection, surveying, unarmed cargo, armed attack machines, and aerial photography. Drones are susceptible to GPS spoofing attacks, integrity attacks and de-authentication attacks, which can allow criminals to access data, intercept the drone and use it commit a crime. Thus, this paper is presented to report on potential attacks against the Parrot Bebop 2 drone, and the ability for an investigator to collect evidence about the attacks on the drone. This paper aims at examining the possibility of establishing ownership and collecting data to reconstruct events, linking the drone controller with the drone to prove ownership, flight origins and other potentially useful information necessary to identify the proprietor of a crime. In addition, we have also proposed small-scale drone ontology for modelling drone context data, and simple forensic processing framework for small-scale drones. Copyright © 2019 Inderscience Enterprises Ltd.</t>
  </si>
  <si>
    <t>Context data; Digital forensics; Drone attack; Drone ontology; Drone security; Investigation</t>
  </si>
  <si>
    <t>2-s2.0-85068339008</t>
  </si>
  <si>
    <t>Choudhary G.; Sharma V.; You I.</t>
  </si>
  <si>
    <t>Choudhary, Gaurav (57202009598); Sharma, Vishal (55682655583); You, Ilsun (14038401900)</t>
  </si>
  <si>
    <t>57202009598; 55682655583; 14038401900</t>
  </si>
  <si>
    <t>Computers and Electrical Engineering</t>
  </si>
  <si>
    <t>74</t>
  </si>
  <si>
    <t>Deep neural networks; Internet of Drones; Link durations; MAC Protocol; Security; Trajectory; UAVs</t>
  </si>
  <si>
    <t>2-s2.0-85060177537</t>
  </si>
  <si>
    <t>Burgués J.; Hernández V.; Lilienthal A.J.; Marco S.</t>
  </si>
  <si>
    <t>Burgués, Javier (36019787100); Hernández, Victor (57195327102); Lilienthal, Achim J. (15623407200); Marco, Santiago (7005263839)</t>
  </si>
  <si>
    <t>36019787100; 57195327102; 15623407200; 7005263839</t>
  </si>
  <si>
    <t>478</t>
  </si>
  <si>
    <t xml:space="preserve">                             This paper describes the development and validation of the currently smallest aerial platform with olfaction capabilities. The developed Smelling Nano Aerial Vehicle (SNAV) is based on a lightweight commercial nano-quadcopter (27 g) equipped with a custom gas sensing board that can host up to two in situ metal oxide semiconductor (MOX) gas sensors. Due to its small form-factor, the SNAV is not a hazard for humans, enabling its use in public areas or inside buildings. It can autonomously carry out gas sensing missions of hazardous environments inaccessible to terrestrial robots and bigger drones, for example searching for victims and hazardous gas leaks inside pockets that form within the wreckage of collapsed buildings in the aftermath of an earthquake or explosion. The first contribution of this work is assessing the impact of the nano-propellers on the MOX sensor signals at different distances to a gas source. A second contribution is adapting the ‘bout’ detection algorithm, proposed by Schmuker et al. (2016) to extract specific features from the derivative of the MOX sensor response, for real-time operation. The third and main contribution is the experimental validation of the SNAV for gas source localization (GSL) and mapping in a large indoor environment (160 m                             2                             ) with a gas source placed in challenging positions for the drone, for example hidden in the ceiling of the room or inside a power outlet box. Two GSL strategies are compared, one based on the instantaneous gas sensor response and the other one based on the bout frequency. From the measurements collected (in motion) along a predefined sweeping path we built (in less than 3 min) a 3D map of the gas distribution and identified the most likely source location. Using the bout frequency yielded on average a higher localization accuracy than using the instantaneous gas sensor response (1.38 m versus 2.05 m error), however accurate tuning of an additional parameter (the noise threshold) is required in the former case. The main conclusion of this paper is that a nano-drone has the potential to perform gas sensing tasks in complex environments.                          © 2019 by the authors. Licensee MDPI, Basel, Switzerland.</t>
  </si>
  <si>
    <t>Drone; Electronics; Gas distribution mapping; Gas sensors; Gas source localization; MOX sensor; Quadcopter; Robotics; Signal processing; UAV</t>
  </si>
  <si>
    <t>2-s2.0-85060510907</t>
  </si>
  <si>
    <t>Nooraldeen Y.; AlNoaimi H.</t>
  </si>
  <si>
    <t>Nooraldeen, Yasser (55337013600); AlNoaimi, Hasan (57208102218)</t>
  </si>
  <si>
    <t>55337013600; 57208102218</t>
  </si>
  <si>
    <t>SPE Middle East Oil and Gas Show and Conference, MEOS, Proceedings</t>
  </si>
  <si>
    <t>2019-March</t>
  </si>
  <si>
    <t>2-s2.0-85063770316</t>
  </si>
  <si>
    <t>Schuyler T.J.; Bailey S.C.C.; Guzman M.I.</t>
  </si>
  <si>
    <t>Schuyler, Travis J. (57208628196); Bailey, Sean C.C. (24075283000); Guzman, Marcelo I. (12753836800)</t>
  </si>
  <si>
    <t>57208628196; 24075283000; 12753836800</t>
  </si>
  <si>
    <t>434</t>
  </si>
  <si>
    <t>ABL; Ammonia; Atmospheric boundary layer; Carbon dioxide; Drones; Emission; Gases; Methane; Quantification; Trace; Troposphere; UAS; UAV; Unmanned aerial systems; Unmanned aerial vehicles</t>
  </si>
  <si>
    <t>2-s2.0-85070782226</t>
  </si>
  <si>
    <t>Suciu G.; Dragu M.; Hussain I.; Iliescu A.-M.; Orza O.; Mocanu C.</t>
  </si>
  <si>
    <t>Suciu, George (55030090300); Dragu, Mihaela (57201588901); Hussain, Ijaz (57205751551); Iliescu, Ana-Maria (57205751960); Orza, Oana (57205751790); Mocanu, Cristian (57205752837)</t>
  </si>
  <si>
    <t>55030090300; 57201588901; 57205751551; 57205751960; 57205751790; 57205752837</t>
  </si>
  <si>
    <t>Proceedings - 16th International Conference on Embedded and Ubiquitous Computing, EUC 2018</t>
  </si>
  <si>
    <t>8588849</t>
  </si>
  <si>
    <t>3D modeling; 3D reconstruction; Parrot Bebop 2 FPV; Photogrammetry; Pix4D cloud software; UAV</t>
  </si>
  <si>
    <t>2-s2.0-85061428219</t>
  </si>
  <si>
    <t>752</t>
  </si>
  <si>
    <t>The proceedings contain 147 papers. The special focus in this conference is on . The topics include: An indoor personnel positioning method based on spectrum; research on fault diagnosis based on test resource virtualization; solving airport gate assignment problem using an improved genetic algorithm with dynamic topology; sound detection and alarm system of unmanned aerial vehicle; Landscape pattern recognition on water quality protection in an urbanizing delta using remote sensing and GIS techniques; map building for a kind of robot’s structural environment; a study on hair density analysis for androgenic hair pattern of low-resolution leg images; an efficient algorithm based on resource regulatory network to predict potential safety hazards; The software quality prediction model based on DBN; Research on DOS attack effect evaluation technology; research and optimization of data sparsity in collaborative filtering algorithms; analyses on requirements of information and communication standard for global energy interconnection; a simplified prediction method of IoT service response time; real-time and distributed anomalies detection architecture and implementation with structured streaming; a distributed complex event processing system based on publish/subscribe; an event-driven multi-process collaborative interaction platform for internet of things; the impact of I-O structure on China’s macroeconomy; coordinated production and distribution scheduling in flowshop with limited waiting times; remove the confusion and speed up the construction of battlefield cyber warfare force; study on online learning intervention based on theory of constraints; LHR: Using LDA helps ranking; a robust image segmentation approach using fuzzy C-means clustering with local coefficient of variation.</t>
  </si>
  <si>
    <t>2-s2.0-85053283657</t>
  </si>
  <si>
    <t>Kunze S.; Weinberger A.; Poeschl R.</t>
  </si>
  <si>
    <t>Kunze, S. (56879950900); Weinberger, A. (57204508082); Poeschl, R. (57190130378)</t>
  </si>
  <si>
    <t>56879950900; 57204508082; 57190130378</t>
  </si>
  <si>
    <t>2019 29th International Conference Radioelektronika, RADIOELEKTRONIKA 2019 - Microwave and Radio Electronics Week, MAREW 2019</t>
  </si>
  <si>
    <t>8733507</t>
  </si>
  <si>
    <t>Civil security; Signal analysis; Software defined radio; Unmanned aerial vehicles</t>
  </si>
  <si>
    <t>2-s2.0-85068580501</t>
  </si>
  <si>
    <t>Arteaga S.P.; Hernandez L.A.M.; Perez G.S.; Orozco A.L.S.; Villalba L.J.G.</t>
  </si>
  <si>
    <t>Arteaga, Sandra Perez (57209235551); Hernandez, Luis Alberto Martinez (58380002300); Perez, Gabriel Sanchez (58711285200); Orozco, Ana Lucila Sandoval (57195496087); Villalba, Luis Javier Garcia (57192440178)</t>
  </si>
  <si>
    <t>57209235551; 58380002300; 58711285200; 57195496087; 57192440178</t>
  </si>
  <si>
    <t>8691741</t>
  </si>
  <si>
    <t>GPS; GPS spoofing; hijack; Maldrone; UAV; vulnerabilities</t>
  </si>
  <si>
    <t>2-s2.0-85067097313</t>
  </si>
  <si>
    <t>Polydorou E.; Robinson D.; Taylor S.; McGetrick P.</t>
  </si>
  <si>
    <t>Polydorou, E. (57208598041); Robinson, D. (7404644259); Taylor, S. (55462782700); McGetrick, P. (57193363979)</t>
  </si>
  <si>
    <t>57208598041; 7404644259; 55462782700; 57193363979</t>
  </si>
  <si>
    <t>9th International Conference on Structural Health Monitoring of Intelligent Infrastructure: Transferring Research into Practice, SHMII 2019 - Conference Proceedings</t>
  </si>
  <si>
    <t>Computer vision methods; Measurements; Unmanned Aerial Vehicles; Vibrations</t>
  </si>
  <si>
    <t>2-s2.0-85091405699</t>
  </si>
  <si>
    <t>Sabatini R.; Moore T.; Ramasamy S.</t>
  </si>
  <si>
    <t>Sabatini, Roberto (56962744800); Moore, Terry (36010915700); Ramasamy, Subramanian (56962761300)</t>
  </si>
  <si>
    <t>56962744800; 36010915700; 56962761300</t>
  </si>
  <si>
    <t>95</t>
  </si>
  <si>
    <t>Aerospace electronic systems; Air navigation; Aircraft based augmentation system; Aviation security; Avionics; Cyber-physical systems; Differential GNSS; Global navigation satellite system; GNSS augmentation; GNSS performance; Ground based augmentation system; High-integrity systems; Integrity monitoring; Receiver autonomous integrity monitoring; Safety-critical aviation applications; Satellite based augmentation system</t>
  </si>
  <si>
    <t>2-s2.0-85034603742</t>
  </si>
  <si>
    <t>Semal B.; Markantonakis K.; Akram R.N.</t>
  </si>
  <si>
    <t>Semal, Benjamin (57205574216); Markantonakis, Konstantinos (8379250300); Akram, Raja Naeem (35483173100)</t>
  </si>
  <si>
    <t>57205574216; 8379250300; 35483173100</t>
  </si>
  <si>
    <t>2018-September</t>
  </si>
  <si>
    <t>8569730</t>
  </si>
  <si>
    <t>2-s2.0-85060642421</t>
  </si>
  <si>
    <t>Gomes R.; Straub J.; Jones A.; Morgan J.; Tipparach S.; Sletten A.; Kim K.W.; Loegering D.; Feikema N.; Dayananda K.; Miryala G.; Gass A.; Setterstrom K.; Mischel J.; Shipman D.; Nazzaro C.</t>
  </si>
  <si>
    <t>Gomes, Rahul (57194472338); Straub, Jeremy (57757363200); Jones, Andrew (57193866094); Morgan, John (58422733400); Tipparach, Santipab (57195511291); Sletten, Aaron (57200364241); Kim, Keon Woo (57200368232); Loegering, David (57200369926); Feikema, Nick (57200367932); Dayananda, Karanam (57194165158); Miryala, Goutham (57195517076); Gass, Andrew (57200366748); Setterstrom, Kevin (57200372764); Mischel, Jacob (57200365834); Shipman, Dylan (57191359451); Nazzaro, Colleen (57200369035)</t>
  </si>
  <si>
    <t>57194472338; 57757363200; 57193866094; 58422733400; 57195511291; 57200364241; 57200368232; 57200369926; 57200367932; 57194165158; 57195517076; 57200366748; 57200372764; 57200365834; 57191359451; 57200369035</t>
  </si>
  <si>
    <t>8102148</t>
  </si>
  <si>
    <t>autonomous navigation; obstacle avoidance; path planning; remote sensing; UAS</t>
  </si>
  <si>
    <t>2-s2.0-85041010086</t>
  </si>
  <si>
    <t>Güvenç I.; Ozdemir O.; Yapici Y.; Mehrpouyan H.; Matolak D.</t>
  </si>
  <si>
    <t>Güvenç, Ismail (6602252613); Ozdemir, Ozgur (57208023329); Yapici, Yavuz (35079906300); Mehrpouyan, Hani (23567225600); Matolak, David (6701669753)</t>
  </si>
  <si>
    <t>6602252613; 57208023329; 35079906300; 23567225600; 6701669753</t>
  </si>
  <si>
    <t>8102043</t>
  </si>
  <si>
    <t>Drones detection; interdiction; Internet of Things (IoT); mmWave radar; surveillance; tracking; UAS; UAV</t>
  </si>
  <si>
    <t>2-s2.0-85040991825</t>
  </si>
  <si>
    <t>Tandon J.; Akhavian R.; Gumina M.; Pakpour N.</t>
  </si>
  <si>
    <t>Tandon, James (36708789200); Akhavian, Reza (54894370900); Gumina, Mario (57194854626); Pakpour, Nazzy (6506969354)</t>
  </si>
  <si>
    <t>36708789200; 54894370900; 57194854626; 6506969354</t>
  </si>
  <si>
    <t>IEEE Global Engineering Education Conference, EDUCON</t>
  </si>
  <si>
    <t>7942968</t>
  </si>
  <si>
    <t>Active learning; Biotechnolgy; Drone; Hack-a-thon; Hackathon; Malaria; Mosquito; Quadcopter; Zika</t>
  </si>
  <si>
    <t>2-s2.0-85023598769</t>
  </si>
  <si>
    <t>2-s2.0-85070506964</t>
  </si>
  <si>
    <t>Kuzmin A.; Znak E.</t>
  </si>
  <si>
    <t>Kuzmin, Alexander (57199323787); Znak, Evgeny (57204461888)</t>
  </si>
  <si>
    <t>57199323787; 57204461888</t>
  </si>
  <si>
    <t>Proceedings of the 2018 IEEE International Conference on Service Operations and Logistics, and Informatics, SOLI 2018</t>
  </si>
  <si>
    <t>8476785</t>
  </si>
  <si>
    <t>blockchain; consensus mechanisms; cyber security; drones; integrity; UAVNet; unmanned aerial vehicles</t>
  </si>
  <si>
    <t>2-s2.0-85055671193</t>
  </si>
  <si>
    <t>10651</t>
  </si>
  <si>
    <t>The proceedings contain 15 papers. The topics discussed include: time critical systems and open architecture; layered approach to open architecture development; experiences in open architecture research and experimentation; an introduction to model based engineering; named data networking protocols for tactical command and control; multi-agent relative pose estimation: approaches and applications; cyber resilience and integrity self-awareness of mobile autonomous systems; high-level data fusion component for drone classification and decision support in counter UAV; 28 Gbaud PAM4 real time optical Datacom link up to 10 km; mobile node networks model for the generation of knowledge; decentralized control methods for self-organizing collaborative robotic teams; swarm of autonomous unmanned aerial vehicles with 3D deconfliction; secure communication using ergodic chaotic parameter modulation; and experiences in open architecture research and experimentation.</t>
  </si>
  <si>
    <t>2-s2.0-85049195331</t>
  </si>
  <si>
    <t>Riahi Manesh M.; Kaabouch N.</t>
  </si>
  <si>
    <t>Riahi Manesh, Mohsen (57196416731); Kaabouch, Naima (22634156500)</t>
  </si>
  <si>
    <t>57196416731; 22634156500</t>
  </si>
  <si>
    <t>85</t>
  </si>
  <si>
    <t>ADS-B; Cyber-attacks; GPS; Security; UAS networks; UAS swarms</t>
  </si>
  <si>
    <t>2-s2.0-85066408597</t>
  </si>
  <si>
    <t>Meng L.; Hirayama T.; Oyanagi S.</t>
  </si>
  <si>
    <t>Meng, Lin (56038497000); Hirayama, Takuma (57201435811); Oyanagi, Shigeru (7006011476)</t>
  </si>
  <si>
    <t>56038497000; 57201435811; 7006011476</t>
  </si>
  <si>
    <t>360-degree panoramic image; deep learning; fish recognition; open source hardware; underwater-drone</t>
  </si>
  <si>
    <t>2-s2.0-85044722896</t>
  </si>
  <si>
    <t>Vasconcelos G.; Miani R.S.; Guizilini V.C.; Souza J.R.</t>
  </si>
  <si>
    <t>Vasconcelos, Gabriel (57193057279); Miani, Rodrigo S. (25929439300); Guizilini, Vitor C. (34880043500); Souza, Jefferson R. (40662122400)</t>
  </si>
  <si>
    <t>57193057279; 25929439300; 34880043500; 40662122400</t>
  </si>
  <si>
    <t>International Journal of Communication Networks and Information Security</t>
  </si>
  <si>
    <t>2-s2.0-85065517823</t>
  </si>
  <si>
    <t>Jansen K.; Schafer M.; Moser D.; Lenders V.; Popper C.; Schmitt J.</t>
  </si>
  <si>
    <t>Jansen, Kai (57192714601); Schafer, Matthias (57191505248); Moser, Daniel (57191839226); Lenders, Vincent (12786066100); Popper, Christina (24554344400); Schmitt, Jens (7401900212)</t>
  </si>
  <si>
    <t>57192714601; 57191505248; 57191839226; 12786066100; 24554344400; 7401900212</t>
  </si>
  <si>
    <t>Proceedings - IEEE Symposium on Security and Privacy</t>
  </si>
  <si>
    <t>2018-May</t>
  </si>
  <si>
    <t>8418651</t>
  </si>
  <si>
    <t>ADS B; GPS; Localization Security; Spoofer Localization; Spoofing Detection</t>
  </si>
  <si>
    <t>2-s2.0-85051050086</t>
  </si>
  <si>
    <t>Mairaj A.; Majumder S.; Javaid A.Y.</t>
  </si>
  <si>
    <t>Mairaj, Aakif (57204772705); Majumder, Subhrajit (57204778469); Javaid, Ahmad Y. (55613342900)</t>
  </si>
  <si>
    <t>57204772705; 57204778469; 55613342900</t>
  </si>
  <si>
    <t>8797939</t>
  </si>
  <si>
    <t>2-s2.0-85071834772</t>
  </si>
  <si>
    <t>Javed M.A.; Khan Niazi S.</t>
  </si>
  <si>
    <t>Javed, M Awais (59291175000); Khan Niazi, Sohaib (57209731799)</t>
  </si>
  <si>
    <t>59291175000; 57209731799</t>
  </si>
  <si>
    <t>2019 International Conference on Communication Technologies, ComTech 2019</t>
  </si>
  <si>
    <t>8737800</t>
  </si>
  <si>
    <t>5G Security; Authentication; Communication Channels; DoS/ DDoS; Dual-homed Switching Network (DSN); LTE-A; NFV; SDN</t>
  </si>
  <si>
    <t>2-s2.0-85068567362</t>
  </si>
  <si>
    <t>Kharchenko V.; Torianyk V.</t>
  </si>
  <si>
    <t>Kharchenko, Vyacheslav (22034616000); Torianyk, Volodymyr (57203140909)</t>
  </si>
  <si>
    <t>22034616000; 57203140909</t>
  </si>
  <si>
    <t>Proceedings of 2018 IEEE 9th International Conference on Dependable Systems, Services and Technologies, DESSERT 2018</t>
  </si>
  <si>
    <t>Critical infrastructures; Internet of Drones Cyber Vulnerabilities; Intrusion Modes and Effects Criticality Analysis; Unmanned Aerial Multisystems</t>
  </si>
  <si>
    <t>2-s2.0-85050681497</t>
  </si>
  <si>
    <t>Manesh M.R.; Kenney J.; Hu W.C.; Devabhaktuni V.K.; Kaabouch N.</t>
  </si>
  <si>
    <t>Manesh, Mohsen Riahi (54407088100); Kenney, Jonathan (57207990944); Hu, Wen Chen (8572167400); Devabhaktuni, Vijaya Kumar (6602156750); Kaabouch, Naima (22634156500)</t>
  </si>
  <si>
    <t>54407088100; 57207990944; 8572167400; 6602156750; 22634156500</t>
  </si>
  <si>
    <t>2019 16th IEEE Annual Consumer Communications and Networking Conference, CCNC 2019</t>
  </si>
  <si>
    <t>8651804</t>
  </si>
  <si>
    <t>Attack detection; Cyber-attacks; GPS meaconing; GPS spoofing; Machine learning; Neural network; UAS; UAV</t>
  </si>
  <si>
    <t>2-s2.0-85063457249</t>
  </si>
  <si>
    <t>Thiha K.; Soong B.-H.; Vaiyapuri V.; Nadarajan S.</t>
  </si>
  <si>
    <t>Thiha, Kyaw (57201987431); Soong, Boon-Hee (7006364506); Vaiyapuri, Viswanathan (56595154900); Nadarajan, Sivakumar (55020846800)</t>
  </si>
  <si>
    <t>57201987431; 7006364506; 56595154900; 55020846800</t>
  </si>
  <si>
    <t>Proceedings of the 14th IEEE Conference on Industrial Electronics and Applications, ICIEA 2019</t>
  </si>
  <si>
    <t>8834161</t>
  </si>
  <si>
    <t>Anti-jamming; Reactive jamming; Timing channel</t>
  </si>
  <si>
    <t>2-s2.0-85073056529</t>
  </si>
  <si>
    <t>Miquel T.; Condomines J.-P.; Chemali R.; Larrieu N.</t>
  </si>
  <si>
    <t>Miquel, Thierry (56629295400); Condomines, Jean-Philippe (55849561400); Chemali, Riad (57159685300); Larrieu, Nicolas (6508251747)</t>
  </si>
  <si>
    <t>56629295400; 55849561400; 57159685300; 6508251747</t>
  </si>
  <si>
    <t>8205982</t>
  </si>
  <si>
    <t>2-s2.0-85041960945</t>
  </si>
  <si>
    <t>O'Malley J.</t>
  </si>
  <si>
    <t>O'Malley, James (57191608864)</t>
  </si>
  <si>
    <t>57191608864</t>
  </si>
  <si>
    <t>Engineering and Technology</t>
  </si>
  <si>
    <t>2-s2.0-85017360332</t>
  </si>
  <si>
    <t>Liang C.; Miao M.; Ma J.; Yan H.; Zhang Q.; Li X.; Li T.</t>
  </si>
  <si>
    <t>Liang, Chen (57209894372); Miao, Meixia (56519306200); Ma, Jianfeng (25621725700); Yan, Hongyan (59443801000); Zhang, Qun (35338668900); Li, Xinghua (36166745800); Li, Teng (57022522100)</t>
  </si>
  <si>
    <t>57209894372; 56519306200; 25621725700; 59443801000; 35338668900; 36166745800; 57022522100</t>
  </si>
  <si>
    <t>11806 LNCS</t>
  </si>
  <si>
    <t>Attack detection; Drone; GPS spoofing; UAV</t>
  </si>
  <si>
    <t>2-s2.0-85072862820</t>
  </si>
  <si>
    <t>Dey V.; Pudi V.; Chattopadhyay A.; Elovici Y.</t>
  </si>
  <si>
    <t>Dey, Vishal (57194650505); Pudi, Vikramkumar (47761474900); Chattopadhyay, Anupam (55553030400); Elovici, Yuval (6602317815)</t>
  </si>
  <si>
    <t>57194650505; 47761474900; 55553030400; 6602317815</t>
  </si>
  <si>
    <t>Proceedings of the IEEE International Conference on VLSI Design</t>
  </si>
  <si>
    <t>2018-January</t>
  </si>
  <si>
    <t>2-s2.0-85046727968</t>
  </si>
  <si>
    <t>Danas A.M.; Drouyor F.; Drouyor J.W.; Hong J.; Horwitz J.B.</t>
  </si>
  <si>
    <t>Danas, Andrew M. (57218880327); Drouyor, Feifan (57219484723); Drouyor, Jason W. (57218877195); Hong, Jane (58266037300); Horwitz, Jessica B. (57219486640)</t>
  </si>
  <si>
    <t>57218880327; 57219484723; 57218877195; 58266037300; 57219486640</t>
  </si>
  <si>
    <t>International Lawyer</t>
  </si>
  <si>
    <t>2-s2.0-85093102762</t>
  </si>
  <si>
    <t>Quintana C.; Sibson P.; Erry G.; Thueux Y.; Kingston E.; Ismail T.; Faulkner G.; Kennard J.; Gebremicael K.; Clark C.; Erven C.; Chuard S.; Watson M.; Rarity J.; O'Brien D.</t>
  </si>
  <si>
    <t>Quintana, C. (35168114200); Sibson, P. (56116994700); Erry, G. (8285115400); Thueux, Y. (56515375300); Kingston, E. (57209140735); Ismail, T. (36009912100); Faulkner, G. (7005753360); Kennard, J. (50161797000); Gebremicael, K. (56157871200); Clark, C. (58439200300); Erven, C. (24080480300); Chuard, S. (57209136524); Watson, M. (57210538483); Rarity, J. (56034197700); O'Brien, D. (55500041300)</t>
  </si>
  <si>
    <t>35168114200; 56116994700; 8285115400; 56515375300; 57209140735; 36009912100; 7005753360; 50161797000; 56157871200; 58439200300; 24080480300; 57209136524; 57210538483; 56034197700; 55500041300</t>
  </si>
  <si>
    <t>10910</t>
  </si>
  <si>
    <t>1091014</t>
  </si>
  <si>
    <t>Airborne; Free space optics; Quantum Key Distribution</t>
  </si>
  <si>
    <t>2-s2.0-85066611818</t>
  </si>
  <si>
    <t>Morrison L.P.; Team B.; Nguyen B.; Kannan S.; Ray N.; Lewin G.C.</t>
  </si>
  <si>
    <t>Morrison, Luke P. (57195135345); Team, Brian (57195137021); Nguyen, Brian (57195138672); Kannan, Senthil (57195133294); Ray, Nathan (57195127182); Lewin, Gregory C. (7006597352)</t>
  </si>
  <si>
    <t>57195135345; 57195137021; 57195138672; 57195133294; 57195127182; 7006597352</t>
  </si>
  <si>
    <t>2017 Systems and Information Engineering Design Symposium, SIEDS 2017</t>
  </si>
  <si>
    <t>7937749</t>
  </si>
  <si>
    <t>FireChat; Mesh Network; WiFi Pineapple</t>
  </si>
  <si>
    <t>2-s2.0-85025600706</t>
  </si>
  <si>
    <t>Zhang R.; Condomines J.-P.; Larrieu N.; Chemali R.</t>
  </si>
  <si>
    <t>Zhang, Ruohao (57203943276); Condomines, Jean-Philippe (55849561400); Larrieu, Nicolas (6508251747); Chemali, Riad (57159685300)</t>
  </si>
  <si>
    <t>57203943276; 55849561400; 6508251747; 57159685300</t>
  </si>
  <si>
    <t>8569300</t>
  </si>
  <si>
    <t>Drone Ad Hoc network; Intrusion detection system; Robust estimator; Spectral analysis; UAV</t>
  </si>
  <si>
    <t>2-s2.0-85060619554</t>
  </si>
  <si>
    <t>Arthur M.P.</t>
  </si>
  <si>
    <t>Arthur, Menaka Pushpa (56911888400)</t>
  </si>
  <si>
    <t>56911888400</t>
  </si>
  <si>
    <t>CITS 2019 - Proceeding of the 2019 International Conference on Computer, Information and Telecommunication Systems</t>
  </si>
  <si>
    <t>8862148</t>
  </si>
  <si>
    <t>Deep-Q network etc; Intrusion Detection System; Multiclass SVM; Self Taught Learning (STL); UAV</t>
  </si>
  <si>
    <t>2-s2.0-85074137306</t>
  </si>
  <si>
    <t>Herschfelt A.; Yu H.; Wu S.; Srinivas S.; Li Y.; Sciammetta N.; Smith L.; Rueger K.; Lee H.; Chakrabarti C.; Bliss D.W.</t>
  </si>
  <si>
    <t>Herschfelt, Andrew (57194657882); Yu, Hanguang (56734743900); Wu, Shunyao (57194216600); Srinivas, Sharanya (57200141399); Li, Yang (57218425625); Sciammetta, Nunzio (59377808400); Smith, Leslie (57217402872); Rueger, Klaus (57216806968); Lee, Hyunseok (56101841800); Chakrabarti, Chaitali (35554384700); Bliss, Daniel W. (7102454903)</t>
  </si>
  <si>
    <t>57194657882; 56734743900; 57194216600; 57200141399; 57218425625; 59377808400; 57217402872; 57216806968; 56101841800; 35554384700; 7102454903</t>
  </si>
  <si>
    <t>9081625</t>
  </si>
  <si>
    <t>Alternative Positioning Navigation and Timing; Autonomous Vehicles; Communications Navigation and Surveillance; Distributed Phase-Coherence; Hybrid Radio Architectures; RF Convergence; Spectrum Sharing; V2V Communications; Waveform Co-Use</t>
  </si>
  <si>
    <t>2-s2.0-85083304280</t>
  </si>
  <si>
    <t>McAndrew I.R.; Vishnevskaya E.</t>
  </si>
  <si>
    <t>McAndrew, Ian R. (55889166900); Vishnevskaya, Elena (57201031147)</t>
  </si>
  <si>
    <t>55889166900; 57201031147</t>
  </si>
  <si>
    <t>Proceedings of 2018 9th International Conference on Mechanical and Aerospace Engineering, ICMAE 2018</t>
  </si>
  <si>
    <t>8467686</t>
  </si>
  <si>
    <t>air traffic control; aviation collision safety; unmanned aerial systems</t>
  </si>
  <si>
    <t>2-s2.0-85055554556</t>
  </si>
  <si>
    <t>Germanese D.; Pascali M.A.; Berton A.; Leone G.R.; Moroni D.; Jalil B.; Tampucci M.; Benassi A.</t>
  </si>
  <si>
    <t>Germanese, Danila (56203798800); Pascali, Maria Antonietta (55440207200); Berton, Andrea (37033440300); Leone, Giuseppe Riccardo (57618255700); Moroni, Davide (23397809400); Jalil, Bushra (36070696000); Tampucci, Marco (24504494300); Benassi, Antonio (23101920100)</t>
  </si>
  <si>
    <t>56203798800; 55440207200; 37033440300; 57618255700; 23397809400; 36070696000; 24504494300; 23101920100</t>
  </si>
  <si>
    <t>2320</t>
  </si>
  <si>
    <t>3D rendering; Crack monitoring; Crack quantification; Photogrammetry; UAV</t>
  </si>
  <si>
    <t>2-s2.0-85062284599</t>
  </si>
  <si>
    <t>Borik A.; Kallangodan A.; Farhat W.; Abougharib A.; Jaradat M.A.; Mukhopadhyay S.; Abdel-Hafez M.</t>
  </si>
  <si>
    <t>Borik, Ahmed (57209261383); Kallangodan, Alif (57209252543); Farhat, Wisaam (57209248119); Abougharib, Arwa (57209253578); Jaradat, Mohammad A. (55323020000); Mukhopadhyay, Shayok (26031656400); Abdel-Hafez, Mamoun (13410407400)</t>
  </si>
  <si>
    <t>57209261383; 57209252543; 57209248119; 57209253578; 55323020000; 26031656400; 13410407400</t>
  </si>
  <si>
    <t>2019 Advances in Science and Engineering Technology International Conferences, ASET 2019</t>
  </si>
  <si>
    <t>8714539</t>
  </si>
  <si>
    <t>autonomous; drone; duct network; HVAC; inspection; leak detection; remote-control; rolling cage; UAV</t>
  </si>
  <si>
    <t>2-s2.0-85066977160</t>
  </si>
  <si>
    <t>294 LNCIST</t>
  </si>
  <si>
    <t>2-s2.0-85076126848</t>
  </si>
  <si>
    <t>Sidorov V.; Ng W.K.; Lam K.Y.; Salleh M.F.B.M.</t>
  </si>
  <si>
    <t>Sidorov, Vasily (56460869400); Ng, Wee Keong (56921257600); Lam, Kwok Yan (7403657062); Salleh, Mohamed Faisal Bin Mohamed (57193901370)</t>
  </si>
  <si>
    <t>56460869400; 56921257600; 7403657062; 57193901370</t>
  </si>
  <si>
    <t>2017 International Conference on Unmanned Aircraft Systems, ICUAS 2017</t>
  </si>
  <si>
    <t>7991429</t>
  </si>
  <si>
    <t>air traffic management; cyber security; unmanned aircraft</t>
  </si>
  <si>
    <t>2-s2.0-85034025963</t>
  </si>
  <si>
    <t>Razali S.N.M.; Kaamin M.; Razak S.N.A.; Hamid N.B.; Ahmad N.F.A.; Mokhtar M.; Ngadiman N.; Sahat S.</t>
  </si>
  <si>
    <t>Razali, Siti Nooraiin Mohd (55988723900); Kaamin, Masiri (56181432700); Razak, Siti Noraiza Ab (36988308700); Hamid, Nor Baizura (57190252816); Ahmad, Nor Farah Atiqah (57193280902); Mokhtar, Mardiha (57190069071); Ngadiman, Norhayati (57189498210); Sahat, Suhaila (57190063884)</t>
  </si>
  <si>
    <t>55988723900; 56181432700; 36988308700; 57190252816; 57193280902; 57190069071; 57189498210; 57190063884</t>
  </si>
  <si>
    <t>9 Special Issue 3</t>
  </si>
  <si>
    <t>2-s2.0-85072124473</t>
  </si>
  <si>
    <t>Mielke D.M.</t>
  </si>
  <si>
    <t>Mielke, Daniel M. (57200371880)</t>
  </si>
  <si>
    <t>57200371880</t>
  </si>
  <si>
    <t>9081684</t>
  </si>
  <si>
    <t>2-s2.0-85084730709</t>
  </si>
  <si>
    <t>Thumann C.; Zhang Y.R.; Huang Y.-R.; Dyer J.</t>
  </si>
  <si>
    <t>Thumann, Charles (57194778260); Zhang, Yan R. (56048343000); Huang, Yih-Ru (35071470200); Dyer, John (13410511100)</t>
  </si>
  <si>
    <t>57194778260; 56048343000; 35071470200; 13410511100</t>
  </si>
  <si>
    <t>10633</t>
  </si>
  <si>
    <t>1063313</t>
  </si>
  <si>
    <t>Drone Detection and Mitigation Radar (DDMR); hit rate; polarimetry; RCS; sweep jamming</t>
  </si>
  <si>
    <t>2-s2.0-85050025212</t>
  </si>
  <si>
    <t>Costello P.J.</t>
  </si>
  <si>
    <t>Costello, Philip J. (57194008562)</t>
  </si>
  <si>
    <t>57194008562</t>
  </si>
  <si>
    <t>Proceedings of the Conference on Integrating Technology into Computer Science Education, ITiCSE</t>
  </si>
  <si>
    <t>Cybersecurity; Drones; Spoofing</t>
  </si>
  <si>
    <t>2-s2.0-85018242334</t>
  </si>
  <si>
    <t>Dayananda K.R.; Gomes R.; Straub J.</t>
  </si>
  <si>
    <t>Dayananda, Karanam Ravichandran (57194165158); Gomes, Rahul (57194472338); Straub, Jeremy (57757363200)</t>
  </si>
  <si>
    <t>57194165158; 57194472338; 57757363200</t>
  </si>
  <si>
    <t>8102118</t>
  </si>
  <si>
    <t>cardiac arrest; defibrillator; emergency; robotic arm; UAV; visual feedback</t>
  </si>
  <si>
    <t>2-s2.0-85041014490</t>
  </si>
  <si>
    <t>Singandhupe A.; La H.M.; Feil-Seifer D.</t>
  </si>
  <si>
    <t>Singandhupe, Ashutosh (57201286886); La, Hung Manh (34881978000); Feil-Seifer, David (14033850500)</t>
  </si>
  <si>
    <t>57201286886; 34881978000; 14033850500</t>
  </si>
  <si>
    <t>advanced encryption standard (AES); EEG signal; encryption; UAV; xbee</t>
  </si>
  <si>
    <t>2-s2.0-85045760047</t>
  </si>
  <si>
    <t>He D.; Qiao Y.; Chan S.; Guizani N.</t>
  </si>
  <si>
    <t>He, Daojing (25627656800); Qiao, Yinrong (57200300758); Chan, Sammy (13310352900); Guizani, Nadra (55964114600)</t>
  </si>
  <si>
    <t>25627656800; 57200300758; 13310352900; 55964114600</t>
  </si>
  <si>
    <t>IEEE Communications Magazine</t>
  </si>
  <si>
    <t>2-s2.0-85047306598</t>
  </si>
  <si>
    <t>The proceedings contain 17 papers. The topics discussed include: design and implementation of an unmanned surface vehicle for oil spill handling; development of magnetostrictive harvester for unmanned aerial vehicles (UAV); drone hacking with raspberry-Pi 3 and WiFi pineapple: security and privacy threats for the internet-of-things; automatic fault detection of power lines using unmanned aerial vehicle (UAV); an integrated web-based approach for near real-time mission monitoring; tracking control of quadrotor using generalized dynamic inversion with constant-proportional rate reaching law; car detection using unmanned aerial vehicles: comparison between faster R-CNN and YOLOv3; and ethical design perspectives of intelligent UAVs.</t>
  </si>
  <si>
    <t>2-s2.0-85063956139</t>
  </si>
  <si>
    <t>Manesh M.R.; Velashani M.S.; Ghribi E.; Kaabouch N.</t>
  </si>
  <si>
    <t>Manesh, Mohsen Riahi (54407088100); Velashani, Mahdi Saeedi (57211157880); Ghribi, Elias (57211156825); Kaabouch, Naima (22634156500)</t>
  </si>
  <si>
    <t>54407088100; 57211157880; 57211156825; 22634156500</t>
  </si>
  <si>
    <t>IEEE International Conference on Electro Information Technology</t>
  </si>
  <si>
    <t>2019-May</t>
  </si>
  <si>
    <t>8833789</t>
  </si>
  <si>
    <t>ADS-B; Automatic Dependent Surveillance-Broadcast; Cyberattacks; Jamming; Logistic Regression; Machine Learning; Neural Networks; Support Vector Machine (SVM); UAS; UAV</t>
  </si>
  <si>
    <t>2-s2.0-85072836073</t>
  </si>
  <si>
    <t>Wang J.; Liu Y.; Amal A.; Song H.; Stansbury R.S.; Yuan J.; Yang T.</t>
  </si>
  <si>
    <t>Wang, Jian (57201726571); Liu, Yongxin (55485423100); Amal, Alfaidi (57209100633); Song, Houbing (57199094588); Stansbury, Richard S. (8321400500); Yuan, Jiawei (56314792700); Yang, Tianyu (12766229400)</t>
  </si>
  <si>
    <t>57201726571; 55485423100; 57209100633; 57199094588; 8321400500; 56314792700; 12766229400</t>
  </si>
  <si>
    <t>2018 IEEE 37th International Performance Computing and Communications Conference, IPCCC 2018</t>
  </si>
  <si>
    <t>8711001</t>
  </si>
  <si>
    <t>2-s2.0-85066476937</t>
  </si>
  <si>
    <t>Rana T.; Shankar A.; Sultan M.K.; Patan R.; Balusamy B.</t>
  </si>
  <si>
    <t>Rana, Tarun (57210415582); Shankar, Achyut (7005442649); Sultan, Mohd Kamran (57210417769); Patan, Rizwan (56623165100); Balusamy, Balamurugan (55050821600)</t>
  </si>
  <si>
    <t>57210415582; 7005442649; 57210417769; 56623165100; 55050821600</t>
  </si>
  <si>
    <t>Proceedings of the 9th International Conference On Cloud Computing, Data Science and Engineering, Confluence 2019</t>
  </si>
  <si>
    <t>8776613</t>
  </si>
  <si>
    <t>Aircraft.; Blockchain; Digital Signature; Drone; Hashing; IOT; Security; UAV</t>
  </si>
  <si>
    <t>2-s2.0-85070606620</t>
  </si>
  <si>
    <t>Ippolito C.A.; Krishnakumar K.</t>
  </si>
  <si>
    <t>Ippolito, Corey A. (6603631714); Krishnakumar, Kalmanje (7003285279)</t>
  </si>
  <si>
    <t>6603631714; 7003285279</t>
  </si>
  <si>
    <t>AIAA Scitech 2019 Forum</t>
  </si>
  <si>
    <t>2-s2.0-85083944118</t>
  </si>
  <si>
    <t>Davis J.L.</t>
  </si>
  <si>
    <t>Davis, James L. (57191411120)</t>
  </si>
  <si>
    <t>57191411120</t>
  </si>
  <si>
    <t>AUVSI XPONENTIAL 2018</t>
  </si>
  <si>
    <t>2-s2.0-85054650497</t>
  </si>
  <si>
    <t>8101986</t>
  </si>
  <si>
    <t>2-s2.0-85040993357</t>
  </si>
  <si>
    <t>Crespo A.</t>
  </si>
  <si>
    <t>Crespo, Antonio (57197608149)</t>
  </si>
  <si>
    <t>57197608149</t>
  </si>
  <si>
    <t>Mondo Digitale</t>
  </si>
  <si>
    <t>AI; Automation; Autonomy; Cybersecurity; Drone; IoT; Regulation; RPAS; Technology; UAS; UAV; Unmanned Flying Objects</t>
  </si>
  <si>
    <t>2-s2.0-85068005218</t>
  </si>
  <si>
    <t>Watkins L.; Ramos J.; Snow G.; Vallejo J.; Robinson W.H.; Rubin A.D.; Ciocco J.; Jedrzejewski F.; Liu J.; Li C.</t>
  </si>
  <si>
    <t>Watkins, Lanier (23567275300); Ramos, Juan (55848774400); Snow, Gaetano (57203537011); Vallejo, Jessica (57203529705); Robinson, William H. (55713334900); Rubin, Aviel D. (7402336057); Ciocco, Joshua (57203532208); Jedrzejewski, Felix (58489267300); Liu, Jinglun (57203536160); Li, Chengyu (57203538716)</t>
  </si>
  <si>
    <t>23567275300; 55848774400; 57203537011; 57203529705; 55713334900; 7402336057; 57203532208; 58489267300; 57203536160; 57203538716</t>
  </si>
  <si>
    <t>Proceedings of the 1st ACM MobiHoc Workshop on Mobile IoT Sensing, Security, and Privacy, Mobile IoT SSP 2018</t>
  </si>
  <si>
    <t>a1</t>
  </si>
  <si>
    <t>802.11 Fingerprinting; Counter drone; Drones; SUAS</t>
  </si>
  <si>
    <t>2-s2.0-85052068057</t>
  </si>
  <si>
    <t>Condomines J.-P.; Zhang R.; Larrieu N.</t>
  </si>
  <si>
    <t>Condomines, Jean-Philippe (55849561400); Zhang, Ruohao (57203943276); Larrieu, Nicolas (6508251747)</t>
  </si>
  <si>
    <t>55849561400; 57203943276; 6508251747</t>
  </si>
  <si>
    <t>90</t>
  </si>
  <si>
    <t>101759</t>
  </si>
  <si>
    <t>Drone ad hoc network; FANET; Intrusion detection system; Robust estimator; Spectral analysis; UAV</t>
  </si>
  <si>
    <t>2-s2.0-85053703036</t>
  </si>
  <si>
    <t>Shibli A.</t>
  </si>
  <si>
    <t>Shibli, Ahmed (6701629377)</t>
  </si>
  <si>
    <t>6701629377</t>
  </si>
  <si>
    <t>58th Annual Conference of the British Institute of Non-Destructive Testing, NDT 2019</t>
  </si>
  <si>
    <t>Automated Inspection; Drones; Power and Process Plant Inspection; Robots</t>
  </si>
  <si>
    <t>2-s2.0-85084023955</t>
  </si>
  <si>
    <t>Wang X.; Ouyang Z.; Song H.; Lin Q.</t>
  </si>
  <si>
    <t>Wang, Xiaoping (36968170400); Ouyang, Zefang (57202737307); Song, Houbing (57199094588); Lin, Qinying (24174558700)</t>
  </si>
  <si>
    <t>36968170400; 57202737307; 57199094588; 24174558700</t>
  </si>
  <si>
    <t>10652</t>
  </si>
  <si>
    <t>106520F</t>
  </si>
  <si>
    <t>Collaborative detection; Collaborative localization; Coordinate separation; IMM-EKF; Surveillance unmanned aerial vehicles</t>
  </si>
  <si>
    <t>2-s2.0-85049194988</t>
  </si>
  <si>
    <t>Casasanta G.; Petenko I.; Mastrantonio G.; Bucci S.; Conidi A.; Di Lellis A.M.; Sfoglietti G.; Argentini S.</t>
  </si>
  <si>
    <t>Casasanta, Giampietro (37123320600); Petenko, Igor (6701880673); Mastrantonio, Giangiuseppe (7003490516); Bucci, Simone (55979947200); Conidi, Alessandro (57199421666); Di Lellis, Andrea M. (6602340918); Sfoglietti, Giulio (57203354984); Argentini, Stefania (55993369600)</t>
  </si>
  <si>
    <t>37123320600; 6701880673; 7003490516; 55979947200; 57199421666; 6602340918; 57203354984; 55993369600</t>
  </si>
  <si>
    <t>IEEE Geoscience and Remote Sensing Letters</t>
  </si>
  <si>
    <t>8430530</t>
  </si>
  <si>
    <t>Acoustic radar; acoustic targeting; drone; sodar</t>
  </si>
  <si>
    <t>2-s2.0-85051406744</t>
  </si>
  <si>
    <t>ACM Transactions on Embedded Computing Systems</t>
  </si>
  <si>
    <t>96</t>
  </si>
  <si>
    <t>2-s2.0-85061097345</t>
  </si>
  <si>
    <t>Sudiatmika I.P.G.A.</t>
  </si>
  <si>
    <t>Sudiatmika, I Putu Gede Abdi (57211557677)</t>
  </si>
  <si>
    <t>57211557677</t>
  </si>
  <si>
    <t>2017 5th International Conference on Cyber and IT Service Management, CITSM 2017</t>
  </si>
  <si>
    <t>8089316</t>
  </si>
  <si>
    <t>2-s2.0-85040232645</t>
  </si>
  <si>
    <t>Panice G.; Luongo S.; Gigante G.; Pascarella D.; Di Benedetto C.; Vozella A.; Pescape A.</t>
  </si>
  <si>
    <t>Panice, G. (57200158884); Luongo, S. (22950999100); Gigante, G. (24398894700); Pascarella, D. (25823435600); Di Benedetto, C. (57191669027); Vozella, A. (24400235900); Pescape, A. (6602246931)</t>
  </si>
  <si>
    <t>57200158884; 22950999100; 24398894700; 25823435600; 57191669027; 24400235900; 6602246931</t>
  </si>
  <si>
    <t>ICAC 2017 - 2017 23rd IEEE International Conference on Automation and Computing: Addressing Global Challenges through Automation and Computing</t>
  </si>
  <si>
    <t>8081999</t>
  </si>
  <si>
    <t>Cyber attack; GPS spoofing; RPAS; Security; UAV</t>
  </si>
  <si>
    <t>2-s2.0-85040003528</t>
  </si>
  <si>
    <t>Johansson R.; Hammar P.; Thoren P.</t>
  </si>
  <si>
    <t>Johansson, Ronnie (25654992600); Hammar, Peter (57189896748); Thoren, Patrik (57202248401)</t>
  </si>
  <si>
    <t>25654992600; 57189896748; 57202248401</t>
  </si>
  <si>
    <t>2017 Workshop on Research, Education and Development of Unmanned Aerial Systems, RED-UAS 2017</t>
  </si>
  <si>
    <t>8101647</t>
  </si>
  <si>
    <t>2-s2.0-85047601060</t>
  </si>
  <si>
    <t>Fulghum D.A.</t>
  </si>
  <si>
    <t>Fulghum, David A. (35571707700)</t>
  </si>
  <si>
    <t>35571707700</t>
  </si>
  <si>
    <t>Aviation Week and Space Technology (New York)</t>
  </si>
  <si>
    <t>158</t>
  </si>
  <si>
    <t>2-s2.0-0037463873</t>
  </si>
  <si>
    <t>Hartmann K.; Giles K.</t>
  </si>
  <si>
    <t>Hartmann, Kim (55364457100); Giles, Keir (48361039600)</t>
  </si>
  <si>
    <t>55364457100; 48361039600</t>
  </si>
  <si>
    <t>International Conference on Cyber Conflict, CYCON</t>
  </si>
  <si>
    <t>2016-August</t>
  </si>
  <si>
    <t>7529436</t>
  </si>
  <si>
    <t>communications; drone; military; UAV</t>
  </si>
  <si>
    <t>2-s2.0-84991585603</t>
  </si>
  <si>
    <t>Zema N.R.; Natalizio E.; Ruggeri G.; Poss M.; Molinaro A.</t>
  </si>
  <si>
    <t>Zema, Nicola Roberto (56161765900); Natalizio, Enrico (8897972900); Ruggeri, Giuseppe (7005708769); Poss, Michael (26653774200); Molinaro, Antonella (7005836392)</t>
  </si>
  <si>
    <t>56161765900; 8897972900; 7005708769; 26653774200; 7005836392</t>
  </si>
  <si>
    <t>50</t>
  </si>
  <si>
    <t>Networks of autonomous agents; Optimization; Sensor networks</t>
  </si>
  <si>
    <t>2-s2.0-84991047657</t>
  </si>
  <si>
    <t>Unmanned Drones and the National Airspace System: Challenges and Considerations</t>
  </si>
  <si>
    <t>2-s2.0-84936864657</t>
  </si>
  <si>
    <t>Ture E.; Musser M.; Hülsmann A.; Quay R.; Ambacher O.</t>
  </si>
  <si>
    <t>Ture, Erdin (56978160000); Musser, Markus (26642625500); Hülsmann, Axel (7003403077); Quay, Rüdiger (7004071742); Ambacher, Oliver (7005962472)</t>
  </si>
  <si>
    <t>56978160000; 26642625500; 7003403077; 7004071742; 7005962472</t>
  </si>
  <si>
    <t>10184</t>
  </si>
  <si>
    <t>101840V</t>
  </si>
  <si>
    <t>Broadband jammer; counter-UAV; gallium nitride; high-electron-mobility transistor (HEMT)</t>
  </si>
  <si>
    <t>2-s2.0-85025148059</t>
  </si>
  <si>
    <t>Donatti M.; Frazatto F.; Manera L.; Teramoto T.; Neger E.</t>
  </si>
  <si>
    <t>Donatti, Mauricio (6503968317); Frazatto, Felipe (56157071700); Manera, Leandro (12141305200); Teramoto, Telmo (57193698096); Neger, Eduardo (57193694193)</t>
  </si>
  <si>
    <t>6503968317; 56157071700; 12141305200; 57193698096; 57193694193</t>
  </si>
  <si>
    <t>LAMC 2016 - IEEE MTT-S Latin America Microwave Conference</t>
  </si>
  <si>
    <t>7851290</t>
  </si>
  <si>
    <t>Drones; Homeland Security; RF Spoofing; UAV</t>
  </si>
  <si>
    <t>2-s2.0-85015894803</t>
  </si>
  <si>
    <t>Thorsen E.</t>
  </si>
  <si>
    <t>Thorsen, Einar (57218947391)</t>
  </si>
  <si>
    <t>57218947391</t>
  </si>
  <si>
    <t>The Routledge Companion to Digital Journalism Studies</t>
  </si>
  <si>
    <t>2-s2.0-85014791953</t>
  </si>
  <si>
    <t>Muzzi F.A.G.; Cardoso P.R.D.M.; Pigatto D.F.; Branco K.R.L.J.C.</t>
  </si>
  <si>
    <t>Muzzi, Fernando Augusto Garcia (36553041200); Cardoso, Paulo Rogério De Mello (56963606000); Pigatto, Daniel Fernando (54946641900); Branco, Kalinka Regina Lucas Jaquie Castelo (51461017000)</t>
  </si>
  <si>
    <t>36553041200; 56963606000; 54946641900; 51461017000</t>
  </si>
  <si>
    <t>633</t>
  </si>
  <si>
    <t>012053</t>
  </si>
  <si>
    <t>2-s2.0-84947284365</t>
  </si>
  <si>
    <t>Vasconcelos G.; Carrijo G.; Miani R.; Souza J.; Guizilini V.</t>
  </si>
  <si>
    <t>Vasconcelos, Gabriel (57193057279); Carrijo, Gabriel (57212529599); Miani, Rodrigo (25929439300); Souza, Jefferson (40662122400); Guizilini, Vitor (34880043500)</t>
  </si>
  <si>
    <t>57193057279; 57212529599; 25929439300; 40662122400; 34880043500</t>
  </si>
  <si>
    <t>Proceedings - 13th Latin American Robotics Symposium and 4th Brazilian Symposium on Robotics, LARS/SBR 2016</t>
  </si>
  <si>
    <t>7783514</t>
  </si>
  <si>
    <t>AR.Drone 2.0; DoS; Unmanned Aerial Vehicles</t>
  </si>
  <si>
    <t>2-s2.0-85010426996</t>
  </si>
  <si>
    <t>Tsikin I.; Melikhova A.</t>
  </si>
  <si>
    <t>Tsikin, Igor (6506501810); Melikhova, Antonina (56989969600)</t>
  </si>
  <si>
    <t>6506501810; 56989969600</t>
  </si>
  <si>
    <t>9870 LNCS</t>
  </si>
  <si>
    <t>Antenna array; Global navigation satellite systems; Interference mitigation; Spoofing detection</t>
  </si>
  <si>
    <t>2-s2.0-84989909808</t>
  </si>
  <si>
    <t>Advanced Materials Research</t>
  </si>
  <si>
    <t>933</t>
  </si>
  <si>
    <t>2-s2.0-84902262199</t>
  </si>
  <si>
    <t>Bering III E.A.; Edeen G.; Antiochos S.K.; DeVore C.R.; Thompson B.J.; Carter M.; Giambusso M.; Olsen C.; Squire J.; Longmier B.; Larson D.; McFadden J.P.; Smith D.M.</t>
  </si>
  <si>
    <t>Bering III, Edgar A. (7003396339); Edeen, Gregg (56217700800); Antiochos, Spiro K. (7003387727); DeVore, C. Richard (7003685023); Thompson, Barbara J. (7402482786); Carter, Mark (35371543400); Giambusso, Matthew (56183063500); Olsen, Chris (57196924828); Squire, Jared (7102094477); Longmier, Benjamin (15132250200); Larson, Davin (55243501400); McFadden, James P. (35453448800); Smith, David M. (55605774782)</t>
  </si>
  <si>
    <t>7003396339; 56217700800; 7003387727; 7003685023; 7402482786; 35371543400; 56183063500; 57196924828; 7102094477; 15132250200; 55243501400; 35453448800; 55605774782</t>
  </si>
  <si>
    <t>52nd AIAA  Aerospace Sciences Meeting -  AIAA Science and Technology Forum and Exposition, SciTech 2014</t>
  </si>
  <si>
    <t>2-s2.0-85085403603</t>
  </si>
  <si>
    <t>Giray S.M.</t>
  </si>
  <si>
    <t>Giray, Sait Murat (55853886800)</t>
  </si>
  <si>
    <t>55853886800</t>
  </si>
  <si>
    <t>RAST 2013 - Proceedings of 6th International Conference on Recent Advances in Space Technologies</t>
  </si>
  <si>
    <t>6581320</t>
  </si>
  <si>
    <t>cyber warfare; electronic warfare; GPS spoofing; UAV hijacking</t>
  </si>
  <si>
    <t>2-s2.0-84883853822</t>
  </si>
  <si>
    <t>Perkins A.; Dressel L.; Lo S.; Enge P.</t>
  </si>
  <si>
    <t>Perkins, Adrien (56767636900); Dressel, Louis (56217774000); Lo, Sherman (7401542315); Enge, Per (7006949123)</t>
  </si>
  <si>
    <t>56767636900; 56217774000; 7401542315; 7006949123</t>
  </si>
  <si>
    <t>28th International Technical Meeting of the Satellite Division of the Institute of Navigation, ION GNSS 2015</t>
  </si>
  <si>
    <t>2-s2.0-84975698686</t>
  </si>
  <si>
    <t>Léchevin N.; Rabbath C.A.; Maupin P.</t>
  </si>
  <si>
    <t>Léchevin, Nicolas (24766277600); Rabbath, Camille Alain (7004846000); Maupin, Patrick (22958091700)</t>
  </si>
  <si>
    <t>24766277600; 7004846000; 22958091700</t>
  </si>
  <si>
    <t>Handbook of Unmanned Aerial Vehicles</t>
  </si>
  <si>
    <t>2-s2.0-84944531216</t>
  </si>
  <si>
    <t>Warwick G.</t>
  </si>
  <si>
    <t>Warwick, Graham (24377221400)</t>
  </si>
  <si>
    <t>24377221400</t>
  </si>
  <si>
    <t>172</t>
  </si>
  <si>
    <t>2-s2.0-77952645226</t>
  </si>
  <si>
    <t>Sean H.; Taylor B.</t>
  </si>
  <si>
    <t>Sean, Halpin (56891591800); Taylor, Brown (56890284000)</t>
  </si>
  <si>
    <t>56891591800; 56890284000</t>
  </si>
  <si>
    <t>2-s2.0-84943261156</t>
  </si>
  <si>
    <t>Harrington C.</t>
  </si>
  <si>
    <t>Harrington, Caitlin (13906773700)</t>
  </si>
  <si>
    <t>13906773700</t>
  </si>
  <si>
    <t>Jane's Defence Weekly</t>
  </si>
  <si>
    <t>MAY</t>
  </si>
  <si>
    <t>2-s2.0-44949093603</t>
  </si>
  <si>
    <t>Samsó L.; Atkinson J.</t>
  </si>
  <si>
    <t>Samsó, Laura (56358256600); Atkinson, Jim (57191414899)</t>
  </si>
  <si>
    <t>56358256600; 57191414899</t>
  </si>
  <si>
    <t>XPONENTIAL 2016 - An AUVSI Experience</t>
  </si>
  <si>
    <t>2-s2.0-84989945827</t>
  </si>
  <si>
    <t>Carter W.E.; Glennie C.L.; Shrestha R.L.</t>
  </si>
  <si>
    <t>Carter, William E. (7202494122); Glennie, Craig L. (26026946800); Shrestha, Ramesh L. (7102693726)</t>
  </si>
  <si>
    <t>7202494122; 26026946800; 7102693726</t>
  </si>
  <si>
    <t>International Association of Geodesy Symposia</t>
  </si>
  <si>
    <t>0</t>
  </si>
  <si>
    <t>Geodetic imaging; LiDAR; Unmanned aerial vehicle</t>
  </si>
  <si>
    <t>2-s2.0-84984876274</t>
  </si>
  <si>
    <t>Lee E.J.; Shin S.Y.; Ko B.C.; Chang C.</t>
  </si>
  <si>
    <t>Lee, Eun Ju (57184595200); Shin, Sang Young (57190962164); Ko, Byoung Chul (7102833929); Chang, Chunho (24536981700)</t>
  </si>
  <si>
    <t>57184595200; 57190962164; 7102833929; 24536981700</t>
  </si>
  <si>
    <t>Infrared Physics and Technology</t>
  </si>
  <si>
    <t>78</t>
  </si>
  <si>
    <t>Boosted random forest; Convolution neural network; Drone; Far-infrared camera; Sinkhole detection</t>
  </si>
  <si>
    <t>2-s2.0-84984810445</t>
  </si>
  <si>
    <t>Turns D.</t>
  </si>
  <si>
    <t>Turns, David (25030509900)</t>
  </si>
  <si>
    <t>25030509900</t>
  </si>
  <si>
    <t>Contemporary Challenges to the Laws of War: Essays in Honour of Professor Peter Rowe</t>
  </si>
  <si>
    <t>2-s2.0-84953291894</t>
  </si>
  <si>
    <t>Williams R.</t>
  </si>
  <si>
    <t>Williams, Robert (57198060854)</t>
  </si>
  <si>
    <t>57198060854</t>
  </si>
  <si>
    <t>Proceedings - 2016 International Conference on Collaboration Technologies and Systems, CTS 2016</t>
  </si>
  <si>
    <t>7870981</t>
  </si>
  <si>
    <t>Collaboration technologies; Education; Entrepreneurship; STEM; Virtual reality</t>
  </si>
  <si>
    <t>2-s2.0-85017003435</t>
  </si>
  <si>
    <t>Taylor R.R.; Bendowski M.A.; McFeaters R.C.</t>
  </si>
  <si>
    <t>Taylor, Robert R. (7405758822); Bendowski, Michael A. (26021682700); McFeaters, Ryan C. (26021986100)</t>
  </si>
  <si>
    <t>7405758822; 26021682700; 26021986100</t>
  </si>
  <si>
    <t>3081</t>
  </si>
  <si>
    <t>AD/EXJAM; Artillery; Deployment; Payload; Remote; UAV; Unattended; Unmanned; URSDS</t>
  </si>
  <si>
    <t>2-s2.0-58649110016</t>
  </si>
  <si>
    <t>Shepard D.P.; Bhatti J.A.; Humphreys T.E.</t>
  </si>
  <si>
    <t>Shepard, Daniel P. (54893737900); Bhatti, Jahshan A. (36086043800); Humphreys, Todd E. (12244029500)</t>
  </si>
  <si>
    <t>54893737900; 36086043800; 12244029500</t>
  </si>
  <si>
    <t>GPS World</t>
  </si>
  <si>
    <t>2-s2.0-84865590662</t>
  </si>
  <si>
    <t>Davidson D.; Wu H.; Jellinek R.; Ristenpart T.; Singh V.</t>
  </si>
  <si>
    <t>Davidson, Drew (57061702300); Wu, Hao (57215632451); Jellinek, Robert (56436688000); Ristenpart, Thomas (23393983800); Singh, Vikas (58948051900)</t>
  </si>
  <si>
    <t>57061702300; 57215632451; 56436688000; 23393983800; 58948051900</t>
  </si>
  <si>
    <t>10th USENIX Workshop on Offensive Technologies, WOOT 2016</t>
  </si>
  <si>
    <t>2-s2.0-85084164090</t>
  </si>
  <si>
    <t>Ilaya O.; Bil C.; Evans M.</t>
  </si>
  <si>
    <t>Ilaya, Omar (21833932900); Bil, Cees (6507010902); Evans, Michael (57213800025)</t>
  </si>
  <si>
    <t>21833932900; 6507010902; 57213800025</t>
  </si>
  <si>
    <t>Collection of Technical Papers - 7th AIAA Aviation Technology, Integration, and Operations Conference</t>
  </si>
  <si>
    <t>2-s2.0-84885031827</t>
  </si>
  <si>
    <t>Johnson K.; Leveson N.</t>
  </si>
  <si>
    <t>Johnson, Kip (56510742500); Leveson, Nancy (7007061267)</t>
  </si>
  <si>
    <t>56510742500; 7007061267</t>
  </si>
  <si>
    <t>Lecture Notes in Informatics (LNI), Proceedings - Series of the Gesellschaft fur Informatik (GI)</t>
  </si>
  <si>
    <t>P-232</t>
  </si>
  <si>
    <t>2-s2.0-84922563798</t>
  </si>
  <si>
    <t>Raquet J.F.; Amt J.H.R.</t>
  </si>
  <si>
    <t>Raquet, John F. (6701819622); Amt, John H.R. (16229320400)</t>
  </si>
  <si>
    <t>6701819622; 16229320400</t>
  </si>
  <si>
    <t>U.S. Air Force T and E Days</t>
  </si>
  <si>
    <t>2008-1618</t>
  </si>
  <si>
    <t>2-s2.0-77958183957</t>
  </si>
  <si>
    <t>Czernik P.; Olszyna J.</t>
  </si>
  <si>
    <t>Czernik, Pawel (36024915000); Olszyna, Jakub (35956717200)</t>
  </si>
  <si>
    <t>36024915000; 35956717200</t>
  </si>
  <si>
    <t>7745</t>
  </si>
  <si>
    <t>77451Z</t>
  </si>
  <si>
    <t>Aeronautical Telecommunications Network (ATN); Air Traffic Management (ATM) systems; ARM9 processor; Embedded Linux; Hash function; Private - Key cryptography; Public - Key cryptography; Random number generation</t>
  </si>
  <si>
    <t>2-s2.0-77958075600</t>
  </si>
  <si>
    <t>Shakmak B.; Al-Habaibeh A.</t>
  </si>
  <si>
    <t>Shakmak, Bubaker (57192250714); Al-Habaibeh, Amin (6602580607)</t>
  </si>
  <si>
    <t>57192250714; 6602580607</t>
  </si>
  <si>
    <t>2015 IEEE Jordan Conference on Applied Electrical Engineering and Computing Technologies, AEECT 2015</t>
  </si>
  <si>
    <t>7360563</t>
  </si>
  <si>
    <t>drones; infrared cameras; monitoring systems; remote detection; sensors; thermal images; Water leakage detection</t>
  </si>
  <si>
    <t>2-s2.0-85002235356</t>
  </si>
  <si>
    <t>McMilin E.; De Lorenzo D.S.; Walter T.; Lee T.H.; Enge P.</t>
  </si>
  <si>
    <t>McMilin, Emily (36625798900); De Lorenzo, David S. (36086083200); Walter, Todd (7102715023); Lee, Thomas H. (8085139000); Enge, Per (7006949123)</t>
  </si>
  <si>
    <t>36625798900; 36086083200; 7102715023; 8085139000; 7006949123</t>
  </si>
  <si>
    <t>27th International Technical Meeting of the Satellite Division of the Institute of Navigation, ION GNSS 2014</t>
  </si>
  <si>
    <t>2-s2.0-84939218214</t>
  </si>
  <si>
    <t>Baldwin R.; Hofecker T.; Carter G.</t>
  </si>
  <si>
    <t>Baldwin, R. (7402396838); Hofecker, T. (57190843051); Carter, G. (57190838983)</t>
  </si>
  <si>
    <t>7402396838; 57190843051; 57190838983</t>
  </si>
  <si>
    <t>Air Traffic Control Association - 60th Air Traffic Control Association Annual Conference and Exposition 2015</t>
  </si>
  <si>
    <t>2-s2.0-84983401685</t>
  </si>
  <si>
    <t>Gergovemi S.; Panchev C.</t>
  </si>
  <si>
    <t>Gergovemi, Stephen (56816975500); Panchev, Christo (6602346079)</t>
  </si>
  <si>
    <t>56816975500; 6602346079</t>
  </si>
  <si>
    <t>2015-January</t>
  </si>
  <si>
    <t>Drone; Evil twin; Hijacking; Raspberry pi; Rogue AP; War flying; Wireless</t>
  </si>
  <si>
    <t>2-s2.0-84940761295</t>
  </si>
  <si>
    <t>Samland F.; Fruth J.; Hildebrandt M.; Hoppe T.; Dittmann J.</t>
  </si>
  <si>
    <t>Samland, Fred (54986179300); Fruth, Jana (36456737700); Hildebrandt, Mario (37014624400); Hoppe, Tobias (23396555500); Dittmann, Jana (56157419800)</t>
  </si>
  <si>
    <t>54986179300; 36456737700; 37014624400; 23396555500; 56157419800</t>
  </si>
  <si>
    <t>8301</t>
  </si>
  <si>
    <t>83010G</t>
  </si>
  <si>
    <t>Security and privacy issues; Tracking of persons; UAV</t>
  </si>
  <si>
    <t>2-s2.0-84857024680</t>
  </si>
  <si>
    <t>Rife J.; Khanafseh S.; Pullen S.; Lorenzo D.D.; Kim U.-S.; Koenig M.; Chiou T.-Y.; Bar B.; Pervan B.</t>
  </si>
  <si>
    <t>Rife, Jason (9241335500); Khanafseh, Samer (9241474900); Pullen, Sam (7006240838); Lorenzo, David De (57192883977); Kim, Ung-Suok (26663788600); Koenig, Mike (57196868018); Chiou, Tsung-Yu (8572837900); Bar, B. (57192885316); Pervan, Boris (6701497801)</t>
  </si>
  <si>
    <t>9241335500; 9241474900; 7006240838; 57192883977; 26663788600; 57196868018; 8572837900; 57192885316; 6701497801</t>
  </si>
  <si>
    <t>Proceedings of the IEEE</t>
  </si>
  <si>
    <t>2-s2.0-84859270571</t>
  </si>
  <si>
    <t>Smith B.; John G.; Stark B.; Christensen L.E.; Chen Y.Q.</t>
  </si>
  <si>
    <t>Smith, Brendan (58731642700); John, Garrett (57190402643); Stark, Brandon (55322524700); Christensen, Lance E. (7202944988); Chen, Yangquan Q. (7601439185)</t>
  </si>
  <si>
    <t>58731642700; 57190402643; 55322524700; 7202944988; 7601439185</t>
  </si>
  <si>
    <t>2016 International Conference on Unmanned Aircraft Systems, ICUAS 2016</t>
  </si>
  <si>
    <t>7502635</t>
  </si>
  <si>
    <t>methane leak detection; propeller wash; remote sensing; small-unmanned aerial systems</t>
  </si>
  <si>
    <t>2-s2.0-84979784231</t>
  </si>
  <si>
    <t>Neumann P.P.; Asadi S.; Bennetts V.H.; Lilienthal A.J.; Bartholmai M.</t>
  </si>
  <si>
    <t>Neumann, P.P. (36810194400); Asadi, S. (35179007400); Bennetts, V. Hernandez (54974119100); Lilienthal, A.J. (15623407200); Bartholmai, M. (6506093374)</t>
  </si>
  <si>
    <t>36810194400; 35179007400; 54974119100; 15623407200; 6506093374</t>
  </si>
  <si>
    <t>Energy Procedia</t>
  </si>
  <si>
    <t>37</t>
  </si>
  <si>
    <t>2-s2.0-84898745512</t>
  </si>
  <si>
    <t>Leaverton G.T.</t>
  </si>
  <si>
    <t>Leaverton, Grant T. (57188642808)</t>
  </si>
  <si>
    <t>57188642808</t>
  </si>
  <si>
    <t>Electrical Transmission and Substation Structures 2015: Technical Challenges and Innovative Solutions in Grid Modernization - Proceedings of the 2015 Electrical Transmission and Substation Structures Conference</t>
  </si>
  <si>
    <t>2-s2.0-84962040812</t>
  </si>
  <si>
    <t>Fazal M.M.; Pawar A.G.; Prasad J.</t>
  </si>
  <si>
    <t>Fazal, M Mohamed (56125627400); Pawar, Atul Govindrao (56126247700); Prasad, Jagadish (59266855400)</t>
  </si>
  <si>
    <t>56125627400; 56126247700; 59266855400</t>
  </si>
  <si>
    <t>2013 IEEE MTT-S International Microwave and RF Conference, IMaRC 2013</t>
  </si>
  <si>
    <t>6777698</t>
  </si>
  <si>
    <t>Anti jamming; BPSK; C-Band; ECCM; MMIC; RF Data Link; S-Band; Spread Spectrum</t>
  </si>
  <si>
    <t>2-s2.0-84899121127</t>
  </si>
  <si>
    <t>376</t>
  </si>
  <si>
    <t>2-s2.0-84959098470</t>
  </si>
  <si>
    <t>Strohmeier M.; Lenders V.; Martinovic I.</t>
  </si>
  <si>
    <t>Strohmeier, Martin (55348427300); Lenders, Vincent (12786066100); Martinovic, Ivan (14035985300)</t>
  </si>
  <si>
    <t>55348427300; 12786066100; 14035985300</t>
  </si>
  <si>
    <t>9148</t>
  </si>
  <si>
    <t>2-s2.0-84948985283</t>
  </si>
  <si>
    <t>170</t>
  </si>
  <si>
    <t>2-s2.0-77952347844</t>
  </si>
  <si>
    <t>Pleban J.-S.; Band R.; Creutzburg R.</t>
  </si>
  <si>
    <t>Pleban, Johann-Sebastian (55749982100); Band, Ricardo (55750555200); Creutzburg, Reiner (6602924425)</t>
  </si>
  <si>
    <t>55749982100; 55750555200; 6602924425</t>
  </si>
  <si>
    <t>9030</t>
  </si>
  <si>
    <t>90300L</t>
  </si>
  <si>
    <t>AR.Drone 2.0; drones; quadcopter; security vulnerabilities; UAV</t>
  </si>
  <si>
    <t>2-s2.0-84896791434</t>
  </si>
  <si>
    <t>Shale Richard; Bader John</t>
  </si>
  <si>
    <t>Shale, Richard (6507916793); Bader, John (57196620642)</t>
  </si>
  <si>
    <t>6507916793; 57196620642</t>
  </si>
  <si>
    <t>Record - IEEE PLANS, Position Location and Navigation Symposium</t>
  </si>
  <si>
    <t>2-s2.0-0028055303</t>
  </si>
  <si>
    <t>Austin S., Sr.; Robins P., Sr.</t>
  </si>
  <si>
    <t>Austin, Simon (35583968500); Robins, Peter (7007050384)</t>
  </si>
  <si>
    <t>35583968500; 7007050384</t>
  </si>
  <si>
    <t>American Concrete Institute, ACI Special Publication</t>
  </si>
  <si>
    <t>SP-153</t>
  </si>
  <si>
    <t>Airports; Fly ash; Jet blasts; Lightweight aggregates; Pavements; Slags; Spalling; Temperature</t>
  </si>
  <si>
    <t>2-s2.0-0012735136</t>
  </si>
  <si>
    <t>King S.; Leon J.; Mulcahy M.; Jackson L.A.; Corbett B.</t>
  </si>
  <si>
    <t>King, Sam (57204287914); Leon, Javier (44061594700); Mulcahy, Marty (57204287286); Jackson, L. Angus (7402098846); Corbett, Bobbie (55324855100)</t>
  </si>
  <si>
    <t>57204287914; 44061594700; 57204287286; 7402098846; 55324855100</t>
  </si>
  <si>
    <t>Australasian Coasts and Ports 2017 Conference</t>
  </si>
  <si>
    <t>Condition Survey; Drones; Monitoring; Seawall; Structure-from-Motion; Unmanned Aerial Vehicle</t>
  </si>
  <si>
    <t>2-s2.0-85055086918</t>
  </si>
  <si>
    <t>Gomez I.; Rodriguez J.A.; Gonzalez P.; El Malek J.M.; Gonzalez D.</t>
  </si>
  <si>
    <t>Gomez, Iago (57206137091); Rodriguez, Jose A. (57196079935); Gonzalez, Pablo (57214276456); El Malek, Jorge Munir (57196076861); Gonzalez, Daniel (57196078127)</t>
  </si>
  <si>
    <t>57206137091; 57196079935; 57214276456; 57196076861; 57196078127</t>
  </si>
  <si>
    <t>AUVSI XPONENTIAL 2017</t>
  </si>
  <si>
    <t>2-s2.0-85031752442</t>
  </si>
  <si>
    <t>Schneiderman Ron</t>
  </si>
  <si>
    <t>Schneiderman, Ron (7003416543)</t>
  </si>
  <si>
    <t>7003416543</t>
  </si>
  <si>
    <t>Microwaves &amp; RF</t>
  </si>
  <si>
    <t>30</t>
  </si>
  <si>
    <t>2-s2.0-0026117018</t>
  </si>
  <si>
    <t>Králík V.; Kuffová M.</t>
  </si>
  <si>
    <t>Králík, V. (57076554500); Kuffová, M. (35330056300)</t>
  </si>
  <si>
    <t>57076554500; 35330056300</t>
  </si>
  <si>
    <t>Transport Means - Proceedings of the International Conference</t>
  </si>
  <si>
    <t>2016-October</t>
  </si>
  <si>
    <t>Defence; Jamming; Multicopter</t>
  </si>
  <si>
    <t>2-s2.0-85045383420</t>
  </si>
  <si>
    <t>AIAA Guidance, Navigation, and Control Conference and Exhibit</t>
  </si>
  <si>
    <t>The proceedings contain 320 papers. The special focus in this conference is on Guidance, Navigation, and Control. The topics include: New analysis techniques for clearance of flight control laws; modelling of longitudinal disturbed aircraft model by flatness approach; a polynomial based clearance method; aircraft control law clearance analysis using bifurcation and continuation methods; adaptive lateral flight control for a winged re-entry vehicle; adaptive control and rejection of persistent disturbances; adaptive control with a nested saturation reference model; optimization of direct adaptive disturbance rejection systems; on gain conditions and convergence of simple adaptive control; robust flight controller design taking account of flying quality; fuzzy logic non-minimum phase autopilot design; regions of attraction for robustness assessment; robust flight control for coordinated turns; a point-to-point concept for improved national airspace system capacity; automated airport surface traffic control; airport surface operation collaborative automation concept; flight clearance tools using a non-linear bifurcation analysis framework; measuring uncertainty in airspace demand predictions for traffic flow management applications; aggregate statistics of the national airspace system; a cluster analysis to classify days in the national airspace system; analysis of ETMS data quality for traffic flow management decisions; modeling and evaluation of miles-in-trail restrictions in the national air space; comparison of pilot and automation generated conflict resolutions; assessing the impact of spacing tolerance on flight crew activity; effect of mixed aircraft types and wind on time based airborne spacing; X-31 VECTOR control law design for ESTOL to the ground; aircraft trim control; sliding mode techniques applied to the control of a micro air-vehicle; a feedback linearizing controller for relative guidance between commercial aircraft; pitch stabilizability of an unstable aircraft; performance analysis and control design for ski-jump takeoff; reconfigurable control of aircraft with partial elevator failure; toward intuitive instrument flight displays; motion planning of a fully actuated unmanned air vehicle; time-optimal paths for lateral navigation of an autonomous underactuated airship; autonomous task achievement by space robot based on Q-learning with environment recognition; concept of flying effectors and preliminary experiments; control allocation for linear systems with four or more objectives; high-integrity production code generation; robust H-infinity decoupling hover control of uncertain nonlinear helicopter; physical reasons for the uncontrollability of a double inverted pendulum; interior-point algorithms for control allocation; a new representation of the generalized relative dynamic gains; stable receding horizon trajectory control for complex environments; parameter transient behavior analysis on fault tolerant control system; a differential game formulation of alert levels in ETMS data for high altitude traffic; eliminating hazards from a medium term conflict detection tool; time shifting air traffic data for quantitative evaluation of a conflict probe; improved aircraft path stretch algorithms for the en route descent advisor (EDA); heuristic methods to post process aircraft radar track data; fault tolerant controller design using hybrid linear parameter-varying control; trajectory optimization via modified genetic algorithm; LPV antiwindup compensation for enhanced flight control performance; an overview of the NASA flying test platform research; flight testing a 3-dimensional guidance display system for small aircraft; enhancements to an atmospheric ascent guidance algorithm; robust neural adaptive control of a hypersonic aircraft; the effect of signature constraints on the F-117 configuration development; challenges in the development of the IFOG; development of flight control systems for jet airliners; development of the 777 flight control system; primary control surface failure detection and identification scheme; backstepping flight control using on-line function approximation; moving waypoint-based fuzzy guidance for unmanned aircraft; formal verification of maneuvering target tracking; neural network based modeling and analysis of Lp control surface allocation; evaluation of an adaptive method for launch vehicle flight control; an adaptive critic approach to reference model adaptation; missile guidance law design based on two-degree-of-freedom bearing control; h infinite robust guidance law in ATBM applications; the threat of supersonic ASM and a countermeasure AMM system; implementation of guidance laws in missiles with dual control systems; seeker based optimal guidance law, a few issues; terminal guidance using a Doppler beam sharpening radar; missile state estimation from telemetry measurements; a GPS tracking system with onboard IIP prediction for sounding rockets; planing, switching, and supercavitating flight control; cooperative systems under communication delay; UAV task assignment with timing constraints; nonlinear control for reconfiguration of UAV formation; adaptive vortex seeking formation flight neurocontrol; multiple aerial vehicle formation using swarm intelligence; genetic algorithm for task allocation in UAV cooperative control; path elongation for UAV task assignment; cooperation between UAVs in a search and destroy mission; distributed control for multiple UAVs with strongly coupled tasks; using stream functions for complex behavior and path generation; energy-efficient coordination of multiple-UAV systems; experimental demonstrations of real-time MILP control; flow control in a driven cavity incorporating excitation phase differential; control systems of the NASA 70-meter antennas; adaptive control of a flexible membrane using acoustic excitation and optical sensing; neural and LQR optimal attitude control of a flexible micro-satellite; benchmark testing for spaceborne global positioning system receivers; navigation of large autonomously controlled formations; robust GPS navigation in the presence of jamming and spoofing; regional GRASP for the target tracking problem; periodic fault detection filters with application to satellite systems; modern midcourse guidance law with high-order dynamics; optimal feedback control of the magneto-hydrodynamic generator for a hypersonic vehicle; launch vehicle wind look ahead guidance for ascent load management; modular adaptive control of a nonlinear aeroelastic system; implementation of pilot commands in aircraft control; reconfigurable inner loop control of a space maneuvering vehicle; mission abort scenario of a reentry vehicle with controls degradation; on-board entry trajectory planning expanded to sub-orbital flight; studies for terminal area GNC of reusable launch vehicles; sub-optimal analytical guidance laws for reusable launch vehicles; robust nonlinear model predictive control with partial state information; an iterative LMI approach for H2 control law adjustment; thermal snap disturbance identification via in-flight data; unfalsified adaptive spacecraft attitude control; precision beacon-assisted attitude control for spaceway; demonstration of capabilities of an autonomous fault-tolerant flight control system; software enabled flight control using receding horizon techniques; integrated diagnosis and control for hybrid dynamic systems; 3D conflict resolution of multiple aircraft via dynamic optimization; an improved three-pulse algorithm for axisymmetric RCS control; control of flexible satellites using analytic on-off thruster commands; control of attitude and vibration of a tethered space solar power satellite; unscented filtering for spacecraft attitude estimation; global magnetometer-based spacecraft attitude and rate estimation; gyro modeling and estimation of its random noise sources; development of static earth horizon sensors; benchmark problems for spacecraft formation flying missions; reorientation of rotating deep space tethered constellations; spacecraft formation-flying in eccentric orbits; guaranteed initialization of distributed spacecraft formations; demonstration of GPS on the AlSAT-1 disaster monitoring satellite; a state-space approach to computing spacecraft pointing jitter; nonlinear momentum transfer control by using neural networks; decentralized estimation algorithms for formation flying spacecraft; navigation accuracy guidelines for orbital formation flying; performance evaluation of rendezvous using model predictive control; on the impact of cross-link delays on spacecraft formation control; evaluation of a drag-free control concept for missions in low earth orbit; tracking and identification of a maneuvering reentry vehicle; trajectory generation with probabilistic bounds; dynamic noise avoidance routing through terminal airspace; time-based conflict resolution algorithm and application to descent conflicts; a combined MBPC/2 DOF H infinity controller for a quad rotor UAV; design of a rate command mu-controller for a shrouded-fan uninhabited aerial vehicle; on-line trajectory optimization for autonomous air vehicles; flight test results of UAV automatic control using a single-antenna GPS receiver; filter comparison for integrated navigation systems for unmanned aerial vehicles and adaptive flight control of a carrier based unmanned air vehicle.</t>
  </si>
  <si>
    <t>2-s2.0-84896897670</t>
  </si>
  <si>
    <t>Spicer J.; Perkins A.; Dressel L.; James M.; Chen Y.-H.; De Lorenzo D.S.; Enge P.</t>
  </si>
  <si>
    <t>Spicer, James (56767694600); Perkins, Adrien (56767636900); Dressel, Louis (56217774000); James, Mark (56767500700); Chen, Yu-Hsuan (56298635700); De Lorenzo, David S. (36086083200); Enge, Per (7006949123)</t>
  </si>
  <si>
    <t>56767694600; 56767636900; 56217774000; 56767500700; 56298635700; 36086083200; 7006949123</t>
  </si>
  <si>
    <t>Institute of Navigation International Technical Meeting 2015, ITM 2015</t>
  </si>
  <si>
    <t>2-s2.0-84938792376</t>
  </si>
  <si>
    <t>Rani C.; Modares H.; Sriram R.; Mikulski D.; Lewis F.L.</t>
  </si>
  <si>
    <t>Rani, Chaitanya (57190123927); Modares, Hamidreza (26423177100); Sriram, Raghavendra (58823241000); Mikulski, Dariusz (50862027500); Lewis, Frank L. (24729085600)</t>
  </si>
  <si>
    <t>57190123927; 26423177100; 58823241000; 50862027500; 24729085600</t>
  </si>
  <si>
    <t>Journal of Defense Modeling and Simulation</t>
  </si>
  <si>
    <t>cyber-physical attacks; hacking; security; trust; Unmanned aerial vehicle</t>
  </si>
  <si>
    <t>2-s2.0-84977544270</t>
  </si>
  <si>
    <t>Rodday N.M.; De Schmidt R.O.; Pras A.</t>
  </si>
  <si>
    <t>Rodday, Nils Miro (57190404300); De Schmidt, Ricardo O. (57190404650); Pras, Aiko (6602927915)</t>
  </si>
  <si>
    <t>57190404300; 57190404650; 6602927915</t>
  </si>
  <si>
    <t>Proceedings of the NOMS 2016 - 2016 IEEE/IFIP Network Operations and Management Symposium</t>
  </si>
  <si>
    <t>7502939</t>
  </si>
  <si>
    <t>2-s2.0-84979741960</t>
  </si>
  <si>
    <t>Zhang Y.R.; Huang Y.-R.; Thumann C.</t>
  </si>
  <si>
    <t>Zhang, Yan Rockee (56048343000); Huang, Yih-Ru (35071470200); Thumann, Charles (57194778260)</t>
  </si>
  <si>
    <t>56048343000; 35071470200; 57194778260</t>
  </si>
  <si>
    <t>10188</t>
  </si>
  <si>
    <t>101880M</t>
  </si>
  <si>
    <t>counter-drone; detection; Drone; jamming; Noise radar; small UAS</t>
  </si>
  <si>
    <t>2-s2.0-85022040774</t>
  </si>
  <si>
    <t>Davanian A.; Massacci F.; Allodi L.</t>
  </si>
  <si>
    <t>Davanian, Ali (57195628642); Massacci, Fabio (55167501300); Allodi, Luca (42460911100)</t>
  </si>
  <si>
    <t>57195628642; 55167501300; 42460911100</t>
  </si>
  <si>
    <t>PECCS 2017 - Proceedings of the 7th International Joint Conference on Pervasive and Embedded Computing and Communication Systems</t>
  </si>
  <si>
    <t>Drone takeover; Micro air vehicle communication protocol (MAVLink) security; Moving target defense (MTD); Software diversity; Unmanned aerial vehicle (UAV) security</t>
  </si>
  <si>
    <t>2-s2.0-85029397371</t>
  </si>
  <si>
    <t>Cho H.S.; Woo T.H.</t>
  </si>
  <si>
    <t>Cho, Hyo Sung (7403936631); Woo, Tae Ho (57202729016)</t>
  </si>
  <si>
    <t>7403936631; 57202729016</t>
  </si>
  <si>
    <t>Annals of Nuclear Energy</t>
  </si>
  <si>
    <t>94</t>
  </si>
  <si>
    <t>Drone; Nuclear Power Plants (NPPs); Robot; Safety; Security</t>
  </si>
  <si>
    <t>2-s2.0-84960940757</t>
  </si>
  <si>
    <t>Vattapparamban E.; Güvenç I.; Yurekli A.I.; Akkaya K.; Uluaǧaç S.</t>
  </si>
  <si>
    <t>Vattapparamban, Edwin (57190405957); Güvenç, Ismail (6602252613); Yurekli, Ali I. (14523923800); Akkaya, Kemal (6603154960); Uluaǧaç, Selcuk (22735196300)</t>
  </si>
  <si>
    <t>57190405957; 6602252613; 14523923800; 6603154960; 22735196300</t>
  </si>
  <si>
    <t>2016 International Wireless Communications and Mobile Computing Conference, IWCMC 2016</t>
  </si>
  <si>
    <t>7577060</t>
  </si>
  <si>
    <t>Drones; Internet of Things (IoT); Privacy; Search and rescue; Security; UAVs; VPN; WiFi Pineapple</t>
  </si>
  <si>
    <t>2-s2.0-84994184718</t>
  </si>
  <si>
    <t>Beaudoin L.; Gademer A.; Avanthey L.; Germain V.; Vittori V.</t>
  </si>
  <si>
    <t>Beaudoin, Laurent (6701397384); Gademer, Antoine (23491876500); Avanthey, Loica (23491441600); Germain, Vincent (36864691600); Vittori, Vincent (55570944000)</t>
  </si>
  <si>
    <t>6701397384; 23491876500; 23491441600; 36864691600; 55570944000</t>
  </si>
  <si>
    <t>10th European Conference on Information Warfare and Security 2011, ECIW 2011</t>
  </si>
  <si>
    <t>Countermeasure; Swarms; Terrorism; Unmanned aerial system</t>
  </si>
  <si>
    <t>2-s2.0-84872897209</t>
  </si>
  <si>
    <t>Díaz-González M.; Baldi A.; Fernández-Sánchez C.</t>
  </si>
  <si>
    <t>Díaz-González, María (6701496898); Baldi, Antonio (7101714600); Fernández-Sánchez, César (6603408599)</t>
  </si>
  <si>
    <t>6701496898; 7101714600; 6603408599</t>
  </si>
  <si>
    <t>Sensors and Actuators, B: Chemical</t>
  </si>
  <si>
    <t>251</t>
  </si>
  <si>
    <t>Microvalve; Sampling device; Wax microfluidics</t>
  </si>
  <si>
    <t>2-s2.0-85019207661</t>
  </si>
  <si>
    <t>Seo S.-H.; Won J.; Bertino E.; Kang Y.; Choi D.</t>
  </si>
  <si>
    <t>Seo, Seung-Hyun (57361753800); Won, Jongho (56122657600); Bertino, Elisa (7102307605); Kang, Yousung (22334154900); Choi, Dooho (56262264300)</t>
  </si>
  <si>
    <t>57361753800; 56122657600; 7102307605; 22334154900; 56262264300</t>
  </si>
  <si>
    <t>DroNet 2016 - Proceedings of the 2nd Workshop on Micro Aerial Vehicle Networks, Systems, and Applications for Civilian Use, co-located with MobiSys 2016</t>
  </si>
  <si>
    <t>Drone delivery service; Security framework; White-box cryptography</t>
  </si>
  <si>
    <t>2-s2.0-84979885686</t>
  </si>
  <si>
    <t>Faughnan M.S.; Hourican B.J.; Macdonald G.C.; Srivastava M.; Wright J.-P.A.; Haimes Y.Y.; Andrijcic E.; Guo Z.; White J.C.</t>
  </si>
  <si>
    <t>Faughnan, Michelle S. (55818221100); Hourican, Brian J. (55817854200); Macdonald, G. Collins (57196562451); Srivastava, Megha (57204812012); Wright, John-Patrick A. (57199190675); Haimes, Yacov Y. (7005337553); Andrijcic, Eva (14424164600); Guo, Zhenyu (55308472800); White, James C. (55817658300)</t>
  </si>
  <si>
    <t>55818221100; 55817854200; 57196562451; 57204812012; 57199190675; 7005337553; 14424164600; 55308472800; 55817658300</t>
  </si>
  <si>
    <t>2013 IEEE Systems and Information Engineering Design Symposium, SIEDS 2013</t>
  </si>
  <si>
    <t>6549509</t>
  </si>
  <si>
    <t>2-s2.0-84881323002</t>
  </si>
  <si>
    <t>He S.; Wu Q.; Liu J.; Hu W.; Qin B.; Li Y.-N.</t>
  </si>
  <si>
    <t>He, Shuangyu (57198791691); Wu, Qianhong (57203292026); Liu, Jingwen (57196290843); Hu, Wei (57190188097); Qin, Bo (8707757400); Li, Ya-Nan (57199507175)</t>
  </si>
  <si>
    <t>57198791691; 57203292026; 57196290843; 57190188097; 8707757400; 57199507175</t>
  </si>
  <si>
    <t>10701 LNCS</t>
  </si>
  <si>
    <t>Mutual authentication; Secure communication; Unmanned aerial vehicle</t>
  </si>
  <si>
    <t>2-s2.0-85038111558</t>
  </si>
  <si>
    <t>ID_3</t>
  </si>
  <si>
    <t>Tot</t>
  </si>
  <si>
    <t>R+Y</t>
  </si>
  <si>
    <t>R+N</t>
  </si>
  <si>
    <t>S+Y</t>
  </si>
  <si>
    <t>S+N</t>
  </si>
  <si>
    <t>Cyber Threaths</t>
  </si>
  <si>
    <t>Threaths</t>
  </si>
  <si>
    <t>Cited papers</t>
  </si>
  <si>
    <t>Anni</t>
  </si>
  <si>
    <t>Valore sx</t>
  </si>
  <si>
    <t>Valore dx</t>
  </si>
  <si>
    <t xml:space="preserve">Frequenza </t>
  </si>
  <si>
    <t>Macro Cat</t>
  </si>
  <si>
    <t>Threaths Within</t>
  </si>
  <si>
    <t>Citations</t>
  </si>
  <si>
    <t>ID.AM</t>
  </si>
  <si>
    <t>ID.RA</t>
  </si>
  <si>
    <t>ID.IM</t>
  </si>
  <si>
    <t>PR.AA</t>
  </si>
  <si>
    <t>PR.AT</t>
  </si>
  <si>
    <t>PR.DS</t>
  </si>
  <si>
    <t>PR.PS</t>
  </si>
  <si>
    <t>PR.IR</t>
  </si>
  <si>
    <t>DE.CM</t>
  </si>
  <si>
    <t>DE.AE</t>
  </si>
  <si>
    <t>RS.MA</t>
  </si>
  <si>
    <t>RS.AN</t>
  </si>
  <si>
    <t>RS.CO</t>
  </si>
  <si>
    <t>RS.MI</t>
  </si>
  <si>
    <t>RC.RP</t>
  </si>
  <si>
    <t>RC.CO</t>
  </si>
  <si>
    <t>RC_2</t>
  </si>
  <si>
    <t>TOT</t>
  </si>
  <si>
    <t>Trend Analysis</t>
  </si>
  <si>
    <t>Bibliometric Results</t>
  </si>
  <si>
    <t>Functions &amp; Catyegories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</si>
</sst>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font>
    <font>
      <sz val="11"/>
      <color rgb="FFFF0000"/>
      <name val="Calibri"/>
      <family val="2"/>
      <scheme val="minor"/>
    </font>
    <font>
      <sz val="11"/>
      <color rgb="FF000000"/>
      <name val="Calibri"/>
      <family val="2"/>
      <scheme val="minor"/>
    </font>
    <font>
      <sz val="11"/>
      <name val="Calibri"/>
      <family val="2"/>
      <scheme val="minor"/>
    </font>
    <font>
      <sz val="8"/>
      <name val="Calibri"/>
      <family val="2"/>
      <scheme val="minor"/>
    </font>
    <font>
      <b/>
      <sz val="24"/>
      <color theme="1"/>
      <name val="Calibri"/>
      <family val="2"/>
      <scheme val="minor"/>
    </font>
    <font>
      <b/>
      <sz val="26"/>
      <color theme="1"/>
      <name val="Calibri"/>
      <family val="2"/>
      <scheme val="minor"/>
    </font>
    <font>
      <u/>
      <sz val="11"/>
      <color theme="10"/>
      <name val="Calibri"/>
      <family val="2"/>
      <scheme val="minor"/>
    </font>
    <font>
      <b/>
      <sz val="11"/>
      <color rgb="FF000000"/>
      <name val="Calibri"/>
      <family val="2"/>
      <scheme val="minor"/>
    </font>
  </fonts>
  <fills count="19">
    <fill>
      <patternFill patternType="none"/>
    </fill>
    <fill>
      <patternFill patternType="gray125"/>
    </fill>
    <fill>
      <patternFill patternType="solid">
        <fgColor rgb="FF00B050"/>
        <bgColor indexed="64"/>
      </patternFill>
    </fill>
    <fill>
      <patternFill patternType="solid">
        <fgColor theme="5"/>
        <bgColor indexed="64"/>
      </patternFill>
    </fill>
    <fill>
      <patternFill patternType="solid">
        <fgColor theme="6"/>
        <bgColor indexed="64"/>
      </patternFill>
    </fill>
    <fill>
      <patternFill patternType="solid">
        <fgColor theme="9"/>
        <bgColor indexed="64"/>
      </patternFill>
    </fill>
    <fill>
      <patternFill patternType="solid">
        <fgColor rgb="FF3B8729"/>
        <bgColor indexed="64"/>
      </patternFill>
    </fill>
    <fill>
      <patternFill patternType="solid">
        <fgColor theme="6" tint="0.59999389629810485"/>
        <bgColor indexed="64"/>
      </patternFill>
    </fill>
    <fill>
      <patternFill patternType="solid">
        <fgColor rgb="FF0070C0"/>
        <bgColor indexed="64"/>
      </patternFill>
    </fill>
    <fill>
      <patternFill patternType="solid">
        <fgColor theme="6" tint="0.39997558519241921"/>
        <bgColor indexed="64"/>
      </patternFill>
    </fill>
    <fill>
      <patternFill patternType="solid">
        <fgColor rgb="FF92D050"/>
        <bgColor indexed="64"/>
      </patternFill>
    </fill>
    <fill>
      <patternFill patternType="solid">
        <fgColor theme="3" tint="0.39997558519241921"/>
        <bgColor indexed="64"/>
      </patternFill>
    </fill>
    <fill>
      <patternFill patternType="solid">
        <fgColor theme="7"/>
        <bgColor indexed="64"/>
      </patternFill>
    </fill>
    <fill>
      <patternFill patternType="solid">
        <fgColor theme="9" tint="-0.249977111117893"/>
        <bgColor indexed="64"/>
      </patternFill>
    </fill>
    <fill>
      <patternFill patternType="solid">
        <fgColor rgb="FFC00000"/>
        <bgColor indexed="64"/>
      </patternFill>
    </fill>
    <fill>
      <patternFill patternType="solid">
        <fgColor rgb="FFFF0000"/>
        <bgColor indexed="64"/>
      </patternFill>
    </fill>
    <fill>
      <patternFill patternType="solid">
        <fgColor theme="4" tint="0.79998168889431442"/>
        <bgColor indexed="64"/>
      </patternFill>
    </fill>
    <fill>
      <patternFill patternType="solid">
        <fgColor theme="4"/>
        <bgColor indexed="64"/>
      </patternFill>
    </fill>
    <fill>
      <patternFill patternType="solid">
        <fgColor theme="0" tint="-0.34998626667073579"/>
        <bgColor indexed="64"/>
      </patternFill>
    </fill>
  </fills>
  <borders count="3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indexed="64"/>
      </bottom>
      <diagonal/>
    </border>
    <border>
      <left/>
      <right style="thin">
        <color auto="1"/>
      </right>
      <top style="thin">
        <color auto="1"/>
      </top>
      <bottom style="medium">
        <color indexed="64"/>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style="medium">
        <color indexed="64"/>
      </left>
      <right style="thin">
        <color indexed="64"/>
      </right>
      <top style="thin">
        <color auto="1"/>
      </top>
      <bottom style="thin">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auto="1"/>
      </left>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thin">
        <color auto="1"/>
      </left>
      <right style="thin">
        <color auto="1"/>
      </right>
      <top style="thin">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top style="medium">
        <color indexed="64"/>
      </top>
      <bottom/>
      <diagonal/>
    </border>
    <border>
      <left style="medium">
        <color indexed="64"/>
      </left>
      <right/>
      <top style="medium">
        <color rgb="FF000000"/>
      </top>
      <bottom/>
      <diagonal/>
    </border>
    <border>
      <left/>
      <right/>
      <top style="medium">
        <color indexed="64"/>
      </top>
      <bottom style="medium">
        <color indexed="64"/>
      </bottom>
      <diagonal/>
    </border>
    <border>
      <left style="thin">
        <color auto="1"/>
      </left>
      <right/>
      <top style="medium">
        <color rgb="FF000000"/>
      </top>
      <bottom/>
      <diagonal/>
    </border>
    <border>
      <left/>
      <right style="medium">
        <color indexed="64"/>
      </right>
      <top style="medium">
        <color indexed="64"/>
      </top>
      <bottom style="medium">
        <color indexed="64"/>
      </bottom>
      <diagonal/>
    </border>
    <border>
      <left/>
      <right style="thin">
        <color indexed="64"/>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diagonal/>
    </border>
  </borders>
  <cellStyleXfs count="2">
    <xf numFmtId="0" fontId="0" fillId="0" borderId="0"/>
    <xf numFmtId="0" fontId="10" fillId="0" borderId="0" applyNumberFormat="0" applyFill="0" applyBorder="0" applyAlignment="0" applyProtection="0"/>
  </cellStyleXfs>
  <cellXfs count="109">
    <xf numFmtId="0" fontId="0" fillId="0" borderId="0" xfId="0"/>
    <xf numFmtId="0" fontId="2" fillId="0" borderId="1" xfId="0" applyFont="1" applyBorder="1" applyAlignment="1">
      <alignment horizontal="center" vertical="center"/>
    </xf>
    <xf numFmtId="0" fontId="0" fillId="0" borderId="0" xfId="0" applyAlignment="1">
      <alignment vertical="center"/>
    </xf>
    <xf numFmtId="0" fontId="2" fillId="0" borderId="1" xfId="0" applyFont="1" applyBorder="1" applyAlignment="1">
      <alignment horizontal="center" vertical="center" wrapText="1"/>
    </xf>
    <xf numFmtId="0" fontId="0" fillId="0" borderId="0" xfId="0" applyAlignment="1">
      <alignment vertical="center" wrapText="1"/>
    </xf>
    <xf numFmtId="0" fontId="3" fillId="0" borderId="0" xfId="1" applyFont="1" applyAlignment="1" applyProtection="1">
      <alignment vertical="center"/>
    </xf>
    <xf numFmtId="0" fontId="0" fillId="2" borderId="0" xfId="0" applyFill="1" applyAlignment="1">
      <alignment vertical="center" wrapText="1"/>
    </xf>
    <xf numFmtId="0" fontId="1" fillId="0" borderId="0" xfId="0" applyFont="1"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3" fillId="0" borderId="0" xfId="1" applyFont="1" applyAlignment="1" applyProtection="1"/>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3" fillId="0" borderId="0" xfId="1" applyFont="1" applyAlignment="1" applyProtection="1">
      <alignment vertical="center" wrapText="1"/>
    </xf>
    <xf numFmtId="0" fontId="0" fillId="0" borderId="1" xfId="0" applyBorder="1" applyAlignment="1">
      <alignment horizontal="center" vertical="center"/>
    </xf>
    <xf numFmtId="0" fontId="0" fillId="3" borderId="1" xfId="0" applyFill="1" applyBorder="1" applyAlignment="1">
      <alignment horizontal="center" vertical="center"/>
    </xf>
    <xf numFmtId="0" fontId="0" fillId="0" borderId="1" xfId="0" applyBorder="1" applyAlignment="1">
      <alignment vertical="center" wrapText="1"/>
    </xf>
    <xf numFmtId="0" fontId="0" fillId="4" borderId="1" xfId="0" applyFill="1" applyBorder="1" applyAlignment="1">
      <alignment horizontal="center" vertical="center"/>
    </xf>
    <xf numFmtId="0" fontId="0" fillId="3" borderId="4" xfId="0" applyFill="1" applyBorder="1" applyAlignment="1">
      <alignment horizontal="center" vertical="center"/>
    </xf>
    <xf numFmtId="0" fontId="0" fillId="4" borderId="3" xfId="0" applyFill="1" applyBorder="1" applyAlignment="1">
      <alignment horizontal="center" vertical="center"/>
    </xf>
    <xf numFmtId="0" fontId="0" fillId="5" borderId="6" xfId="0" applyFill="1" applyBorder="1" applyAlignment="1">
      <alignment horizontal="center" vertical="center"/>
    </xf>
    <xf numFmtId="0" fontId="0" fillId="0" borderId="6" xfId="0" applyBorder="1" applyAlignment="1">
      <alignment horizontal="center" vertical="center"/>
    </xf>
    <xf numFmtId="0" fontId="0" fillId="0" borderId="2" xfId="0" applyBorder="1" applyAlignment="1">
      <alignment vertical="center"/>
    </xf>
    <xf numFmtId="0" fontId="0" fillId="4" borderId="5" xfId="0" applyFill="1" applyBorder="1" applyAlignment="1">
      <alignment horizontal="center" vertical="center"/>
    </xf>
    <xf numFmtId="0" fontId="0" fillId="5" borderId="1" xfId="0" applyFill="1" applyBorder="1" applyAlignment="1">
      <alignment horizontal="center" vertical="center"/>
    </xf>
    <xf numFmtId="0" fontId="0" fillId="0" borderId="4" xfId="0" applyBorder="1" applyAlignment="1">
      <alignment vertical="center" wrapText="1"/>
    </xf>
    <xf numFmtId="0" fontId="0" fillId="0" borderId="5" xfId="0" applyBorder="1" applyAlignment="1">
      <alignment vertical="center" wrapText="1"/>
    </xf>
    <xf numFmtId="0" fontId="0" fillId="6" borderId="0" xfId="0" applyFill="1" applyAlignment="1">
      <alignment vertical="center" wrapText="1"/>
    </xf>
    <xf numFmtId="0" fontId="0" fillId="7" borderId="1" xfId="0" applyFill="1" applyBorder="1" applyAlignment="1">
      <alignment horizontal="center" vertical="center"/>
    </xf>
    <xf numFmtId="0" fontId="2" fillId="7" borderId="1" xfId="0" applyFont="1" applyFill="1" applyBorder="1" applyAlignment="1">
      <alignment horizontal="center" vertical="center"/>
    </xf>
    <xf numFmtId="0" fontId="0" fillId="8" borderId="1" xfId="0" applyFill="1" applyBorder="1" applyAlignment="1">
      <alignment horizontal="center" vertical="center"/>
    </xf>
    <xf numFmtId="0" fontId="2" fillId="0" borderId="10" xfId="0" applyFont="1" applyBorder="1" applyAlignment="1">
      <alignment horizontal="center" vertical="center"/>
    </xf>
    <xf numFmtId="0" fontId="0" fillId="7" borderId="10" xfId="0" applyFill="1" applyBorder="1" applyAlignment="1">
      <alignment horizontal="center" vertical="center"/>
    </xf>
    <xf numFmtId="0" fontId="0" fillId="3" borderId="10" xfId="0" applyFill="1" applyBorder="1" applyAlignment="1">
      <alignment horizontal="center" vertical="center"/>
    </xf>
    <xf numFmtId="0" fontId="0" fillId="8" borderId="10" xfId="0" applyFill="1" applyBorder="1" applyAlignment="1">
      <alignment horizontal="center" vertical="center"/>
    </xf>
    <xf numFmtId="0" fontId="0" fillId="5" borderId="10" xfId="0" applyFill="1" applyBorder="1" applyAlignment="1">
      <alignment horizontal="center" vertical="center"/>
    </xf>
    <xf numFmtId="0" fontId="0" fillId="0" borderId="12" xfId="0" applyBorder="1" applyAlignment="1">
      <alignment horizontal="center" vertical="center"/>
    </xf>
    <xf numFmtId="0" fontId="2" fillId="0" borderId="11" xfId="0" applyFont="1" applyBorder="1"/>
    <xf numFmtId="0" fontId="2" fillId="0" borderId="4" xfId="0" applyFont="1" applyBorder="1" applyAlignment="1">
      <alignment horizontal="center" vertical="center"/>
    </xf>
    <xf numFmtId="0" fontId="0" fillId="3" borderId="5" xfId="0" applyFill="1" applyBorder="1" applyAlignment="1">
      <alignment horizontal="center" vertical="center"/>
    </xf>
    <xf numFmtId="0" fontId="0" fillId="7" borderId="5" xfId="0" applyFill="1" applyBorder="1" applyAlignment="1">
      <alignment horizontal="center" vertical="center"/>
    </xf>
    <xf numFmtId="0" fontId="8" fillId="0" borderId="0" xfId="0" applyFont="1" applyAlignment="1">
      <alignment textRotation="255"/>
    </xf>
    <xf numFmtId="0" fontId="2" fillId="9" borderId="4" xfId="0" applyFont="1" applyFill="1" applyBorder="1" applyAlignment="1">
      <alignment horizontal="center" vertical="center"/>
    </xf>
    <xf numFmtId="0" fontId="2" fillId="6" borderId="4" xfId="0" applyFont="1" applyFill="1" applyBorder="1" applyAlignment="1">
      <alignment horizontal="center" vertical="center"/>
    </xf>
    <xf numFmtId="0" fontId="10" fillId="0" borderId="0" xfId="1" applyAlignment="1" applyProtection="1">
      <alignment vertical="center" wrapText="1"/>
    </xf>
    <xf numFmtId="0" fontId="10" fillId="0" borderId="0" xfId="1" applyAlignment="1" applyProtection="1">
      <alignment vertical="center"/>
    </xf>
    <xf numFmtId="0" fontId="2" fillId="10" borderId="20" xfId="0" applyFont="1" applyFill="1" applyBorder="1" applyAlignment="1">
      <alignment horizontal="center" vertical="center" wrapText="1"/>
    </xf>
    <xf numFmtId="0" fontId="2" fillId="11" borderId="19" xfId="0" applyFont="1" applyFill="1" applyBorder="1" applyAlignment="1">
      <alignment horizontal="center" vertical="center" wrapText="1"/>
    </xf>
    <xf numFmtId="0" fontId="2" fillId="11" borderId="21" xfId="0" applyFont="1" applyFill="1" applyBorder="1" applyAlignment="1">
      <alignment horizontal="center" vertical="center" wrapText="1"/>
    </xf>
    <xf numFmtId="0" fontId="2" fillId="12" borderId="18" xfId="0" applyFont="1" applyFill="1" applyBorder="1" applyAlignment="1">
      <alignment horizontal="center" vertical="center" wrapText="1"/>
    </xf>
    <xf numFmtId="0" fontId="2" fillId="12" borderId="21" xfId="0" applyFont="1" applyFill="1" applyBorder="1" applyAlignment="1">
      <alignment horizontal="center" vertical="center" wrapText="1"/>
    </xf>
    <xf numFmtId="0" fontId="11" fillId="13" borderId="18" xfId="0" applyFont="1" applyFill="1" applyBorder="1" applyAlignment="1">
      <alignment horizontal="center" vertical="center" wrapText="1"/>
    </xf>
    <xf numFmtId="0" fontId="11" fillId="13" borderId="21" xfId="0" applyFont="1" applyFill="1" applyBorder="1" applyAlignment="1">
      <alignment horizontal="center" vertical="center" wrapText="1"/>
    </xf>
    <xf numFmtId="0" fontId="2" fillId="14" borderId="18" xfId="0" applyFont="1" applyFill="1" applyBorder="1" applyAlignment="1">
      <alignment horizontal="center" vertical="center" wrapText="1"/>
    </xf>
    <xf numFmtId="0" fontId="2" fillId="14" borderId="21" xfId="0" applyFont="1" applyFill="1" applyBorder="1" applyAlignment="1">
      <alignment horizontal="center" vertical="center" wrapText="1"/>
    </xf>
    <xf numFmtId="0" fontId="2" fillId="10" borderId="18" xfId="0" applyFont="1" applyFill="1" applyBorder="1" applyAlignment="1">
      <alignment horizontal="center" vertical="center" wrapText="1"/>
    </xf>
    <xf numFmtId="0" fontId="2" fillId="10" borderId="23" xfId="0" applyFont="1" applyFill="1" applyBorder="1" applyAlignment="1">
      <alignment horizontal="center" vertical="center" wrapText="1"/>
    </xf>
    <xf numFmtId="0" fontId="2" fillId="11" borderId="22" xfId="0" applyFont="1" applyFill="1" applyBorder="1" applyAlignment="1">
      <alignment horizontal="center" vertical="center" wrapText="1"/>
    </xf>
    <xf numFmtId="0" fontId="2" fillId="12" borderId="22" xfId="0" applyFont="1" applyFill="1" applyBorder="1" applyAlignment="1">
      <alignment horizontal="center" vertical="center" wrapText="1"/>
    </xf>
    <xf numFmtId="0" fontId="2" fillId="12" borderId="24" xfId="0" applyFont="1" applyFill="1" applyBorder="1" applyAlignment="1">
      <alignment horizontal="center" vertical="center" wrapText="1"/>
    </xf>
    <xf numFmtId="0" fontId="2" fillId="13" borderId="22" xfId="0" applyFont="1" applyFill="1" applyBorder="1" applyAlignment="1">
      <alignment horizontal="center" vertical="center" wrapText="1"/>
    </xf>
    <xf numFmtId="0" fontId="2" fillId="13" borderId="24" xfId="0" applyFont="1" applyFill="1" applyBorder="1" applyAlignment="1">
      <alignment horizontal="center" vertical="center" wrapText="1"/>
    </xf>
    <xf numFmtId="0" fontId="2" fillId="14" borderId="22" xfId="0" applyFont="1" applyFill="1" applyBorder="1" applyAlignment="1">
      <alignment horizontal="center" vertical="center" wrapText="1"/>
    </xf>
    <xf numFmtId="0" fontId="2" fillId="14" borderId="24" xfId="0" applyFont="1" applyFill="1" applyBorder="1" applyAlignment="1">
      <alignment horizontal="center" vertical="center" wrapText="1"/>
    </xf>
    <xf numFmtId="0" fontId="2" fillId="10" borderId="0" xfId="0" applyFont="1" applyFill="1" applyAlignment="1">
      <alignment horizontal="center" vertical="center" wrapText="1"/>
    </xf>
    <xf numFmtId="0" fontId="2" fillId="11" borderId="25" xfId="0" applyFont="1" applyFill="1" applyBorder="1" applyAlignment="1">
      <alignment horizontal="center" vertical="center" wrapText="1"/>
    </xf>
    <xf numFmtId="0" fontId="9" fillId="0" borderId="7" xfId="0" applyFont="1" applyBorder="1" applyAlignment="1">
      <alignment horizontal="left" textRotation="255"/>
    </xf>
    <xf numFmtId="0" fontId="9" fillId="0" borderId="8" xfId="0" applyFont="1" applyBorder="1" applyAlignment="1">
      <alignment horizontal="left" textRotation="255"/>
    </xf>
    <xf numFmtId="0" fontId="9" fillId="0" borderId="9" xfId="0" applyFont="1" applyBorder="1" applyAlignment="1">
      <alignment horizontal="left" textRotation="255"/>
    </xf>
    <xf numFmtId="0" fontId="8" fillId="0" borderId="13" xfId="0" applyFont="1" applyBorder="1" applyAlignment="1">
      <alignment textRotation="255"/>
    </xf>
    <xf numFmtId="0" fontId="8" fillId="0" borderId="14" xfId="0" applyFont="1" applyBorder="1" applyAlignment="1">
      <alignment textRotation="255"/>
    </xf>
    <xf numFmtId="0" fontId="8" fillId="0" borderId="15" xfId="0" applyFont="1" applyBorder="1" applyAlignment="1">
      <alignment textRotation="255"/>
    </xf>
    <xf numFmtId="0" fontId="2" fillId="0" borderId="16" xfId="0" applyFont="1" applyBorder="1" applyAlignment="1">
      <alignment horizontal="center"/>
    </xf>
    <xf numFmtId="0" fontId="2" fillId="0" borderId="17" xfId="0" applyFont="1" applyBorder="1" applyAlignment="1">
      <alignment horizontal="center"/>
    </xf>
    <xf numFmtId="0" fontId="2" fillId="0" borderId="1" xfId="0" applyFont="1" applyBorder="1" applyAlignment="1">
      <alignment horizontal="center"/>
    </xf>
    <xf numFmtId="0" fontId="2" fillId="16" borderId="1" xfId="0" applyFont="1" applyFill="1" applyBorder="1" applyAlignment="1">
      <alignment horizontal="center"/>
    </xf>
    <xf numFmtId="0" fontId="2" fillId="0" borderId="26" xfId="0" applyFont="1" applyBorder="1"/>
    <xf numFmtId="0" fontId="2" fillId="0" borderId="27" xfId="0" applyFont="1" applyBorder="1"/>
    <xf numFmtId="0" fontId="2" fillId="0" borderId="28" xfId="0" applyFont="1" applyBorder="1"/>
    <xf numFmtId="0" fontId="0" fillId="16" borderId="1" xfId="0" applyFill="1" applyBorder="1" applyAlignment="1">
      <alignment horizontal="center"/>
    </xf>
    <xf numFmtId="0" fontId="0" fillId="0" borderId="1" xfId="0" applyBorder="1" applyAlignment="1">
      <alignment horizontal="center"/>
    </xf>
    <xf numFmtId="0" fontId="2" fillId="0" borderId="29" xfId="0" applyFont="1" applyBorder="1"/>
    <xf numFmtId="0" fontId="2" fillId="0" borderId="4" xfId="0" applyFont="1" applyBorder="1"/>
    <xf numFmtId="0" fontId="2" fillId="0" borderId="30" xfId="0" applyFont="1" applyBorder="1"/>
    <xf numFmtId="0" fontId="0" fillId="0" borderId="0" xfId="0" applyAlignment="1">
      <alignment wrapText="1"/>
    </xf>
    <xf numFmtId="0" fontId="0" fillId="0" borderId="6" xfId="0" applyBorder="1"/>
    <xf numFmtId="0" fontId="0" fillId="0" borderId="1" xfId="0" applyBorder="1"/>
    <xf numFmtId="0" fontId="0" fillId="0" borderId="31" xfId="0" applyBorder="1"/>
    <xf numFmtId="10" fontId="0" fillId="0" borderId="0" xfId="0" applyNumberFormat="1"/>
    <xf numFmtId="0" fontId="0" fillId="17" borderId="0" xfId="0" applyFill="1"/>
    <xf numFmtId="0" fontId="0" fillId="12" borderId="0" xfId="0" applyFill="1"/>
    <xf numFmtId="0" fontId="0" fillId="5" borderId="0" xfId="0" applyFill="1"/>
    <xf numFmtId="0" fontId="0" fillId="15" borderId="0" xfId="0" applyFill="1"/>
    <xf numFmtId="0" fontId="0" fillId="4" borderId="0" xfId="0" applyFill="1"/>
    <xf numFmtId="10" fontId="0" fillId="17" borderId="0" xfId="0" applyNumberFormat="1" applyFill="1"/>
    <xf numFmtId="10" fontId="0" fillId="12" borderId="0" xfId="0" applyNumberFormat="1" applyFill="1"/>
    <xf numFmtId="10" fontId="0" fillId="5" borderId="0" xfId="0" applyNumberFormat="1" applyFill="1"/>
    <xf numFmtId="10" fontId="0" fillId="15" borderId="0" xfId="0" applyNumberFormat="1" applyFill="1"/>
    <xf numFmtId="10" fontId="0" fillId="4" borderId="0" xfId="0" applyNumberFormat="1" applyFill="1"/>
    <xf numFmtId="0" fontId="0" fillId="0" borderId="32" xfId="0" applyBorder="1"/>
    <xf numFmtId="0" fontId="0" fillId="0" borderId="5" xfId="0" applyBorder="1"/>
    <xf numFmtId="0" fontId="0" fillId="0" borderId="33" xfId="0" applyBorder="1"/>
    <xf numFmtId="0" fontId="0" fillId="16" borderId="34" xfId="0" applyFill="1" applyBorder="1"/>
    <xf numFmtId="0" fontId="0" fillId="16" borderId="0" xfId="0" applyFill="1"/>
    <xf numFmtId="0" fontId="0" fillId="0" borderId="0" xfId="0" applyFill="1" applyAlignment="1">
      <alignment horizontal="center" vertical="center"/>
    </xf>
    <xf numFmtId="0" fontId="0" fillId="0" borderId="0" xfId="0" applyFill="1" applyAlignment="1">
      <alignment wrapText="1"/>
    </xf>
    <xf numFmtId="0" fontId="0" fillId="0" borderId="0" xfId="0" applyFill="1"/>
    <xf numFmtId="0" fontId="0" fillId="18" borderId="0" xfId="0" applyFill="1"/>
    <xf numFmtId="0" fontId="2" fillId="18" borderId="0" xfId="0" applyFont="1" applyFill="1"/>
  </cellXfs>
  <cellStyles count="2">
    <cellStyle name="Collegamento ipertestuale" xfId="1" builtinId="8"/>
    <cellStyle name="Normale"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3B872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customXml" Target="../customXml/item4.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 B 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1"/>
          <c:tx>
            <c:strRef>
              <c:f>Results!$C$2</c:f>
              <c:strCache>
                <c:ptCount val="1"/>
                <c:pt idx="0">
                  <c:v>R+Y</c:v>
                </c:pt>
              </c:strCache>
            </c:strRef>
          </c:tx>
          <c:spPr>
            <a:solidFill>
              <a:schemeClr val="accent2">
                <a:lumMod val="50000"/>
              </a:schemeClr>
            </a:solidFill>
            <a:ln>
              <a:noFill/>
            </a:ln>
            <a:effectLst/>
          </c:spPr>
          <c:invertIfNegative val="0"/>
          <c:cat>
            <c:strRef>
              <c:f>Results!$A$3:$A$5</c:f>
              <c:strCache>
                <c:ptCount val="3"/>
                <c:pt idx="0">
                  <c:v>M</c:v>
                </c:pt>
                <c:pt idx="1">
                  <c:v>C</c:v>
                </c:pt>
                <c:pt idx="2">
                  <c:v>B</c:v>
                </c:pt>
              </c:strCache>
            </c:strRef>
          </c:cat>
          <c:val>
            <c:numRef>
              <c:f>Results!$C$3:$C$5</c:f>
              <c:numCache>
                <c:formatCode>General</c:formatCode>
                <c:ptCount val="3"/>
                <c:pt idx="0">
                  <c:v>1</c:v>
                </c:pt>
                <c:pt idx="1">
                  <c:v>5</c:v>
                </c:pt>
                <c:pt idx="2">
                  <c:v>7</c:v>
                </c:pt>
              </c:numCache>
            </c:numRef>
          </c:val>
          <c:extLst>
            <c:ext xmlns:c16="http://schemas.microsoft.com/office/drawing/2014/chart" uri="{C3380CC4-5D6E-409C-BE32-E72D297353CC}">
              <c16:uniqueId val="{00000000-34F7-42B5-9744-1E25E723422A}"/>
            </c:ext>
          </c:extLst>
        </c:ser>
        <c:ser>
          <c:idx val="2"/>
          <c:order val="2"/>
          <c:tx>
            <c:strRef>
              <c:f>Results!$D$2</c:f>
              <c:strCache>
                <c:ptCount val="1"/>
                <c:pt idx="0">
                  <c:v>R+N</c:v>
                </c:pt>
              </c:strCache>
            </c:strRef>
          </c:tx>
          <c:spPr>
            <a:solidFill>
              <a:schemeClr val="accent2">
                <a:lumMod val="60000"/>
                <a:lumOff val="40000"/>
              </a:schemeClr>
            </a:solidFill>
            <a:ln>
              <a:noFill/>
            </a:ln>
            <a:effectLst/>
          </c:spPr>
          <c:invertIfNegative val="0"/>
          <c:cat>
            <c:strRef>
              <c:f>Results!$A$3:$A$5</c:f>
              <c:strCache>
                <c:ptCount val="3"/>
                <c:pt idx="0">
                  <c:v>M</c:v>
                </c:pt>
                <c:pt idx="1">
                  <c:v>C</c:v>
                </c:pt>
                <c:pt idx="2">
                  <c:v>B</c:v>
                </c:pt>
              </c:strCache>
            </c:strRef>
          </c:cat>
          <c:val>
            <c:numRef>
              <c:f>Results!$D$3:$D$5</c:f>
              <c:numCache>
                <c:formatCode>General</c:formatCode>
                <c:ptCount val="3"/>
                <c:pt idx="0">
                  <c:v>0</c:v>
                </c:pt>
                <c:pt idx="1">
                  <c:v>4</c:v>
                </c:pt>
                <c:pt idx="2">
                  <c:v>3</c:v>
                </c:pt>
              </c:numCache>
            </c:numRef>
          </c:val>
          <c:extLst>
            <c:ext xmlns:c16="http://schemas.microsoft.com/office/drawing/2014/chart" uri="{C3380CC4-5D6E-409C-BE32-E72D297353CC}">
              <c16:uniqueId val="{00000001-34F7-42B5-9744-1E25E723422A}"/>
            </c:ext>
          </c:extLst>
        </c:ser>
        <c:ser>
          <c:idx val="3"/>
          <c:order val="3"/>
          <c:tx>
            <c:strRef>
              <c:f>Results!$E$2</c:f>
              <c:strCache>
                <c:ptCount val="1"/>
                <c:pt idx="0">
                  <c:v>S+Y</c:v>
                </c:pt>
              </c:strCache>
            </c:strRef>
          </c:tx>
          <c:spPr>
            <a:solidFill>
              <a:srgbClr val="002060"/>
            </a:solidFill>
            <a:ln>
              <a:noFill/>
            </a:ln>
            <a:effectLst/>
          </c:spPr>
          <c:invertIfNegative val="0"/>
          <c:cat>
            <c:strRef>
              <c:f>Results!$A$3:$A$5</c:f>
              <c:strCache>
                <c:ptCount val="3"/>
                <c:pt idx="0">
                  <c:v>M</c:v>
                </c:pt>
                <c:pt idx="1">
                  <c:v>C</c:v>
                </c:pt>
                <c:pt idx="2">
                  <c:v>B</c:v>
                </c:pt>
              </c:strCache>
            </c:strRef>
          </c:cat>
          <c:val>
            <c:numRef>
              <c:f>Results!$E$3:$E$5</c:f>
              <c:numCache>
                <c:formatCode>General</c:formatCode>
                <c:ptCount val="3"/>
                <c:pt idx="0">
                  <c:v>0</c:v>
                </c:pt>
                <c:pt idx="1">
                  <c:v>1</c:v>
                </c:pt>
                <c:pt idx="2">
                  <c:v>5</c:v>
                </c:pt>
              </c:numCache>
            </c:numRef>
          </c:val>
          <c:extLst>
            <c:ext xmlns:c16="http://schemas.microsoft.com/office/drawing/2014/chart" uri="{C3380CC4-5D6E-409C-BE32-E72D297353CC}">
              <c16:uniqueId val="{00000002-34F7-42B5-9744-1E25E723422A}"/>
            </c:ext>
          </c:extLst>
        </c:ser>
        <c:ser>
          <c:idx val="4"/>
          <c:order val="4"/>
          <c:tx>
            <c:strRef>
              <c:f>Results!$F$2</c:f>
              <c:strCache>
                <c:ptCount val="1"/>
                <c:pt idx="0">
                  <c:v>S+N</c:v>
                </c:pt>
              </c:strCache>
            </c:strRef>
          </c:tx>
          <c:spPr>
            <a:solidFill>
              <a:schemeClr val="accent5"/>
            </a:solidFill>
            <a:ln>
              <a:noFill/>
            </a:ln>
            <a:effectLst/>
          </c:spPr>
          <c:invertIfNegative val="0"/>
          <c:cat>
            <c:strRef>
              <c:f>Results!$A$3:$A$5</c:f>
              <c:strCache>
                <c:ptCount val="3"/>
                <c:pt idx="0">
                  <c:v>M</c:v>
                </c:pt>
                <c:pt idx="1">
                  <c:v>C</c:v>
                </c:pt>
                <c:pt idx="2">
                  <c:v>B</c:v>
                </c:pt>
              </c:strCache>
            </c:strRef>
          </c:cat>
          <c:val>
            <c:numRef>
              <c:f>Results!$F$3:$F$5</c:f>
              <c:numCache>
                <c:formatCode>General</c:formatCode>
                <c:ptCount val="3"/>
                <c:pt idx="0">
                  <c:v>0</c:v>
                </c:pt>
                <c:pt idx="1">
                  <c:v>0</c:v>
                </c:pt>
                <c:pt idx="2">
                  <c:v>2</c:v>
                </c:pt>
              </c:numCache>
            </c:numRef>
          </c:val>
          <c:extLst>
            <c:ext xmlns:c16="http://schemas.microsoft.com/office/drawing/2014/chart" uri="{C3380CC4-5D6E-409C-BE32-E72D297353CC}">
              <c16:uniqueId val="{00000003-34F7-42B5-9744-1E25E723422A}"/>
            </c:ext>
          </c:extLst>
        </c:ser>
        <c:dLbls>
          <c:showLegendKey val="0"/>
          <c:showVal val="0"/>
          <c:showCatName val="0"/>
          <c:showSerName val="0"/>
          <c:showPercent val="0"/>
          <c:showBubbleSize val="0"/>
        </c:dLbls>
        <c:gapWidth val="150"/>
        <c:overlap val="100"/>
        <c:axId val="912768208"/>
        <c:axId val="912773968"/>
        <c:extLst>
          <c:ext xmlns:c15="http://schemas.microsoft.com/office/drawing/2012/chart" uri="{02D57815-91ED-43cb-92C2-25804820EDAC}">
            <c15:filteredBarSeries>
              <c15:ser>
                <c:idx val="0"/>
                <c:order val="0"/>
                <c:tx>
                  <c:strRef>
                    <c:extLst>
                      <c:ext uri="{02D57815-91ED-43cb-92C2-25804820EDAC}">
                        <c15:formulaRef>
                          <c15:sqref>Results!$B$2</c15:sqref>
                        </c15:formulaRef>
                      </c:ext>
                    </c:extLst>
                    <c:strCache>
                      <c:ptCount val="1"/>
                      <c:pt idx="0">
                        <c:v>Tot</c:v>
                      </c:pt>
                    </c:strCache>
                  </c:strRef>
                </c:tx>
                <c:spPr>
                  <a:solidFill>
                    <a:schemeClr val="accent1"/>
                  </a:solidFill>
                  <a:ln>
                    <a:noFill/>
                  </a:ln>
                  <a:effectLst/>
                </c:spPr>
                <c:invertIfNegative val="0"/>
                <c:cat>
                  <c:strRef>
                    <c:extLst>
                      <c:ext uri="{02D57815-91ED-43cb-92C2-25804820EDAC}">
                        <c15:formulaRef>
                          <c15:sqref>Results!$A$3:$A$5</c15:sqref>
                        </c15:formulaRef>
                      </c:ext>
                    </c:extLst>
                    <c:strCache>
                      <c:ptCount val="3"/>
                      <c:pt idx="0">
                        <c:v>M</c:v>
                      </c:pt>
                      <c:pt idx="1">
                        <c:v>C</c:v>
                      </c:pt>
                      <c:pt idx="2">
                        <c:v>B</c:v>
                      </c:pt>
                    </c:strCache>
                  </c:strRef>
                </c:cat>
                <c:val>
                  <c:numRef>
                    <c:extLst>
                      <c:ext uri="{02D57815-91ED-43cb-92C2-25804820EDAC}">
                        <c15:formulaRef>
                          <c15:sqref>Results!$B$3:$B$5</c15:sqref>
                        </c15:formulaRef>
                      </c:ext>
                    </c:extLst>
                    <c:numCache>
                      <c:formatCode>General</c:formatCode>
                      <c:ptCount val="3"/>
                      <c:pt idx="0">
                        <c:v>1</c:v>
                      </c:pt>
                      <c:pt idx="1">
                        <c:v>10</c:v>
                      </c:pt>
                      <c:pt idx="2">
                        <c:v>17</c:v>
                      </c:pt>
                    </c:numCache>
                  </c:numRef>
                </c:val>
                <c:extLst>
                  <c:ext xmlns:c16="http://schemas.microsoft.com/office/drawing/2014/chart" uri="{C3380CC4-5D6E-409C-BE32-E72D297353CC}">
                    <c16:uniqueId val="{00000004-34F7-42B5-9744-1E25E723422A}"/>
                  </c:ext>
                </c:extLst>
              </c15:ser>
            </c15:filteredBarSeries>
          </c:ext>
        </c:extLst>
      </c:barChart>
      <c:catAx>
        <c:axId val="91276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773968"/>
        <c:crosses val="autoZero"/>
        <c:auto val="1"/>
        <c:lblAlgn val="ctr"/>
        <c:lblOffset val="100"/>
        <c:noMultiLvlLbl val="0"/>
      </c:catAx>
      <c:valAx>
        <c:axId val="912773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768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strRef>
              <c:f>Results!$A$33:$A$64</c:f>
              <c:strCache>
                <c:ptCount val="32"/>
                <c:pt idx="0">
                  <c:v>Anni</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strCache>
            </c:strRef>
          </c:cat>
          <c:val>
            <c:numRef>
              <c:f>Results!$D$33:$D$64</c:f>
              <c:numCache>
                <c:formatCode>General</c:formatCode>
                <c:ptCount val="32"/>
                <c:pt idx="0">
                  <c:v>0</c:v>
                </c:pt>
                <c:pt idx="1">
                  <c:v>1</c:v>
                </c:pt>
                <c:pt idx="2">
                  <c:v>1</c:v>
                </c:pt>
                <c:pt idx="3">
                  <c:v>1</c:v>
                </c:pt>
                <c:pt idx="4">
                  <c:v>1</c:v>
                </c:pt>
                <c:pt idx="5">
                  <c:v>2</c:v>
                </c:pt>
                <c:pt idx="6">
                  <c:v>4</c:v>
                </c:pt>
                <c:pt idx="7">
                  <c:v>4</c:v>
                </c:pt>
                <c:pt idx="8">
                  <c:v>4</c:v>
                </c:pt>
                <c:pt idx="9">
                  <c:v>4</c:v>
                </c:pt>
                <c:pt idx="10">
                  <c:v>6</c:v>
                </c:pt>
                <c:pt idx="11">
                  <c:v>8</c:v>
                </c:pt>
                <c:pt idx="12">
                  <c:v>8</c:v>
                </c:pt>
                <c:pt idx="13">
                  <c:v>8</c:v>
                </c:pt>
                <c:pt idx="14">
                  <c:v>10</c:v>
                </c:pt>
                <c:pt idx="15">
                  <c:v>10</c:v>
                </c:pt>
                <c:pt idx="16">
                  <c:v>10</c:v>
                </c:pt>
                <c:pt idx="17">
                  <c:v>11</c:v>
                </c:pt>
                <c:pt idx="18">
                  <c:v>14</c:v>
                </c:pt>
                <c:pt idx="19">
                  <c:v>15</c:v>
                </c:pt>
                <c:pt idx="20">
                  <c:v>18</c:v>
                </c:pt>
                <c:pt idx="21">
                  <c:v>21</c:v>
                </c:pt>
                <c:pt idx="22">
                  <c:v>22</c:v>
                </c:pt>
                <c:pt idx="23">
                  <c:v>25</c:v>
                </c:pt>
                <c:pt idx="24">
                  <c:v>27</c:v>
                </c:pt>
                <c:pt idx="25">
                  <c:v>28</c:v>
                </c:pt>
                <c:pt idx="26">
                  <c:v>28</c:v>
                </c:pt>
                <c:pt idx="27">
                  <c:v>23</c:v>
                </c:pt>
                <c:pt idx="28">
                  <c:v>21</c:v>
                </c:pt>
                <c:pt idx="29">
                  <c:v>15</c:v>
                </c:pt>
                <c:pt idx="30">
                  <c:v>1</c:v>
                </c:pt>
                <c:pt idx="31">
                  <c:v>0</c:v>
                </c:pt>
              </c:numCache>
            </c:numRef>
          </c:val>
          <c:extLst>
            <c:ext xmlns:c16="http://schemas.microsoft.com/office/drawing/2014/chart" uri="{C3380CC4-5D6E-409C-BE32-E72D297353CC}">
              <c16:uniqueId val="{00000000-AB40-4900-A93A-7CF24E800CF9}"/>
            </c:ext>
          </c:extLst>
        </c:ser>
        <c:dLbls>
          <c:showLegendKey val="0"/>
          <c:showVal val="0"/>
          <c:showCatName val="0"/>
          <c:showSerName val="0"/>
          <c:showPercent val="0"/>
          <c:showBubbleSize val="0"/>
        </c:dLbls>
        <c:gapWidth val="219"/>
        <c:overlap val="-27"/>
        <c:axId val="1081003632"/>
        <c:axId val="1081004112"/>
      </c:barChart>
      <c:catAx>
        <c:axId val="108100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081004112"/>
        <c:crosses val="autoZero"/>
        <c:auto val="1"/>
        <c:lblAlgn val="ctr"/>
        <c:lblOffset val="100"/>
        <c:tickLblSkip val="5"/>
        <c:tickMarkSkip val="5"/>
        <c:noMultiLvlLbl val="0"/>
      </c:catAx>
      <c:valAx>
        <c:axId val="1081004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081003632"/>
        <c:crossesAt val="1"/>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3"/>
            <c:invertIfNegative val="0"/>
            <c:bubble3D val="0"/>
            <c:spPr>
              <a:solidFill>
                <a:srgbClr val="7030A0"/>
              </a:solidFill>
              <a:ln>
                <a:noFill/>
              </a:ln>
              <a:effectLst/>
            </c:spPr>
            <c:extLst>
              <c:ext xmlns:c16="http://schemas.microsoft.com/office/drawing/2014/chart" uri="{C3380CC4-5D6E-409C-BE32-E72D297353CC}">
                <c16:uniqueId val="{00000001-2236-44D7-8CC5-CD2956950F33}"/>
              </c:ext>
            </c:extLst>
          </c:dPt>
          <c:dPt>
            <c:idx val="5"/>
            <c:invertIfNegative val="0"/>
            <c:bubble3D val="0"/>
            <c:spPr>
              <a:solidFill>
                <a:srgbClr val="7030A0"/>
              </a:solidFill>
              <a:ln>
                <a:noFill/>
              </a:ln>
              <a:effectLst/>
            </c:spPr>
            <c:extLst>
              <c:ext xmlns:c16="http://schemas.microsoft.com/office/drawing/2014/chart" uri="{C3380CC4-5D6E-409C-BE32-E72D297353CC}">
                <c16:uniqueId val="{00000003-2236-44D7-8CC5-CD2956950F33}"/>
              </c:ext>
            </c:extLst>
          </c:dPt>
          <c:dPt>
            <c:idx val="6"/>
            <c:invertIfNegative val="0"/>
            <c:bubble3D val="0"/>
            <c:spPr>
              <a:solidFill>
                <a:srgbClr val="7030A0"/>
              </a:solidFill>
              <a:ln>
                <a:noFill/>
              </a:ln>
              <a:effectLst/>
            </c:spPr>
            <c:extLst>
              <c:ext xmlns:c16="http://schemas.microsoft.com/office/drawing/2014/chart" uri="{C3380CC4-5D6E-409C-BE32-E72D297353CC}">
                <c16:uniqueId val="{00000005-2236-44D7-8CC5-CD2956950F33}"/>
              </c:ext>
            </c:extLst>
          </c:dPt>
          <c:dPt>
            <c:idx val="7"/>
            <c:invertIfNegative val="0"/>
            <c:bubble3D val="0"/>
            <c:spPr>
              <a:solidFill>
                <a:srgbClr val="7030A0"/>
              </a:solidFill>
              <a:ln>
                <a:noFill/>
              </a:ln>
              <a:effectLst/>
            </c:spPr>
            <c:extLst>
              <c:ext xmlns:c16="http://schemas.microsoft.com/office/drawing/2014/chart" uri="{C3380CC4-5D6E-409C-BE32-E72D297353CC}">
                <c16:uniqueId val="{00000007-2236-44D7-8CC5-CD2956950F33}"/>
              </c:ext>
            </c:extLst>
          </c:dPt>
          <c:dPt>
            <c:idx val="8"/>
            <c:invertIfNegative val="0"/>
            <c:bubble3D val="0"/>
            <c:spPr>
              <a:solidFill>
                <a:srgbClr val="FFC000"/>
              </a:solidFill>
              <a:ln>
                <a:noFill/>
              </a:ln>
              <a:effectLst/>
            </c:spPr>
            <c:extLst>
              <c:ext xmlns:c16="http://schemas.microsoft.com/office/drawing/2014/chart" uri="{C3380CC4-5D6E-409C-BE32-E72D297353CC}">
                <c16:uniqueId val="{00000009-2236-44D7-8CC5-CD2956950F33}"/>
              </c:ext>
            </c:extLst>
          </c:dPt>
          <c:dPt>
            <c:idx val="9"/>
            <c:invertIfNegative val="0"/>
            <c:bubble3D val="0"/>
            <c:spPr>
              <a:solidFill>
                <a:srgbClr val="FFC000"/>
              </a:solidFill>
              <a:ln>
                <a:noFill/>
              </a:ln>
              <a:effectLst/>
            </c:spPr>
            <c:extLst>
              <c:ext xmlns:c16="http://schemas.microsoft.com/office/drawing/2014/chart" uri="{C3380CC4-5D6E-409C-BE32-E72D297353CC}">
                <c16:uniqueId val="{0000000B-2236-44D7-8CC5-CD2956950F33}"/>
              </c:ext>
            </c:extLst>
          </c:dPt>
          <c:dPt>
            <c:idx val="10"/>
            <c:invertIfNegative val="0"/>
            <c:bubble3D val="0"/>
            <c:spPr>
              <a:solidFill>
                <a:srgbClr val="FF0000"/>
              </a:solidFill>
              <a:ln>
                <a:noFill/>
              </a:ln>
              <a:effectLst/>
            </c:spPr>
            <c:extLst>
              <c:ext xmlns:c16="http://schemas.microsoft.com/office/drawing/2014/chart" uri="{C3380CC4-5D6E-409C-BE32-E72D297353CC}">
                <c16:uniqueId val="{0000000D-2236-44D7-8CC5-CD2956950F33}"/>
              </c:ext>
            </c:extLst>
          </c:dPt>
          <c:dPt>
            <c:idx val="11"/>
            <c:invertIfNegative val="0"/>
            <c:bubble3D val="0"/>
            <c:spPr>
              <a:solidFill>
                <a:srgbClr val="FF0000"/>
              </a:solidFill>
              <a:ln>
                <a:noFill/>
              </a:ln>
              <a:effectLst/>
            </c:spPr>
            <c:extLst>
              <c:ext xmlns:c16="http://schemas.microsoft.com/office/drawing/2014/chart" uri="{C3380CC4-5D6E-409C-BE32-E72D297353CC}">
                <c16:uniqueId val="{0000000F-2236-44D7-8CC5-CD2956950F33}"/>
              </c:ext>
            </c:extLst>
          </c:dPt>
          <c:dPt>
            <c:idx val="13"/>
            <c:invertIfNegative val="0"/>
            <c:bubble3D val="0"/>
            <c:spPr>
              <a:solidFill>
                <a:srgbClr val="FF0000"/>
              </a:solidFill>
              <a:ln>
                <a:noFill/>
              </a:ln>
              <a:effectLst/>
            </c:spPr>
            <c:extLst>
              <c:ext xmlns:c16="http://schemas.microsoft.com/office/drawing/2014/chart" uri="{C3380CC4-5D6E-409C-BE32-E72D297353CC}">
                <c16:uniqueId val="{00000011-2236-44D7-8CC5-CD2956950F33}"/>
              </c:ext>
            </c:extLst>
          </c:dPt>
          <c:dPt>
            <c:idx val="14"/>
            <c:invertIfNegative val="0"/>
            <c:bubble3D val="0"/>
            <c:spPr>
              <a:solidFill>
                <a:srgbClr val="92D050"/>
              </a:solidFill>
              <a:ln>
                <a:noFill/>
              </a:ln>
              <a:effectLst/>
            </c:spPr>
            <c:extLst>
              <c:ext xmlns:c16="http://schemas.microsoft.com/office/drawing/2014/chart" uri="{C3380CC4-5D6E-409C-BE32-E72D297353CC}">
                <c16:uniqueId val="{00000013-2236-44D7-8CC5-CD2956950F33}"/>
              </c:ext>
            </c:extLst>
          </c:dPt>
          <c:dLbls>
            <c:spPr>
              <a:noFill/>
              <a:ln>
                <a:noFill/>
              </a:ln>
              <a:effectLst/>
            </c:spPr>
            <c:txPr>
              <a:bodyPr rot="0" spcFirstLastPara="1" vertOverflow="clip" horzOverflow="clip" vert="horz" wrap="square" lIns="36000" tIns="19050" rIns="38100" bIns="19050" anchor="ctr" anchorCtr="1">
                <a:spAutoFit/>
              </a:bodyPr>
              <a:lstStyle/>
              <a:p>
                <a:pPr>
                  <a:defRPr sz="1200" b="0" i="0" u="none" strike="noStrike" kern="1200" baseline="0">
                    <a:ln>
                      <a:noFill/>
                    </a:ln>
                    <a:solidFill>
                      <a:schemeClr val="tx1"/>
                    </a:solidFill>
                    <a:latin typeface="Times New Roman" panose="02020603050405020304" pitchFamily="18" charset="0"/>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Results!$A$69:$P$69</c:f>
              <c:strCache>
                <c:ptCount val="16"/>
                <c:pt idx="0">
                  <c:v>ID.AM</c:v>
                </c:pt>
                <c:pt idx="1">
                  <c:v>ID.RA</c:v>
                </c:pt>
                <c:pt idx="2">
                  <c:v>ID.IM</c:v>
                </c:pt>
                <c:pt idx="3">
                  <c:v>PR.AA</c:v>
                </c:pt>
                <c:pt idx="4">
                  <c:v>PR.AT</c:v>
                </c:pt>
                <c:pt idx="5">
                  <c:v>PR.DS</c:v>
                </c:pt>
                <c:pt idx="6">
                  <c:v>PR.PS</c:v>
                </c:pt>
                <c:pt idx="7">
                  <c:v>PR.IR</c:v>
                </c:pt>
                <c:pt idx="8">
                  <c:v>DE.CM</c:v>
                </c:pt>
                <c:pt idx="9">
                  <c:v>DE.AE</c:v>
                </c:pt>
                <c:pt idx="10">
                  <c:v>RS.MA</c:v>
                </c:pt>
                <c:pt idx="11">
                  <c:v>RS.AN</c:v>
                </c:pt>
                <c:pt idx="12">
                  <c:v>RS.CO</c:v>
                </c:pt>
                <c:pt idx="13">
                  <c:v>RS.MI</c:v>
                </c:pt>
                <c:pt idx="14">
                  <c:v>RC.RP</c:v>
                </c:pt>
                <c:pt idx="15">
                  <c:v>RC.CO</c:v>
                </c:pt>
              </c:strCache>
            </c:strRef>
          </c:cat>
          <c:val>
            <c:numRef>
              <c:f>Results!$A$70:$P$70</c:f>
              <c:numCache>
                <c:formatCode>0.00%</c:formatCode>
                <c:ptCount val="16"/>
                <c:pt idx="0">
                  <c:v>0.42857142857142855</c:v>
                </c:pt>
                <c:pt idx="1">
                  <c:v>0.8928571428571429</c:v>
                </c:pt>
                <c:pt idx="2">
                  <c:v>0</c:v>
                </c:pt>
                <c:pt idx="3">
                  <c:v>0.4642857142857143</c:v>
                </c:pt>
                <c:pt idx="4">
                  <c:v>0</c:v>
                </c:pt>
                <c:pt idx="5">
                  <c:v>0.75</c:v>
                </c:pt>
                <c:pt idx="6">
                  <c:v>0.21428571428571427</c:v>
                </c:pt>
                <c:pt idx="7">
                  <c:v>0.2857142857142857</c:v>
                </c:pt>
                <c:pt idx="8">
                  <c:v>0.9285714285714286</c:v>
                </c:pt>
                <c:pt idx="9">
                  <c:v>0.17857142857142858</c:v>
                </c:pt>
                <c:pt idx="10">
                  <c:v>3.5714285714285712E-2</c:v>
                </c:pt>
                <c:pt idx="11">
                  <c:v>0.5</c:v>
                </c:pt>
                <c:pt idx="12">
                  <c:v>0</c:v>
                </c:pt>
                <c:pt idx="13">
                  <c:v>0.35714285714285715</c:v>
                </c:pt>
                <c:pt idx="14">
                  <c:v>0.10714285714285714</c:v>
                </c:pt>
                <c:pt idx="15">
                  <c:v>0</c:v>
                </c:pt>
              </c:numCache>
            </c:numRef>
          </c:val>
          <c:extLst>
            <c:ext xmlns:c16="http://schemas.microsoft.com/office/drawing/2014/chart" uri="{C3380CC4-5D6E-409C-BE32-E72D297353CC}">
              <c16:uniqueId val="{00000014-2236-44D7-8CC5-CD2956950F33}"/>
            </c:ext>
          </c:extLst>
        </c:ser>
        <c:dLbls>
          <c:dLblPos val="outEnd"/>
          <c:showLegendKey val="0"/>
          <c:showVal val="1"/>
          <c:showCatName val="0"/>
          <c:showSerName val="0"/>
          <c:showPercent val="0"/>
          <c:showBubbleSize val="0"/>
        </c:dLbls>
        <c:gapWidth val="213"/>
        <c:overlap val="100"/>
        <c:axId val="1370334928"/>
        <c:axId val="1370333488"/>
      </c:barChart>
      <c:catAx>
        <c:axId val="1370334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0"/>
          <a:lstStyle/>
          <a:p>
            <a:pPr>
              <a:defRPr sz="1300" b="0" i="0" u="none" strike="noStrike" kern="1200" baseline="0">
                <a:solidFill>
                  <a:schemeClr val="tx1"/>
                </a:solidFill>
                <a:latin typeface="Times New Roman" panose="02020603050405020304" pitchFamily="18" charset="0"/>
                <a:ea typeface="+mn-ea"/>
                <a:cs typeface="+mn-cs"/>
              </a:defRPr>
            </a:pPr>
            <a:endParaRPr lang="it-IT"/>
          </a:p>
        </c:txPr>
        <c:crossAx val="1370333488"/>
        <c:crosses val="autoZero"/>
        <c:auto val="1"/>
        <c:lblAlgn val="ctr"/>
        <c:lblOffset val="100"/>
        <c:noMultiLvlLbl val="0"/>
      </c:catAx>
      <c:valAx>
        <c:axId val="1370333488"/>
        <c:scaling>
          <c:orientation val="minMax"/>
        </c:scaling>
        <c:delete val="1"/>
        <c:axPos val="l"/>
        <c:numFmt formatCode="0.00%" sourceLinked="0"/>
        <c:majorTickMark val="out"/>
        <c:minorTickMark val="none"/>
        <c:tickLblPos val="nextTo"/>
        <c:crossAx val="1370334928"/>
        <c:crosses val="autoZero"/>
        <c:crossBetween val="between"/>
        <c:majorUnit val="0.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Results!$H$97</c:f>
              <c:strCache>
                <c:ptCount val="1"/>
                <c:pt idx="0">
                  <c:v>1</c:v>
                </c:pt>
              </c:strCache>
            </c:strRef>
          </c:tx>
          <c:spPr>
            <a:solidFill>
              <a:schemeClr val="accent1"/>
            </a:solidFill>
            <a:ln>
              <a:noFill/>
            </a:ln>
            <a:effectLst/>
          </c:spPr>
          <c:invertIfNegative val="0"/>
          <c:cat>
            <c:strRef>
              <c:f>Results!$I$96:$M$96</c:f>
              <c:strCache>
                <c:ptCount val="5"/>
                <c:pt idx="0">
                  <c:v>ID</c:v>
                </c:pt>
                <c:pt idx="1">
                  <c:v>PR</c:v>
                </c:pt>
                <c:pt idx="2">
                  <c:v>DE</c:v>
                </c:pt>
                <c:pt idx="3">
                  <c:v>RS</c:v>
                </c:pt>
                <c:pt idx="4">
                  <c:v>RC</c:v>
                </c:pt>
              </c:strCache>
            </c:strRef>
          </c:cat>
          <c:val>
            <c:numRef>
              <c:f>Results!$I$97:$M$97</c:f>
              <c:numCache>
                <c:formatCode>0.00%</c:formatCode>
                <c:ptCount val="5"/>
                <c:pt idx="0">
                  <c:v>0.9642857142857143</c:v>
                </c:pt>
                <c:pt idx="1">
                  <c:v>0.8214285714285714</c:v>
                </c:pt>
                <c:pt idx="2">
                  <c:v>0.9285714285714286</c:v>
                </c:pt>
                <c:pt idx="3">
                  <c:v>0.5357142857142857</c:v>
                </c:pt>
                <c:pt idx="4">
                  <c:v>0.10714285714285714</c:v>
                </c:pt>
              </c:numCache>
            </c:numRef>
          </c:val>
          <c:extLst>
            <c:ext xmlns:c16="http://schemas.microsoft.com/office/drawing/2014/chart" uri="{C3380CC4-5D6E-409C-BE32-E72D297353CC}">
              <c16:uniqueId val="{00000000-FD14-4546-A6C2-5DE3FB37DBE3}"/>
            </c:ext>
          </c:extLst>
        </c:ser>
        <c:ser>
          <c:idx val="1"/>
          <c:order val="1"/>
          <c:tx>
            <c:strRef>
              <c:f>Results!$H$98</c:f>
              <c:strCache>
                <c:ptCount val="1"/>
                <c:pt idx="0">
                  <c:v>2</c:v>
                </c:pt>
              </c:strCache>
            </c:strRef>
          </c:tx>
          <c:spPr>
            <a:solidFill>
              <a:schemeClr val="accent2"/>
            </a:solidFill>
            <a:ln>
              <a:noFill/>
            </a:ln>
            <a:effectLst/>
          </c:spPr>
          <c:invertIfNegative val="0"/>
          <c:cat>
            <c:strRef>
              <c:f>Results!$I$96:$M$96</c:f>
              <c:strCache>
                <c:ptCount val="5"/>
                <c:pt idx="0">
                  <c:v>ID</c:v>
                </c:pt>
                <c:pt idx="1">
                  <c:v>PR</c:v>
                </c:pt>
                <c:pt idx="2">
                  <c:v>DE</c:v>
                </c:pt>
                <c:pt idx="3">
                  <c:v>RS</c:v>
                </c:pt>
                <c:pt idx="4">
                  <c:v>RC</c:v>
                </c:pt>
              </c:strCache>
            </c:strRef>
          </c:cat>
          <c:val>
            <c:numRef>
              <c:f>Results!$I$98:$M$98</c:f>
              <c:numCache>
                <c:formatCode>0.00%</c:formatCode>
                <c:ptCount val="5"/>
                <c:pt idx="0">
                  <c:v>0.35714285714285715</c:v>
                </c:pt>
                <c:pt idx="1">
                  <c:v>0.5714285714285714</c:v>
                </c:pt>
                <c:pt idx="2">
                  <c:v>0.17857142857142858</c:v>
                </c:pt>
                <c:pt idx="3">
                  <c:v>0.32142857142857145</c:v>
                </c:pt>
                <c:pt idx="4">
                  <c:v>0</c:v>
                </c:pt>
              </c:numCache>
            </c:numRef>
          </c:val>
          <c:extLst>
            <c:ext xmlns:c16="http://schemas.microsoft.com/office/drawing/2014/chart" uri="{C3380CC4-5D6E-409C-BE32-E72D297353CC}">
              <c16:uniqueId val="{00000001-FD14-4546-A6C2-5DE3FB37DBE3}"/>
            </c:ext>
          </c:extLst>
        </c:ser>
        <c:ser>
          <c:idx val="2"/>
          <c:order val="2"/>
          <c:tx>
            <c:strRef>
              <c:f>Results!$H$99</c:f>
              <c:strCache>
                <c:ptCount val="1"/>
                <c:pt idx="0">
                  <c:v>3</c:v>
                </c:pt>
              </c:strCache>
            </c:strRef>
          </c:tx>
          <c:spPr>
            <a:solidFill>
              <a:schemeClr val="accent3"/>
            </a:solidFill>
            <a:ln>
              <a:noFill/>
            </a:ln>
            <a:effectLst/>
          </c:spPr>
          <c:invertIfNegative val="0"/>
          <c:cat>
            <c:strRef>
              <c:f>Results!$I$96:$M$96</c:f>
              <c:strCache>
                <c:ptCount val="5"/>
                <c:pt idx="0">
                  <c:v>ID</c:v>
                </c:pt>
                <c:pt idx="1">
                  <c:v>PR</c:v>
                </c:pt>
                <c:pt idx="2">
                  <c:v>DE</c:v>
                </c:pt>
                <c:pt idx="3">
                  <c:v>RS</c:v>
                </c:pt>
                <c:pt idx="4">
                  <c:v>RC</c:v>
                </c:pt>
              </c:strCache>
            </c:strRef>
          </c:cat>
          <c:val>
            <c:numRef>
              <c:f>Results!$I$99:$M$99</c:f>
              <c:numCache>
                <c:formatCode>0.00%</c:formatCode>
                <c:ptCount val="5"/>
                <c:pt idx="0">
                  <c:v>0</c:v>
                </c:pt>
                <c:pt idx="1">
                  <c:v>0.21428571428571427</c:v>
                </c:pt>
                <c:pt idx="3">
                  <c:v>3.5714285714285712E-2</c:v>
                </c:pt>
              </c:numCache>
            </c:numRef>
          </c:val>
          <c:extLst>
            <c:ext xmlns:c16="http://schemas.microsoft.com/office/drawing/2014/chart" uri="{C3380CC4-5D6E-409C-BE32-E72D297353CC}">
              <c16:uniqueId val="{00000002-FD14-4546-A6C2-5DE3FB37DBE3}"/>
            </c:ext>
          </c:extLst>
        </c:ser>
        <c:ser>
          <c:idx val="3"/>
          <c:order val="3"/>
          <c:tx>
            <c:strRef>
              <c:f>Results!$H$100</c:f>
              <c:strCache>
                <c:ptCount val="1"/>
                <c:pt idx="0">
                  <c:v>4</c:v>
                </c:pt>
              </c:strCache>
            </c:strRef>
          </c:tx>
          <c:spPr>
            <a:solidFill>
              <a:schemeClr val="accent4"/>
            </a:solidFill>
            <a:ln>
              <a:noFill/>
            </a:ln>
            <a:effectLst/>
          </c:spPr>
          <c:invertIfNegative val="0"/>
          <c:cat>
            <c:strRef>
              <c:f>Results!$I$96:$M$96</c:f>
              <c:strCache>
                <c:ptCount val="5"/>
                <c:pt idx="0">
                  <c:v>ID</c:v>
                </c:pt>
                <c:pt idx="1">
                  <c:v>PR</c:v>
                </c:pt>
                <c:pt idx="2">
                  <c:v>DE</c:v>
                </c:pt>
                <c:pt idx="3">
                  <c:v>RS</c:v>
                </c:pt>
                <c:pt idx="4">
                  <c:v>RC</c:v>
                </c:pt>
              </c:strCache>
            </c:strRef>
          </c:cat>
          <c:val>
            <c:numRef>
              <c:f>Results!$I$100:$M$100</c:f>
              <c:numCache>
                <c:formatCode>0.00%</c:formatCode>
                <c:ptCount val="5"/>
                <c:pt idx="1">
                  <c:v>0.10714285714285714</c:v>
                </c:pt>
                <c:pt idx="3">
                  <c:v>0</c:v>
                </c:pt>
              </c:numCache>
            </c:numRef>
          </c:val>
          <c:extLst>
            <c:ext xmlns:c16="http://schemas.microsoft.com/office/drawing/2014/chart" uri="{C3380CC4-5D6E-409C-BE32-E72D297353CC}">
              <c16:uniqueId val="{00000003-FD14-4546-A6C2-5DE3FB37DBE3}"/>
            </c:ext>
          </c:extLst>
        </c:ser>
        <c:ser>
          <c:idx val="4"/>
          <c:order val="4"/>
          <c:tx>
            <c:strRef>
              <c:f>Results!$H$101</c:f>
              <c:strCache>
                <c:ptCount val="1"/>
                <c:pt idx="0">
                  <c:v>5</c:v>
                </c:pt>
              </c:strCache>
            </c:strRef>
          </c:tx>
          <c:spPr>
            <a:solidFill>
              <a:schemeClr val="accent5"/>
            </a:solidFill>
            <a:ln>
              <a:noFill/>
            </a:ln>
            <a:effectLst/>
          </c:spPr>
          <c:invertIfNegative val="0"/>
          <c:cat>
            <c:strRef>
              <c:f>Results!$I$96:$M$96</c:f>
              <c:strCache>
                <c:ptCount val="5"/>
                <c:pt idx="0">
                  <c:v>ID</c:v>
                </c:pt>
                <c:pt idx="1">
                  <c:v>PR</c:v>
                </c:pt>
                <c:pt idx="2">
                  <c:v>DE</c:v>
                </c:pt>
                <c:pt idx="3">
                  <c:v>RS</c:v>
                </c:pt>
                <c:pt idx="4">
                  <c:v>RC</c:v>
                </c:pt>
              </c:strCache>
            </c:strRef>
          </c:cat>
          <c:val>
            <c:numRef>
              <c:f>Results!$I$101:$M$101</c:f>
              <c:numCache>
                <c:formatCode>0.00%</c:formatCode>
                <c:ptCount val="5"/>
                <c:pt idx="1">
                  <c:v>0</c:v>
                </c:pt>
              </c:numCache>
            </c:numRef>
          </c:val>
          <c:extLst>
            <c:ext xmlns:c16="http://schemas.microsoft.com/office/drawing/2014/chart" uri="{C3380CC4-5D6E-409C-BE32-E72D297353CC}">
              <c16:uniqueId val="{00000004-FD14-4546-A6C2-5DE3FB37DBE3}"/>
            </c:ext>
          </c:extLst>
        </c:ser>
        <c:dLbls>
          <c:showLegendKey val="0"/>
          <c:showVal val="0"/>
          <c:showCatName val="0"/>
          <c:showSerName val="0"/>
          <c:showPercent val="0"/>
          <c:showBubbleSize val="0"/>
        </c:dLbls>
        <c:gapWidth val="182"/>
        <c:axId val="1593311840"/>
        <c:axId val="1593313280"/>
      </c:barChart>
      <c:catAx>
        <c:axId val="1593311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593313280"/>
        <c:crosses val="autoZero"/>
        <c:auto val="1"/>
        <c:lblAlgn val="ctr"/>
        <c:lblOffset val="100"/>
        <c:noMultiLvlLbl val="0"/>
      </c:catAx>
      <c:valAx>
        <c:axId val="159331328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593311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dPt>
            <c:idx val="3"/>
            <c:invertIfNegative val="0"/>
            <c:bubble3D val="0"/>
            <c:spPr>
              <a:solidFill>
                <a:srgbClr val="7030A0"/>
              </a:solidFill>
              <a:ln>
                <a:noFill/>
              </a:ln>
              <a:effectLst/>
              <a:sp3d/>
            </c:spPr>
            <c:extLst>
              <c:ext xmlns:c16="http://schemas.microsoft.com/office/drawing/2014/chart" uri="{C3380CC4-5D6E-409C-BE32-E72D297353CC}">
                <c16:uniqueId val="{00000001-78BF-466A-849A-1686460718DC}"/>
              </c:ext>
            </c:extLst>
          </c:dPt>
          <c:dPt>
            <c:idx val="4"/>
            <c:invertIfNegative val="0"/>
            <c:bubble3D val="0"/>
            <c:spPr>
              <a:solidFill>
                <a:srgbClr val="7030A0"/>
              </a:solidFill>
              <a:ln>
                <a:noFill/>
              </a:ln>
              <a:effectLst/>
              <a:sp3d/>
            </c:spPr>
            <c:extLst>
              <c:ext xmlns:c16="http://schemas.microsoft.com/office/drawing/2014/chart" uri="{C3380CC4-5D6E-409C-BE32-E72D297353CC}">
                <c16:uniqueId val="{00000003-78BF-466A-849A-1686460718DC}"/>
              </c:ext>
            </c:extLst>
          </c:dPt>
          <c:dPt>
            <c:idx val="5"/>
            <c:invertIfNegative val="0"/>
            <c:bubble3D val="0"/>
            <c:spPr>
              <a:solidFill>
                <a:srgbClr val="7030A0"/>
              </a:solidFill>
              <a:ln>
                <a:noFill/>
              </a:ln>
              <a:effectLst/>
              <a:sp3d/>
            </c:spPr>
            <c:extLst>
              <c:ext xmlns:c16="http://schemas.microsoft.com/office/drawing/2014/chart" uri="{C3380CC4-5D6E-409C-BE32-E72D297353CC}">
                <c16:uniqueId val="{00000005-78BF-466A-849A-1686460718DC}"/>
              </c:ext>
            </c:extLst>
          </c:dPt>
          <c:dPt>
            <c:idx val="6"/>
            <c:invertIfNegative val="0"/>
            <c:bubble3D val="0"/>
            <c:spPr>
              <a:solidFill>
                <a:srgbClr val="7030A0"/>
              </a:solidFill>
              <a:ln>
                <a:noFill/>
              </a:ln>
              <a:effectLst/>
              <a:sp3d/>
            </c:spPr>
            <c:extLst>
              <c:ext xmlns:c16="http://schemas.microsoft.com/office/drawing/2014/chart" uri="{C3380CC4-5D6E-409C-BE32-E72D297353CC}">
                <c16:uniqueId val="{00000007-78BF-466A-849A-1686460718DC}"/>
              </c:ext>
            </c:extLst>
          </c:dPt>
          <c:dPt>
            <c:idx val="7"/>
            <c:invertIfNegative val="0"/>
            <c:bubble3D val="0"/>
            <c:spPr>
              <a:solidFill>
                <a:srgbClr val="7030A0"/>
              </a:solidFill>
              <a:ln>
                <a:noFill/>
              </a:ln>
              <a:effectLst/>
              <a:sp3d/>
            </c:spPr>
            <c:extLst>
              <c:ext xmlns:c16="http://schemas.microsoft.com/office/drawing/2014/chart" uri="{C3380CC4-5D6E-409C-BE32-E72D297353CC}">
                <c16:uniqueId val="{00000009-78BF-466A-849A-1686460718DC}"/>
              </c:ext>
            </c:extLst>
          </c:dPt>
          <c:dPt>
            <c:idx val="8"/>
            <c:invertIfNegative val="0"/>
            <c:bubble3D val="0"/>
            <c:spPr>
              <a:solidFill>
                <a:schemeClr val="accent6"/>
              </a:solidFill>
              <a:ln>
                <a:noFill/>
              </a:ln>
              <a:effectLst/>
              <a:sp3d/>
            </c:spPr>
            <c:extLst>
              <c:ext xmlns:c16="http://schemas.microsoft.com/office/drawing/2014/chart" uri="{C3380CC4-5D6E-409C-BE32-E72D297353CC}">
                <c16:uniqueId val="{0000000B-78BF-466A-849A-1686460718DC}"/>
              </c:ext>
            </c:extLst>
          </c:dPt>
          <c:dPt>
            <c:idx val="9"/>
            <c:invertIfNegative val="0"/>
            <c:bubble3D val="0"/>
            <c:spPr>
              <a:solidFill>
                <a:schemeClr val="accent6"/>
              </a:solidFill>
              <a:ln>
                <a:noFill/>
              </a:ln>
              <a:effectLst/>
              <a:sp3d/>
            </c:spPr>
            <c:extLst>
              <c:ext xmlns:c16="http://schemas.microsoft.com/office/drawing/2014/chart" uri="{C3380CC4-5D6E-409C-BE32-E72D297353CC}">
                <c16:uniqueId val="{0000000D-78BF-466A-849A-1686460718DC}"/>
              </c:ext>
            </c:extLst>
          </c:dPt>
          <c:dPt>
            <c:idx val="10"/>
            <c:invertIfNegative val="0"/>
            <c:bubble3D val="0"/>
            <c:spPr>
              <a:solidFill>
                <a:srgbClr val="FF0000"/>
              </a:solidFill>
              <a:ln>
                <a:noFill/>
              </a:ln>
              <a:effectLst/>
              <a:sp3d/>
            </c:spPr>
            <c:extLst>
              <c:ext xmlns:c16="http://schemas.microsoft.com/office/drawing/2014/chart" uri="{C3380CC4-5D6E-409C-BE32-E72D297353CC}">
                <c16:uniqueId val="{0000000F-78BF-466A-849A-1686460718DC}"/>
              </c:ext>
            </c:extLst>
          </c:dPt>
          <c:dPt>
            <c:idx val="11"/>
            <c:invertIfNegative val="0"/>
            <c:bubble3D val="0"/>
            <c:spPr>
              <a:solidFill>
                <a:srgbClr val="FF0000"/>
              </a:solidFill>
              <a:ln>
                <a:noFill/>
              </a:ln>
              <a:effectLst/>
              <a:sp3d/>
            </c:spPr>
            <c:extLst>
              <c:ext xmlns:c16="http://schemas.microsoft.com/office/drawing/2014/chart" uri="{C3380CC4-5D6E-409C-BE32-E72D297353CC}">
                <c16:uniqueId val="{00000011-78BF-466A-849A-1686460718DC}"/>
              </c:ext>
            </c:extLst>
          </c:dPt>
          <c:dPt>
            <c:idx val="12"/>
            <c:invertIfNegative val="0"/>
            <c:bubble3D val="0"/>
            <c:spPr>
              <a:solidFill>
                <a:srgbClr val="FF0000"/>
              </a:solidFill>
              <a:ln>
                <a:noFill/>
              </a:ln>
              <a:effectLst/>
              <a:sp3d/>
            </c:spPr>
            <c:extLst>
              <c:ext xmlns:c16="http://schemas.microsoft.com/office/drawing/2014/chart" uri="{C3380CC4-5D6E-409C-BE32-E72D297353CC}">
                <c16:uniqueId val="{00000013-78BF-466A-849A-1686460718DC}"/>
              </c:ext>
            </c:extLst>
          </c:dPt>
          <c:dPt>
            <c:idx val="13"/>
            <c:invertIfNegative val="0"/>
            <c:bubble3D val="0"/>
            <c:spPr>
              <a:solidFill>
                <a:srgbClr val="FF0000"/>
              </a:solidFill>
              <a:ln>
                <a:noFill/>
              </a:ln>
              <a:effectLst/>
              <a:sp3d/>
            </c:spPr>
            <c:extLst>
              <c:ext xmlns:c16="http://schemas.microsoft.com/office/drawing/2014/chart" uri="{C3380CC4-5D6E-409C-BE32-E72D297353CC}">
                <c16:uniqueId val="{00000015-78BF-466A-849A-1686460718DC}"/>
              </c:ext>
            </c:extLst>
          </c:dPt>
          <c:dPt>
            <c:idx val="14"/>
            <c:invertIfNegative val="0"/>
            <c:bubble3D val="0"/>
            <c:spPr>
              <a:solidFill>
                <a:srgbClr val="92D050"/>
              </a:solidFill>
              <a:ln>
                <a:noFill/>
              </a:ln>
              <a:effectLst/>
              <a:sp3d/>
            </c:spPr>
            <c:extLst>
              <c:ext xmlns:c16="http://schemas.microsoft.com/office/drawing/2014/chart" uri="{C3380CC4-5D6E-409C-BE32-E72D297353CC}">
                <c16:uniqueId val="{00000017-78BF-466A-849A-1686460718DC}"/>
              </c:ext>
            </c:extLst>
          </c:dPt>
          <c:dPt>
            <c:idx val="15"/>
            <c:invertIfNegative val="0"/>
            <c:bubble3D val="0"/>
            <c:spPr>
              <a:solidFill>
                <a:srgbClr val="92D050"/>
              </a:solidFill>
              <a:ln>
                <a:noFill/>
              </a:ln>
              <a:effectLst/>
              <a:sp3d/>
            </c:spPr>
            <c:extLst>
              <c:ext xmlns:c16="http://schemas.microsoft.com/office/drawing/2014/chart" uri="{C3380CC4-5D6E-409C-BE32-E72D297353CC}">
                <c16:uniqueId val="{00000019-78BF-466A-849A-1686460718DC}"/>
              </c:ext>
            </c:extLst>
          </c:dPt>
          <c:dLbls>
            <c:dLbl>
              <c:idx val="1"/>
              <c:layout>
                <c:manualLayout>
                  <c:x val="8.3333333333333332E-3"/>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78BF-466A-849A-1686460718DC}"/>
                </c:ext>
              </c:extLst>
            </c:dLbl>
            <c:dLbl>
              <c:idx val="4"/>
              <c:layout>
                <c:manualLayout>
                  <c:x val="1.6666666666666666E-2"/>
                  <c:y val="-4.62962962962967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8BF-466A-849A-1686460718DC}"/>
                </c:ext>
              </c:extLst>
            </c:dLbl>
            <c:dLbl>
              <c:idx val="5"/>
              <c:layout>
                <c:manualLayout>
                  <c:x val="1.388888888888883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8BF-466A-849A-1686460718DC}"/>
                </c:ext>
              </c:extLst>
            </c:dLbl>
            <c:dLbl>
              <c:idx val="6"/>
              <c:layout>
                <c:manualLayout>
                  <c:x val="1.1111111111111112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8BF-466A-849A-1686460718DC}"/>
                </c:ext>
              </c:extLst>
            </c:dLbl>
            <c:dLbl>
              <c:idx val="9"/>
              <c:layout>
                <c:manualLayout>
                  <c:x val="1.3888888888888888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8BF-466A-849A-1686460718DC}"/>
                </c:ext>
              </c:extLst>
            </c:dLbl>
            <c:dLbl>
              <c:idx val="10"/>
              <c:layout>
                <c:manualLayout>
                  <c:x val="1.666666666666656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8BF-466A-849A-1686460718DC}"/>
                </c:ext>
              </c:extLst>
            </c:dLbl>
            <c:dLbl>
              <c:idx val="11"/>
              <c:layout>
                <c:manualLayout>
                  <c:x val="1.111111111111100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8BF-466A-849A-1686460718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Results!$A$92:$P$92</c:f>
              <c:strCache>
                <c:ptCount val="16"/>
                <c:pt idx="0">
                  <c:v>ID_1</c:v>
                </c:pt>
                <c:pt idx="1">
                  <c:v>ID_2</c:v>
                </c:pt>
                <c:pt idx="2">
                  <c:v>ID_3</c:v>
                </c:pt>
                <c:pt idx="3">
                  <c:v>PR_1</c:v>
                </c:pt>
                <c:pt idx="4">
                  <c:v>PR_2</c:v>
                </c:pt>
                <c:pt idx="5">
                  <c:v>PR_3</c:v>
                </c:pt>
                <c:pt idx="6">
                  <c:v>PR_4</c:v>
                </c:pt>
                <c:pt idx="7">
                  <c:v>PR_5</c:v>
                </c:pt>
                <c:pt idx="8">
                  <c:v>DE_1</c:v>
                </c:pt>
                <c:pt idx="9">
                  <c:v>DE_2</c:v>
                </c:pt>
                <c:pt idx="10">
                  <c:v>RS_1</c:v>
                </c:pt>
                <c:pt idx="11">
                  <c:v>RS_2</c:v>
                </c:pt>
                <c:pt idx="12">
                  <c:v>RS_3</c:v>
                </c:pt>
                <c:pt idx="13">
                  <c:v>RS_4</c:v>
                </c:pt>
                <c:pt idx="14">
                  <c:v>RC_1</c:v>
                </c:pt>
                <c:pt idx="15">
                  <c:v>RC_2</c:v>
                </c:pt>
              </c:strCache>
            </c:strRef>
          </c:cat>
          <c:val>
            <c:numRef>
              <c:f>Results!$A$93:$P$93</c:f>
              <c:numCache>
                <c:formatCode>0.00%</c:formatCode>
                <c:ptCount val="16"/>
                <c:pt idx="0">
                  <c:v>0.9642857142857143</c:v>
                </c:pt>
                <c:pt idx="1">
                  <c:v>0.35714285714285715</c:v>
                </c:pt>
                <c:pt idx="2">
                  <c:v>0</c:v>
                </c:pt>
                <c:pt idx="3">
                  <c:v>0.8214285714285714</c:v>
                </c:pt>
                <c:pt idx="4">
                  <c:v>0.5714285714285714</c:v>
                </c:pt>
                <c:pt idx="5">
                  <c:v>0.21428571428571427</c:v>
                </c:pt>
                <c:pt idx="6">
                  <c:v>0.10714285714285714</c:v>
                </c:pt>
                <c:pt idx="7">
                  <c:v>0</c:v>
                </c:pt>
                <c:pt idx="8">
                  <c:v>0.9285714285714286</c:v>
                </c:pt>
                <c:pt idx="9">
                  <c:v>0.17857142857142858</c:v>
                </c:pt>
                <c:pt idx="10">
                  <c:v>0.5357142857142857</c:v>
                </c:pt>
                <c:pt idx="11">
                  <c:v>0.32142857142857145</c:v>
                </c:pt>
                <c:pt idx="12">
                  <c:v>3.5714285714285712E-2</c:v>
                </c:pt>
                <c:pt idx="13">
                  <c:v>0</c:v>
                </c:pt>
                <c:pt idx="14">
                  <c:v>0.10714285714285714</c:v>
                </c:pt>
                <c:pt idx="15">
                  <c:v>0</c:v>
                </c:pt>
              </c:numCache>
            </c:numRef>
          </c:val>
          <c:extLst>
            <c:ext xmlns:c16="http://schemas.microsoft.com/office/drawing/2014/chart" uri="{C3380CC4-5D6E-409C-BE32-E72D297353CC}">
              <c16:uniqueId val="{0000001B-78BF-466A-849A-1686460718DC}"/>
            </c:ext>
          </c:extLst>
        </c:ser>
        <c:dLbls>
          <c:showLegendKey val="0"/>
          <c:showVal val="1"/>
          <c:showCatName val="0"/>
          <c:showSerName val="0"/>
          <c:showPercent val="0"/>
          <c:showBubbleSize val="0"/>
        </c:dLbls>
        <c:gapWidth val="150"/>
        <c:shape val="box"/>
        <c:axId val="1474107152"/>
        <c:axId val="1474109072"/>
        <c:axId val="0"/>
      </c:bar3DChart>
      <c:catAx>
        <c:axId val="1474107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474109072"/>
        <c:crosses val="autoZero"/>
        <c:auto val="1"/>
        <c:lblAlgn val="ctr"/>
        <c:lblOffset val="100"/>
        <c:noMultiLvlLbl val="0"/>
      </c:catAx>
      <c:valAx>
        <c:axId val="14741090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474107152"/>
        <c:crosses val="autoZero"/>
        <c:crossBetween val="between"/>
        <c:majorUnit val="0.2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158523</xdr:rowOff>
    </xdr:from>
    <xdr:to>
      <xdr:col>7</xdr:col>
      <xdr:colOff>266700</xdr:colOff>
      <xdr:row>28</xdr:row>
      <xdr:rowOff>57830</xdr:rowOff>
    </xdr:to>
    <xdr:graphicFrame macro="">
      <xdr:nvGraphicFramePr>
        <xdr:cNvPr id="2" name="Grafico 1">
          <a:extLst>
            <a:ext uri="{FF2B5EF4-FFF2-40B4-BE49-F238E27FC236}">
              <a16:creationId xmlns:a16="http://schemas.microsoft.com/office/drawing/2014/main" id="{F4A014BE-2C0A-4636-B480-4F23E58697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402772</xdr:colOff>
      <xdr:row>40</xdr:row>
      <xdr:rowOff>72343</xdr:rowOff>
    </xdr:from>
    <xdr:to>
      <xdr:col>11</xdr:col>
      <xdr:colOff>310243</xdr:colOff>
      <xdr:row>59</xdr:row>
      <xdr:rowOff>51706</xdr:rowOff>
    </xdr:to>
    <xdr:graphicFrame macro="">
      <xdr:nvGraphicFramePr>
        <xdr:cNvPr id="3" name="Grafico 2">
          <a:extLst>
            <a:ext uri="{FF2B5EF4-FFF2-40B4-BE49-F238E27FC236}">
              <a16:creationId xmlns:a16="http://schemas.microsoft.com/office/drawing/2014/main" id="{CD32CD61-7658-452D-97ED-C16446DDD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98425</xdr:colOff>
      <xdr:row>71</xdr:row>
      <xdr:rowOff>88900</xdr:rowOff>
    </xdr:from>
    <xdr:to>
      <xdr:col>13</xdr:col>
      <xdr:colOff>533400</xdr:colOff>
      <xdr:row>86</xdr:row>
      <xdr:rowOff>63500</xdr:rowOff>
    </xdr:to>
    <xdr:graphicFrame macro="">
      <xdr:nvGraphicFramePr>
        <xdr:cNvPr id="4" name="Grafico 3">
          <a:extLst>
            <a:ext uri="{FF2B5EF4-FFF2-40B4-BE49-F238E27FC236}">
              <a16:creationId xmlns:a16="http://schemas.microsoft.com/office/drawing/2014/main" id="{29A80B1F-60D8-43AE-87CB-DB4BF78281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34925</xdr:colOff>
      <xdr:row>101</xdr:row>
      <xdr:rowOff>156935</xdr:rowOff>
    </xdr:from>
    <xdr:to>
      <xdr:col>7</xdr:col>
      <xdr:colOff>339725</xdr:colOff>
      <xdr:row>116</xdr:row>
      <xdr:rowOff>131535</xdr:rowOff>
    </xdr:to>
    <xdr:graphicFrame macro="">
      <xdr:nvGraphicFramePr>
        <xdr:cNvPr id="5" name="Grafico 4">
          <a:extLst>
            <a:ext uri="{FF2B5EF4-FFF2-40B4-BE49-F238E27FC236}">
              <a16:creationId xmlns:a16="http://schemas.microsoft.com/office/drawing/2014/main" id="{2813BD6A-6216-4687-A92A-D4717D1D95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571500</xdr:colOff>
      <xdr:row>102</xdr:row>
      <xdr:rowOff>96735</xdr:rowOff>
    </xdr:from>
    <xdr:to>
      <xdr:col>13</xdr:col>
      <xdr:colOff>225877</xdr:colOff>
      <xdr:row>117</xdr:row>
      <xdr:rowOff>88653</xdr:rowOff>
    </xdr:to>
    <xdr:graphicFrame macro="">
      <xdr:nvGraphicFramePr>
        <xdr:cNvPr id="6" name="Grafico 5">
          <a:extLst>
            <a:ext uri="{FF2B5EF4-FFF2-40B4-BE49-F238E27FC236}">
              <a16:creationId xmlns:a16="http://schemas.microsoft.com/office/drawing/2014/main" id="{459E07CA-550E-4A71-B040-BAD4D447FA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uniroma1it.sharepoint.com/sites/PhD-AndreaM/Shared%20Documents/General/Research%20Project/CyberResilience_VS_AAM/PRISMA/PRISMA_19_05.xlsx" TargetMode="External"/><Relationship Id="rId1" Type="http://schemas.openxmlformats.org/officeDocument/2006/relationships/externalLinkPath" Target="https://uniroma1it.sharepoint.com/sites/PhD-AndreaM/Shared%20Documents/General/Research%20Project/CyberResilience_VS_AAM/PRISMA/PRISMA_19_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tle_Abs"/>
      <sheetName val="Scores"/>
      <sheetName val="Cluster_Score1"/>
      <sheetName val="Cluster_Score2"/>
      <sheetName val="Cluster_Score3"/>
      <sheetName val="Cluster_Score3_NIST"/>
      <sheetName val="Cyber_Threat_Taxonomy"/>
      <sheetName val="Robustness_Taxonomy"/>
      <sheetName val="Scopus_Export"/>
      <sheetName val="RESULTS_GRAPH"/>
    </sheetNames>
    <sheetDataSet>
      <sheetData sheetId="0"/>
      <sheetData sheetId="1"/>
      <sheetData sheetId="2"/>
      <sheetData sheetId="3"/>
      <sheetData sheetId="4"/>
      <sheetData sheetId="5">
        <row r="1">
          <cell r="E1" t="str">
            <v>Review or Survery</v>
          </cell>
          <cell r="F1" t="str">
            <v>Civil / Military / Both</v>
          </cell>
          <cell r="AV1" t="str">
            <v>Attack (real or simulated) scenarios</v>
          </cell>
        </row>
        <row r="2">
          <cell r="E2" t="str">
            <v>R</v>
          </cell>
          <cell r="F2" t="str">
            <v>M</v>
          </cell>
          <cell r="H2" t="str">
            <v>2014-2023</v>
          </cell>
          <cell r="AV2" t="str">
            <v>Y</v>
          </cell>
        </row>
        <row r="3">
          <cell r="E3" t="str">
            <v>R</v>
          </cell>
          <cell r="F3" t="str">
            <v>B</v>
          </cell>
          <cell r="H3" t="str">
            <v>2018-2023</v>
          </cell>
          <cell r="AV3" t="str">
            <v>Y</v>
          </cell>
        </row>
        <row r="4">
          <cell r="E4" t="str">
            <v>R</v>
          </cell>
          <cell r="F4" t="str">
            <v>C</v>
          </cell>
          <cell r="H4" t="str">
            <v>2017-2024</v>
          </cell>
          <cell r="AV4" t="str">
            <v>N</v>
          </cell>
        </row>
        <row r="5">
          <cell r="E5" t="str">
            <v>R</v>
          </cell>
          <cell r="F5" t="str">
            <v>C</v>
          </cell>
          <cell r="H5" t="str">
            <v>2012-2023</v>
          </cell>
          <cell r="AV5" t="str">
            <v>Y</v>
          </cell>
        </row>
        <row r="6">
          <cell r="E6" t="str">
            <v>R</v>
          </cell>
          <cell r="F6" t="str">
            <v>B</v>
          </cell>
          <cell r="H6" t="str">
            <v>2018-2023</v>
          </cell>
          <cell r="AV6" t="str">
            <v>N</v>
          </cell>
        </row>
        <row r="7">
          <cell r="E7" t="str">
            <v>R</v>
          </cell>
          <cell r="F7" t="str">
            <v>B</v>
          </cell>
          <cell r="H7" t="str">
            <v>2014-2023</v>
          </cell>
          <cell r="AV7" t="str">
            <v>Y</v>
          </cell>
        </row>
        <row r="8">
          <cell r="E8" t="str">
            <v>S</v>
          </cell>
          <cell r="F8" t="str">
            <v>B</v>
          </cell>
          <cell r="H8" t="str">
            <v>2008-2023</v>
          </cell>
          <cell r="AV8" t="str">
            <v>N</v>
          </cell>
        </row>
        <row r="9">
          <cell r="E9" t="str">
            <v>R</v>
          </cell>
          <cell r="F9" t="str">
            <v>C</v>
          </cell>
          <cell r="H9" t="str">
            <v>2012-2022</v>
          </cell>
          <cell r="AV9" t="str">
            <v>N</v>
          </cell>
        </row>
        <row r="10">
          <cell r="E10" t="str">
            <v>S</v>
          </cell>
          <cell r="F10" t="str">
            <v>B</v>
          </cell>
          <cell r="H10" t="str">
            <v>2016-2023</v>
          </cell>
          <cell r="AV10" t="str">
            <v>Y</v>
          </cell>
        </row>
        <row r="11">
          <cell r="E11" t="str">
            <v>R</v>
          </cell>
          <cell r="F11" t="str">
            <v>C</v>
          </cell>
          <cell r="H11" t="str">
            <v>2015-2023</v>
          </cell>
          <cell r="AV11" t="str">
            <v>Y</v>
          </cell>
        </row>
        <row r="12">
          <cell r="E12" t="str">
            <v>R</v>
          </cell>
          <cell r="F12" t="str">
            <v>C</v>
          </cell>
          <cell r="H12" t="str">
            <v>2012-2022</v>
          </cell>
          <cell r="AV12" t="str">
            <v>Y</v>
          </cell>
        </row>
        <row r="13">
          <cell r="E13" t="str">
            <v>R</v>
          </cell>
          <cell r="F13" t="str">
            <v>C</v>
          </cell>
          <cell r="H13" t="str">
            <v>2000-2023</v>
          </cell>
          <cell r="AV13" t="str">
            <v>N</v>
          </cell>
        </row>
        <row r="14">
          <cell r="E14" t="str">
            <v>S</v>
          </cell>
          <cell r="F14" t="str">
            <v>B</v>
          </cell>
          <cell r="H14" t="str">
            <v>2017-2022</v>
          </cell>
          <cell r="AV14" t="str">
            <v>Y</v>
          </cell>
        </row>
        <row r="15">
          <cell r="E15" t="str">
            <v>S</v>
          </cell>
          <cell r="F15" t="str">
            <v>B</v>
          </cell>
          <cell r="H15" t="str">
            <v>2013-2023</v>
          </cell>
          <cell r="AV15" t="str">
            <v>N</v>
          </cell>
        </row>
        <row r="16">
          <cell r="E16" t="str">
            <v>R</v>
          </cell>
          <cell r="F16" t="str">
            <v>B</v>
          </cell>
          <cell r="H16" t="str">
            <v>2014-2023</v>
          </cell>
          <cell r="AV16" t="str">
            <v>N</v>
          </cell>
        </row>
        <row r="17">
          <cell r="E17" t="str">
            <v>S</v>
          </cell>
          <cell r="F17" t="str">
            <v>B</v>
          </cell>
          <cell r="H17" t="str">
            <v>1999-2023</v>
          </cell>
          <cell r="AV17" t="str">
            <v>Y</v>
          </cell>
        </row>
        <row r="18">
          <cell r="E18" t="str">
            <v>R</v>
          </cell>
          <cell r="F18" t="str">
            <v>B</v>
          </cell>
          <cell r="H18" t="str">
            <v>2005-2022</v>
          </cell>
          <cell r="AV18" t="str">
            <v>Y</v>
          </cell>
        </row>
        <row r="19">
          <cell r="E19" t="str">
            <v>R</v>
          </cell>
          <cell r="F19" t="str">
            <v>C</v>
          </cell>
          <cell r="H19" t="str">
            <v>2015-2023</v>
          </cell>
          <cell r="AV19" t="str">
            <v>Y</v>
          </cell>
        </row>
        <row r="20">
          <cell r="E20" t="str">
            <v>R</v>
          </cell>
          <cell r="F20" t="str">
            <v>C</v>
          </cell>
          <cell r="H20" t="str">
            <v>2011-2020</v>
          </cell>
          <cell r="AV20" t="str">
            <v>N</v>
          </cell>
        </row>
        <row r="21">
          <cell r="E21" t="str">
            <v>R</v>
          </cell>
          <cell r="F21" t="str">
            <v>B</v>
          </cell>
          <cell r="H21" t="str">
            <v>2008-2023</v>
          </cell>
          <cell r="AV21" t="str">
            <v>Y</v>
          </cell>
        </row>
        <row r="22">
          <cell r="E22" t="str">
            <v>R</v>
          </cell>
          <cell r="F22" t="str">
            <v>B</v>
          </cell>
          <cell r="H22" t="str">
            <v>2017-2022</v>
          </cell>
          <cell r="AV22" t="str">
            <v>Y</v>
          </cell>
        </row>
        <row r="23">
          <cell r="E23" t="str">
            <v>S</v>
          </cell>
          <cell r="F23" t="str">
            <v>B</v>
          </cell>
          <cell r="H23" t="str">
            <v>2004-2022</v>
          </cell>
          <cell r="AV23" t="str">
            <v>Y</v>
          </cell>
        </row>
        <row r="24">
          <cell r="E24" t="str">
            <v>R</v>
          </cell>
          <cell r="F24" t="str">
            <v>B</v>
          </cell>
          <cell r="H24" t="str">
            <v>2019-2021</v>
          </cell>
          <cell r="AV24" t="str">
            <v>N</v>
          </cell>
        </row>
        <row r="25">
          <cell r="E25" t="str">
            <v>R</v>
          </cell>
          <cell r="F25" t="str">
            <v>B</v>
          </cell>
          <cell r="H25" t="str">
            <v>2004-2021</v>
          </cell>
          <cell r="AV25" t="str">
            <v>Y</v>
          </cell>
        </row>
        <row r="26">
          <cell r="E26" t="str">
            <v>R</v>
          </cell>
          <cell r="F26" t="str">
            <v>C</v>
          </cell>
          <cell r="H26" t="str">
            <v>2015-2020</v>
          </cell>
          <cell r="AV26" t="str">
            <v>Y</v>
          </cell>
        </row>
        <row r="27">
          <cell r="E27" t="str">
            <v>R</v>
          </cell>
          <cell r="F27" t="str">
            <v>B</v>
          </cell>
          <cell r="H27" t="str">
            <v>2000-2020</v>
          </cell>
          <cell r="AV27" t="str">
            <v>Y</v>
          </cell>
        </row>
        <row r="28">
          <cell r="E28" t="str">
            <v>S</v>
          </cell>
          <cell r="F28" t="str">
            <v>B</v>
          </cell>
          <cell r="H28" t="str">
            <v>1995-2020</v>
          </cell>
          <cell r="AV28" t="str">
            <v>Y</v>
          </cell>
        </row>
        <row r="29">
          <cell r="E29" t="str">
            <v>S</v>
          </cell>
          <cell r="F29" t="str">
            <v>C</v>
          </cell>
          <cell r="H29" t="str">
            <v>2005-2020</v>
          </cell>
          <cell r="AV29" t="str">
            <v>Y</v>
          </cell>
        </row>
      </sheetData>
      <sheetData sheetId="6">
        <row r="2">
          <cell r="A2" t="str">
            <v>Communication Attacks</v>
          </cell>
        </row>
        <row r="3">
          <cell r="A3" t="str">
            <v>Hybrid or Multi-vector Attacks</v>
          </cell>
        </row>
        <row r="4">
          <cell r="A4" t="str">
            <v>Malware &amp; Exploits</v>
          </cell>
        </row>
        <row r="5">
          <cell r="A5" t="str">
            <v>Authentication &amp; Access Control Attacks</v>
          </cell>
        </row>
        <row r="6">
          <cell r="A6" t="str">
            <v>Hybrid or Multi-vector Attacks</v>
          </cell>
        </row>
        <row r="7">
          <cell r="A7" t="str">
            <v>Network-based Attacks</v>
          </cell>
        </row>
        <row r="8">
          <cell r="A8" t="str">
            <v>Authentication &amp; Access Control Attacks</v>
          </cell>
        </row>
        <row r="9">
          <cell r="A9" t="str">
            <v>Hybrid or Multi-vector Attacks</v>
          </cell>
        </row>
        <row r="10">
          <cell r="A10" t="str">
            <v>Data Security &amp; Privacy Attacks</v>
          </cell>
        </row>
        <row r="11">
          <cell r="A11" t="str">
            <v>Software &amp; Firmware Vulnerabilities</v>
          </cell>
        </row>
        <row r="12">
          <cell r="A12" t="str">
            <v>Communication Attacks</v>
          </cell>
        </row>
        <row r="13">
          <cell r="A13" t="str">
            <v>Hybrid or Multi-vector Attacks</v>
          </cell>
        </row>
        <row r="14">
          <cell r="A14" t="str">
            <v>Communication Attacks</v>
          </cell>
        </row>
        <row r="15">
          <cell r="A15" t="str">
            <v>Communication Attacks</v>
          </cell>
        </row>
        <row r="16">
          <cell r="A16" t="str">
            <v>Miscellanea</v>
          </cell>
        </row>
        <row r="17">
          <cell r="A17" t="str">
            <v>Authentication &amp; Access Control Attacks</v>
          </cell>
        </row>
        <row r="18">
          <cell r="A18" t="str">
            <v>Physical Attacks</v>
          </cell>
        </row>
        <row r="19">
          <cell r="A19" t="str">
            <v>Hybrid or Multi-vector Attacks</v>
          </cell>
        </row>
        <row r="20">
          <cell r="A20" t="str">
            <v>Data Security &amp; Privacy Attacks</v>
          </cell>
        </row>
        <row r="21">
          <cell r="A21" t="str">
            <v>Authentication &amp; Access Control Attacks</v>
          </cell>
        </row>
        <row r="22">
          <cell r="A22" t="str">
            <v>Malware &amp; Exploits</v>
          </cell>
        </row>
        <row r="23">
          <cell r="A23" t="str">
            <v>Data Security &amp; Privacy Attacks</v>
          </cell>
        </row>
        <row r="24">
          <cell r="A24" t="str">
            <v>Data Security &amp; Privacy Attacks</v>
          </cell>
        </row>
        <row r="25">
          <cell r="A25" t="str">
            <v>Physical Attacks</v>
          </cell>
        </row>
        <row r="26">
          <cell r="A26" t="str">
            <v>Network-based Attacks</v>
          </cell>
        </row>
        <row r="27">
          <cell r="A27" t="str">
            <v>Data Security &amp; Privacy Attacks</v>
          </cell>
        </row>
        <row r="28">
          <cell r="A28" t="str">
            <v>Miscellanea</v>
          </cell>
        </row>
        <row r="29">
          <cell r="A29" t="str">
            <v>Software &amp; Firmware Vulnerabilities</v>
          </cell>
        </row>
        <row r="30">
          <cell r="A30" t="str">
            <v>Communication Attacks</v>
          </cell>
        </row>
        <row r="31">
          <cell r="A31" t="str">
            <v>Communication Attacks</v>
          </cell>
        </row>
        <row r="32">
          <cell r="A32" t="str">
            <v>Malware &amp; Exploits</v>
          </cell>
        </row>
        <row r="33">
          <cell r="A33" t="str">
            <v>Software &amp; Firmware Vulnerabilities</v>
          </cell>
        </row>
        <row r="34">
          <cell r="A34" t="str">
            <v>Authentication &amp; Access Control Attacks</v>
          </cell>
        </row>
        <row r="35">
          <cell r="A35" t="str">
            <v>Miscellanea</v>
          </cell>
        </row>
        <row r="36">
          <cell r="A36" t="str">
            <v>Hybrid or Multi-vector Attacks</v>
          </cell>
        </row>
        <row r="37">
          <cell r="A37" t="str">
            <v>Malware &amp; Exploits</v>
          </cell>
        </row>
        <row r="38">
          <cell r="A38" t="str">
            <v>Malware &amp; Exploits</v>
          </cell>
        </row>
        <row r="39">
          <cell r="A39" t="str">
            <v>Malware &amp; Exploits</v>
          </cell>
        </row>
        <row r="40">
          <cell r="A40" t="str">
            <v>Network-based Attacks</v>
          </cell>
        </row>
        <row r="41">
          <cell r="A41" t="str">
            <v>Communication Attacks</v>
          </cell>
        </row>
        <row r="42">
          <cell r="A42" t="str">
            <v>Communication Attacks</v>
          </cell>
        </row>
        <row r="43">
          <cell r="A43" t="str">
            <v>Hybrid or Multi-vector Attacks</v>
          </cell>
        </row>
        <row r="44">
          <cell r="A44" t="str">
            <v>Communication Attacks</v>
          </cell>
        </row>
        <row r="45">
          <cell r="A45" t="str">
            <v>Hybrid or Multi-vector Attacks</v>
          </cell>
        </row>
        <row r="46">
          <cell r="A46" t="str">
            <v>Malware &amp; Exploits</v>
          </cell>
        </row>
        <row r="47">
          <cell r="A47" t="str">
            <v>Communication Attacks</v>
          </cell>
        </row>
        <row r="48">
          <cell r="A48" t="str">
            <v>Physical Attacks</v>
          </cell>
        </row>
        <row r="49">
          <cell r="A49" t="str">
            <v>Authentication &amp; Access Control Attacks</v>
          </cell>
        </row>
        <row r="50">
          <cell r="A50" t="str">
            <v>Network-based Attacks</v>
          </cell>
        </row>
        <row r="51">
          <cell r="A51" t="str">
            <v>Authentication &amp; Access Control Attacks</v>
          </cell>
        </row>
        <row r="52">
          <cell r="A52" t="str">
            <v>Hybrid or Multi-vector Attacks</v>
          </cell>
        </row>
        <row r="53">
          <cell r="A53" t="str">
            <v>Communication Attacks</v>
          </cell>
        </row>
        <row r="54">
          <cell r="A54" t="str">
            <v>Network-based Attacks</v>
          </cell>
        </row>
        <row r="55">
          <cell r="A55" t="str">
            <v>Network-based Attacks</v>
          </cell>
        </row>
        <row r="56">
          <cell r="A56" t="str">
            <v>Malware &amp; Exploits</v>
          </cell>
        </row>
        <row r="57">
          <cell r="A57" t="str">
            <v>Physical Attacks</v>
          </cell>
        </row>
        <row r="58">
          <cell r="A58" t="str">
            <v>Communication Attacks</v>
          </cell>
        </row>
        <row r="59">
          <cell r="A59" t="str">
            <v>Network-based Attacks</v>
          </cell>
        </row>
        <row r="60">
          <cell r="A60" t="str">
            <v>Communication Attacks</v>
          </cell>
        </row>
        <row r="61">
          <cell r="A61" t="str">
            <v>Malware &amp; Exploits</v>
          </cell>
        </row>
        <row r="62">
          <cell r="A62" t="str">
            <v>Malware &amp; Exploits</v>
          </cell>
        </row>
        <row r="63">
          <cell r="A63" t="str">
            <v>Malware &amp; Exploits</v>
          </cell>
        </row>
        <row r="64">
          <cell r="A64" t="str">
            <v>Authentication &amp; Access Control Attacks</v>
          </cell>
        </row>
        <row r="65">
          <cell r="A65" t="str">
            <v>Miscellanea</v>
          </cell>
        </row>
        <row r="66">
          <cell r="A66" t="str">
            <v>Data Security &amp; Privacy Attacks</v>
          </cell>
        </row>
        <row r="67">
          <cell r="A67" t="str">
            <v>Miscellanea</v>
          </cell>
        </row>
        <row r="68">
          <cell r="A68" t="str">
            <v>Network-based Attacks</v>
          </cell>
        </row>
        <row r="69">
          <cell r="A69" t="str">
            <v>Network-based Attacks</v>
          </cell>
        </row>
        <row r="70">
          <cell r="A70" t="str">
            <v>Software &amp; Firmware Vulnerabilities</v>
          </cell>
        </row>
      </sheetData>
      <sheetData sheetId="7"/>
      <sheetData sheetId="8"/>
      <sheetData sheetId="9">
        <row r="1">
          <cell r="B1" t="str">
            <v>Tot</v>
          </cell>
          <cell r="C1" t="str">
            <v>R+Y</v>
          </cell>
          <cell r="D1" t="str">
            <v>R+N</v>
          </cell>
          <cell r="E1" t="str">
            <v>S+Y</v>
          </cell>
          <cell r="F1" t="str">
            <v>S+N</v>
          </cell>
        </row>
        <row r="2">
          <cell r="A2" t="str">
            <v>M</v>
          </cell>
          <cell r="B2">
            <v>1</v>
          </cell>
          <cell r="C2">
            <v>1</v>
          </cell>
          <cell r="D2">
            <v>0</v>
          </cell>
          <cell r="E2">
            <v>0</v>
          </cell>
          <cell r="F2">
            <v>0</v>
          </cell>
          <cell r="Q2">
            <v>1995</v>
          </cell>
          <cell r="T2">
            <v>1</v>
          </cell>
          <cell r="X2" t="str">
            <v>ID.AM</v>
          </cell>
          <cell r="Y2" t="str">
            <v>ID.RA</v>
          </cell>
          <cell r="Z2" t="str">
            <v>ID.IM</v>
          </cell>
          <cell r="AA2" t="str">
            <v>PR.AA</v>
          </cell>
          <cell r="AB2" t="str">
            <v>PR.AT</v>
          </cell>
          <cell r="AC2" t="str">
            <v>PR.DS</v>
          </cell>
          <cell r="AD2" t="str">
            <v>PR.PS</v>
          </cell>
          <cell r="AE2" t="str">
            <v>PR.IR</v>
          </cell>
          <cell r="AF2" t="str">
            <v>DE.CM</v>
          </cell>
          <cell r="AG2" t="str">
            <v>DE.AE</v>
          </cell>
          <cell r="AH2" t="str">
            <v>RS.MA</v>
          </cell>
          <cell r="AI2" t="str">
            <v>RS.AN</v>
          </cell>
          <cell r="AJ2" t="str">
            <v>RS.CO</v>
          </cell>
          <cell r="AK2" t="str">
            <v>RS.MI</v>
          </cell>
          <cell r="AL2" t="str">
            <v>RC.RP</v>
          </cell>
          <cell r="AM2" t="str">
            <v>RC.CO</v>
          </cell>
          <cell r="AQ2" t="str">
            <v>ID_1</v>
          </cell>
          <cell r="AR2" t="str">
            <v>ID_2</v>
          </cell>
          <cell r="AS2" t="str">
            <v>ID_3</v>
          </cell>
          <cell r="AT2" t="str">
            <v>PR_1</v>
          </cell>
          <cell r="AU2" t="str">
            <v>PR_2</v>
          </cell>
          <cell r="AV2" t="str">
            <v>PR_3</v>
          </cell>
          <cell r="AW2" t="str">
            <v>PR_4</v>
          </cell>
          <cell r="AX2" t="str">
            <v>PR_5</v>
          </cell>
          <cell r="AY2" t="str">
            <v>DE_1</v>
          </cell>
          <cell r="AZ2" t="str">
            <v>DE_2</v>
          </cell>
          <cell r="BA2" t="str">
            <v>RS_1</v>
          </cell>
          <cell r="BB2" t="str">
            <v>RS_2</v>
          </cell>
          <cell r="BC2" t="str">
            <v>RS_3</v>
          </cell>
          <cell r="BD2" t="str">
            <v>RS_4</v>
          </cell>
          <cell r="BE2" t="str">
            <v>RC_1</v>
          </cell>
          <cell r="BF2" t="str">
            <v>RC_2</v>
          </cell>
        </row>
        <row r="3">
          <cell r="A3" t="str">
            <v>C</v>
          </cell>
          <cell r="B3">
            <v>10</v>
          </cell>
          <cell r="C3">
            <v>5</v>
          </cell>
          <cell r="D3">
            <v>4</v>
          </cell>
          <cell r="E3">
            <v>1</v>
          </cell>
          <cell r="F3">
            <v>0</v>
          </cell>
          <cell r="Q3">
            <v>1996</v>
          </cell>
          <cell r="T3">
            <v>1</v>
          </cell>
          <cell r="X3">
            <v>0.42857142857142855</v>
          </cell>
          <cell r="Y3">
            <v>0.8928571428571429</v>
          </cell>
          <cell r="Z3">
            <v>0</v>
          </cell>
          <cell r="AA3">
            <v>0.4642857142857143</v>
          </cell>
          <cell r="AB3">
            <v>0</v>
          </cell>
          <cell r="AC3">
            <v>0.75</v>
          </cell>
          <cell r="AD3">
            <v>0.21428571428571427</v>
          </cell>
          <cell r="AE3">
            <v>0.2857142857142857</v>
          </cell>
          <cell r="AF3">
            <v>0.9285714285714286</v>
          </cell>
          <cell r="AG3">
            <v>0.17857142857142858</v>
          </cell>
          <cell r="AH3">
            <v>3.5714285714285712E-2</v>
          </cell>
          <cell r="AI3">
            <v>0.5</v>
          </cell>
          <cell r="AJ3">
            <v>0</v>
          </cell>
          <cell r="AK3">
            <v>0.35714285714285715</v>
          </cell>
          <cell r="AL3">
            <v>0.10714285714285714</v>
          </cell>
          <cell r="AM3">
            <v>0</v>
          </cell>
          <cell r="AQ3">
            <v>0.9642857142857143</v>
          </cell>
          <cell r="AR3">
            <v>0.35714285714285715</v>
          </cell>
          <cell r="AS3">
            <v>0</v>
          </cell>
          <cell r="AT3">
            <v>0.8214285714285714</v>
          </cell>
          <cell r="AU3">
            <v>0.5714285714285714</v>
          </cell>
          <cell r="AV3">
            <v>0.21428571428571427</v>
          </cell>
          <cell r="AW3">
            <v>0.10714285714285714</v>
          </cell>
          <cell r="AX3">
            <v>0</v>
          </cell>
          <cell r="AY3">
            <v>0.9285714285714286</v>
          </cell>
          <cell r="AZ3">
            <v>0.17857142857142858</v>
          </cell>
          <cell r="BA3">
            <v>0.5357142857142857</v>
          </cell>
          <cell r="BB3">
            <v>0.32142857142857145</v>
          </cell>
          <cell r="BC3">
            <v>3.5714285714285712E-2</v>
          </cell>
          <cell r="BD3">
            <v>0</v>
          </cell>
          <cell r="BE3">
            <v>0.10714285714285714</v>
          </cell>
          <cell r="BF3">
            <v>0</v>
          </cell>
        </row>
        <row r="4">
          <cell r="A4" t="str">
            <v>B</v>
          </cell>
          <cell r="B4">
            <v>17</v>
          </cell>
          <cell r="C4">
            <v>7</v>
          </cell>
          <cell r="D4">
            <v>3</v>
          </cell>
          <cell r="E4">
            <v>5</v>
          </cell>
          <cell r="F4">
            <v>2</v>
          </cell>
          <cell r="Q4">
            <v>1997</v>
          </cell>
          <cell r="T4">
            <v>1</v>
          </cell>
        </row>
        <row r="5">
          <cell r="Q5">
            <v>1998</v>
          </cell>
          <cell r="T5">
            <v>1</v>
          </cell>
        </row>
        <row r="6">
          <cell r="Q6">
            <v>1999</v>
          </cell>
          <cell r="T6">
            <v>2</v>
          </cell>
          <cell r="AY6" t="str">
            <v>ID</v>
          </cell>
          <cell r="AZ6" t="str">
            <v>PR</v>
          </cell>
          <cell r="BA6" t="str">
            <v>DE</v>
          </cell>
          <cell r="BB6" t="str">
            <v>RS</v>
          </cell>
          <cell r="BC6" t="str">
            <v>RC</v>
          </cell>
        </row>
        <row r="7">
          <cell r="Q7">
            <v>2000</v>
          </cell>
          <cell r="T7">
            <v>4</v>
          </cell>
          <cell r="AX7">
            <v>1</v>
          </cell>
          <cell r="AY7">
            <v>0.9642857142857143</v>
          </cell>
          <cell r="AZ7">
            <v>0.8214285714285714</v>
          </cell>
          <cell r="BA7">
            <v>0.9285714285714286</v>
          </cell>
          <cell r="BB7">
            <v>0.5357142857142857</v>
          </cell>
          <cell r="BC7">
            <v>0.10714285714285714</v>
          </cell>
        </row>
        <row r="8">
          <cell r="Q8">
            <v>2001</v>
          </cell>
          <cell r="T8">
            <v>4</v>
          </cell>
          <cell r="AX8">
            <v>2</v>
          </cell>
          <cell r="AY8">
            <v>0.35714285714285715</v>
          </cell>
          <cell r="AZ8">
            <v>0.5714285714285714</v>
          </cell>
          <cell r="BA8">
            <v>0.17857142857142858</v>
          </cell>
          <cell r="BB8">
            <v>0.32142857142857145</v>
          </cell>
          <cell r="BC8">
            <v>0</v>
          </cell>
        </row>
        <row r="9">
          <cell r="Q9">
            <v>2002</v>
          </cell>
          <cell r="T9">
            <v>4</v>
          </cell>
          <cell r="AX9">
            <v>3</v>
          </cell>
          <cell r="AY9">
            <v>0</v>
          </cell>
          <cell r="AZ9">
            <v>0.21428571428571427</v>
          </cell>
          <cell r="BB9">
            <v>3.5714285714285712E-2</v>
          </cell>
        </row>
        <row r="10">
          <cell r="Q10">
            <v>2003</v>
          </cell>
          <cell r="T10">
            <v>4</v>
          </cell>
          <cell r="AX10">
            <v>4</v>
          </cell>
          <cell r="AZ10">
            <v>0.10714285714285714</v>
          </cell>
          <cell r="BB10">
            <v>0</v>
          </cell>
        </row>
        <row r="11">
          <cell r="Q11">
            <v>2004</v>
          </cell>
          <cell r="T11">
            <v>6</v>
          </cell>
          <cell r="AX11">
            <v>5</v>
          </cell>
          <cell r="AZ11">
            <v>0</v>
          </cell>
        </row>
        <row r="12">
          <cell r="Q12">
            <v>2005</v>
          </cell>
          <cell r="T12">
            <v>8</v>
          </cell>
        </row>
        <row r="13">
          <cell r="Q13">
            <v>2006</v>
          </cell>
          <cell r="T13">
            <v>8</v>
          </cell>
        </row>
        <row r="14">
          <cell r="Q14">
            <v>2007</v>
          </cell>
          <cell r="T14">
            <v>8</v>
          </cell>
        </row>
        <row r="15">
          <cell r="Q15">
            <v>2008</v>
          </cell>
          <cell r="T15">
            <v>10</v>
          </cell>
        </row>
        <row r="16">
          <cell r="Q16">
            <v>2009</v>
          </cell>
          <cell r="T16">
            <v>10</v>
          </cell>
        </row>
        <row r="17">
          <cell r="Q17">
            <v>2010</v>
          </cell>
          <cell r="T17">
            <v>10</v>
          </cell>
        </row>
        <row r="18">
          <cell r="Q18">
            <v>2011</v>
          </cell>
          <cell r="T18">
            <v>11</v>
          </cell>
        </row>
        <row r="19">
          <cell r="Q19">
            <v>2012</v>
          </cell>
          <cell r="T19">
            <v>14</v>
          </cell>
        </row>
        <row r="20">
          <cell r="Q20">
            <v>2013</v>
          </cell>
          <cell r="T20">
            <v>15</v>
          </cell>
        </row>
        <row r="21">
          <cell r="Q21">
            <v>2014</v>
          </cell>
          <cell r="T21">
            <v>18</v>
          </cell>
        </row>
        <row r="22">
          <cell r="Q22">
            <v>2015</v>
          </cell>
          <cell r="T22">
            <v>21</v>
          </cell>
        </row>
        <row r="23">
          <cell r="Q23">
            <v>2016</v>
          </cell>
          <cell r="T23">
            <v>22</v>
          </cell>
        </row>
        <row r="24">
          <cell r="Q24">
            <v>2017</v>
          </cell>
          <cell r="T24">
            <v>25</v>
          </cell>
        </row>
        <row r="25">
          <cell r="Q25">
            <v>2018</v>
          </cell>
          <cell r="T25">
            <v>27</v>
          </cell>
        </row>
        <row r="26">
          <cell r="Q26">
            <v>2019</v>
          </cell>
          <cell r="T26">
            <v>28</v>
          </cell>
        </row>
        <row r="27">
          <cell r="Q27">
            <v>2020</v>
          </cell>
          <cell r="T27">
            <v>28</v>
          </cell>
        </row>
        <row r="28">
          <cell r="Q28">
            <v>2021</v>
          </cell>
          <cell r="T28">
            <v>23</v>
          </cell>
        </row>
        <row r="29">
          <cell r="Q29">
            <v>2022</v>
          </cell>
          <cell r="T29">
            <v>21</v>
          </cell>
        </row>
        <row r="30">
          <cell r="Q30">
            <v>2023</v>
          </cell>
          <cell r="T30">
            <v>15</v>
          </cell>
        </row>
        <row r="31">
          <cell r="Q31">
            <v>2024</v>
          </cell>
          <cell r="T31">
            <v>1</v>
          </cell>
        </row>
        <row r="32">
          <cell r="Q32">
            <v>2025</v>
          </cell>
          <cell r="T32">
            <v>0</v>
          </cell>
        </row>
      </sheetData>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7" xr16:uid="{E29AC62A-058E-48E4-B98C-6A09237C4054}" autoFormatId="16" applyNumberFormats="0" applyBorderFormats="0" applyFontFormats="0" applyPatternFormats="0" applyAlignmentFormats="0" applyWidthHeightFormats="0">
  <queryTableRefresh nextId="18">
    <queryTableFields count="17">
      <queryTableField id="1" name="Authors" tableColumnId="1"/>
      <queryTableField id="2" name="Author full names" tableColumnId="2"/>
      <queryTableField id="3" name="Author(s) ID" tableColumnId="3"/>
      <queryTableField id="4" name="Title" tableColumnId="4"/>
      <queryTableField id="5" name="Year" tableColumnId="5"/>
      <queryTableField id="6" name="Source title" tableColumnId="6"/>
      <queryTableField id="7" name="Volume" tableColumnId="7"/>
      <queryTableField id="8" name="Issue" tableColumnId="8"/>
      <queryTableField id="9" name="Art. No." tableColumnId="9"/>
      <queryTableField id="10" name="Page start" tableColumnId="10"/>
      <queryTableField id="11" name="Page end" tableColumnId="11"/>
      <queryTableField id="12" name="Page count" tableColumnId="12"/>
      <queryTableField id="13" name="DOI" tableColumnId="13"/>
      <queryTableField id="14" name="Link" tableColumnId="14"/>
      <queryTableField id="15" name="Abstract" tableColumnId="15"/>
      <queryTableField id="16" name="Author Keywords" tableColumnId="16"/>
      <queryTableField id="17" name="EID"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C1921E-BD8A-42F3-A4AD-12D0F7414134}" name="scopus__2" displayName="scopus__2" ref="A1:Q764" tableType="queryTable" totalsRowShown="0">
  <autoFilter ref="A1:Q764" xr:uid="{48C1921E-BD8A-42F3-A4AD-12D0F7414134}"/>
  <tableColumns count="17">
    <tableColumn id="1" xr3:uid="{25BE764D-3872-43B2-9B9B-6C984423426C}" uniqueName="1" name="Authors" queryTableFieldId="1" dataDxfId="12"/>
    <tableColumn id="2" xr3:uid="{C3BF8DC4-4E8C-4B1D-BCCF-8CD3AD70B03C}" uniqueName="2" name="Author full names" queryTableFieldId="2" dataDxfId="11"/>
    <tableColumn id="3" xr3:uid="{7207A16B-8B6A-4EA9-8F05-D5D032CB3380}" uniqueName="3" name="Author(s) ID" queryTableFieldId="3" dataDxfId="10"/>
    <tableColumn id="4" xr3:uid="{CD9A1006-0B2C-4BAD-9EF4-C95C8A2A5207}" uniqueName="4" name="Title" queryTableFieldId="4" dataDxfId="9"/>
    <tableColumn id="5" xr3:uid="{FC83B02E-B377-4D95-8C2F-1D91BDB49C2B}" uniqueName="5" name="Year" queryTableFieldId="5"/>
    <tableColumn id="6" xr3:uid="{01D46E87-C571-4D33-B267-4CC8041A9C4F}" uniqueName="6" name="Source title" queryTableFieldId="6" dataDxfId="8"/>
    <tableColumn id="7" xr3:uid="{9EAFE645-3158-4054-BADD-F8DEC3EE3583}" uniqueName="7" name="Volume" queryTableFieldId="7" dataDxfId="7"/>
    <tableColumn id="8" xr3:uid="{77B3BAAC-E7DA-45F4-81B5-DDD06DD9CECA}" uniqueName="8" name="Issue" queryTableFieldId="8" dataDxfId="6"/>
    <tableColumn id="9" xr3:uid="{8DDB878A-565D-440B-B882-125CFC36CD1E}" uniqueName="9" name="Art. No." queryTableFieldId="9" dataDxfId="5"/>
    <tableColumn id="10" xr3:uid="{0B73D3DD-19C0-4ABA-8BEA-3E741542C93E}" uniqueName="10" name="Page start" queryTableFieldId="10"/>
    <tableColumn id="11" xr3:uid="{D32E74F2-669C-4E4C-84F4-2DAEC04B861A}" uniqueName="11" name="Page end" queryTableFieldId="11"/>
    <tableColumn id="12" xr3:uid="{6F2E924C-B695-484C-ABD1-62A799B7F634}" uniqueName="12" name="Page count" queryTableFieldId="12"/>
    <tableColumn id="13" xr3:uid="{2BA19307-CF71-42EC-AC25-75D5364DC9F4}" uniqueName="13" name="DOI" queryTableFieldId="13" dataDxfId="4"/>
    <tableColumn id="14" xr3:uid="{BF1CF1DB-4BE0-46BF-B74C-0A72C581775B}" uniqueName="14" name="Link" queryTableFieldId="14" dataDxfId="3"/>
    <tableColumn id="15" xr3:uid="{2324E44C-728C-451B-96D7-284B5EC48945}" uniqueName="15" name="Abstract" queryTableFieldId="15" dataDxfId="2"/>
    <tableColumn id="16" xr3:uid="{D522ADEB-B273-498D-9AA7-C84A452E5B57}" uniqueName="16" name="Author Keywords" queryTableFieldId="16" dataDxfId="1"/>
    <tableColumn id="17" xr3:uid="{4952E47D-BD19-4508-B397-426172BA951E}" uniqueName="17" name="EID" queryTableFieldId="17" dataDxfId="0"/>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17" Type="http://schemas.openxmlformats.org/officeDocument/2006/relationships/hyperlink" Target="https://www.scopus.com/inward/record.uri?eid=2-s2.0-85186771602&amp;doi=10.1109%2fSAMI60510.2024.10432859&amp;partnerID=40&amp;md5=f7da34a64326cd6e3f94716c5fa7e0e3" TargetMode="External"/><Relationship Id="rId671" Type="http://schemas.openxmlformats.org/officeDocument/2006/relationships/hyperlink" Target="https://www.scopus.com/inward/record.uri?eid=2-s2.0-85084164090&amp;partnerID=40&amp;md5=5a5394fd9bffe9924680546f5b81cda8" TargetMode="External"/><Relationship Id="rId21" Type="http://schemas.openxmlformats.org/officeDocument/2006/relationships/hyperlink" Target="https://www.scopus.com/inward/record.uri?eid=2-s2.0-85193254114&amp;doi=10.1007%2fs12198-024-00280-w&amp;partnerID=40&amp;md5=760c51441934acfdeefd202f86a6ca51" TargetMode="External"/><Relationship Id="rId324" Type="http://schemas.openxmlformats.org/officeDocument/2006/relationships/hyperlink" Target="https://www.scopus.com/inward/record.uri?eid=2-s2.0-85134878464&amp;doi=10.23919%2fAT-AP-RASC54737.2022.9814244&amp;partnerID=40&amp;md5=1b8b140ba37fda54c696e73ddf02b572" TargetMode="External"/><Relationship Id="rId531" Type="http://schemas.openxmlformats.org/officeDocument/2006/relationships/hyperlink" Target="https://www.scopus.com/inward/record.uri?eid=2-s2.0-85084752920&amp;doi=10.1109%2fDASC43569.2019.9081710&amp;partnerID=40&amp;md5=c6c06ff86da32a2d8725c8d0651e6289" TargetMode="External"/><Relationship Id="rId629" Type="http://schemas.openxmlformats.org/officeDocument/2006/relationships/hyperlink" Target="https://www.scopus.com/inward/record.uri?eid=2-s2.0-85064748596&amp;doi=10.1109%2fGWS.2018.8686727&amp;partnerID=40&amp;md5=f53c16a57a338a01a358cb37a671bd9a" TargetMode="External"/><Relationship Id="rId170" Type="http://schemas.openxmlformats.org/officeDocument/2006/relationships/hyperlink" Target="https://www.scopus.com/inward/record.uri?eid=2-s2.0-85172299515&amp;doi=10.3390%2fdrones7090555&amp;partnerID=40&amp;md5=f8875adbff02c26212f64b70d28c73c3" TargetMode="External"/><Relationship Id="rId268" Type="http://schemas.openxmlformats.org/officeDocument/2006/relationships/hyperlink" Target="https://www.scopus.com/inward/record.uri?eid=2-s2.0-85151065089&amp;doi=10.1007%2f978-3-031-19309-5_36&amp;partnerID=40&amp;md5=1c6ef81563d142afbe0b0775d56eac87" TargetMode="External"/><Relationship Id="rId475" Type="http://schemas.openxmlformats.org/officeDocument/2006/relationships/hyperlink" Target="https://www.scopus.com/inward/record.uri?eid=2-s2.0-85153618191&amp;doi=10.5875%2fAUSMT.V11I1.2143&amp;partnerID=40&amp;md5=dbd4e1952f6ab6b17892cf4da4c90a21" TargetMode="External"/><Relationship Id="rId682" Type="http://schemas.openxmlformats.org/officeDocument/2006/relationships/hyperlink" Target="https://www.scopus.com/inward/record.uri?eid=2-s2.0-84962040812&amp;doi=10.1061%2f9780784479414.016&amp;partnerID=40&amp;md5=ee5e558717d19074690cd6ff6c740433" TargetMode="External"/><Relationship Id="rId32" Type="http://schemas.openxmlformats.org/officeDocument/2006/relationships/hyperlink" Target="https://www.scopus.com/inward/record.uri?eid=2-s2.0-85203857976&amp;doi=10.3390%2fapp14177844&amp;partnerID=40&amp;md5=73186b20a0030bf43217d2d4b2b4a675" TargetMode="External"/><Relationship Id="rId128" Type="http://schemas.openxmlformats.org/officeDocument/2006/relationships/hyperlink" Target="https://www.scopus.com/inward/record.uri?eid=2-s2.0-85189773435&amp;doi=10.1109%2fACCESS.2024.3385630&amp;partnerID=40&amp;md5=6fb277193355143b64b9f67a9d94d2c9" TargetMode="External"/><Relationship Id="rId335" Type="http://schemas.openxmlformats.org/officeDocument/2006/relationships/hyperlink" Target="https://www.scopus.com/inward/record.uri?eid=2-s2.0-85145655997&amp;doi=10.3233%2fJIFS-220693&amp;partnerID=40&amp;md5=cb3b4046d51e958206bbee729532a875" TargetMode="External"/><Relationship Id="rId542" Type="http://schemas.openxmlformats.org/officeDocument/2006/relationships/hyperlink" Target="https://www.scopus.com/inward/record.uri?eid=2-s2.0-85086358365&amp;doi=10.1088%2f1757-899X%2f816%2f1%2f012011&amp;partnerID=40&amp;md5=5a6dbc96eaf22d03d3684e2f50669e38" TargetMode="External"/><Relationship Id="rId181" Type="http://schemas.openxmlformats.org/officeDocument/2006/relationships/hyperlink" Target="https://www.scopus.com/inward/record.uri?eid=2-s2.0-85193783761&amp;doi=10.1109%2fICASSP48485.2024.10447876&amp;partnerID=40&amp;md5=0b2b5504770dc8cc1e6c240b23f8c4b4" TargetMode="External"/><Relationship Id="rId402" Type="http://schemas.openxmlformats.org/officeDocument/2006/relationships/hyperlink" Target="https://www.scopus.com/inward/record.uri?eid=2-s2.0-85111395277&amp;doi=10.1109%2fAERO50100.2021.9438140&amp;partnerID=40&amp;md5=8adf715759f0f28626f3e9c233c111de" TargetMode="External"/><Relationship Id="rId279" Type="http://schemas.openxmlformats.org/officeDocument/2006/relationships/hyperlink" Target="https://www.scopus.com/inward/record.uri?eid=2-s2.0-85144928016&amp;partnerID=40&amp;md5=cfe18a0124e6b30f00aa346b5d95d9f4" TargetMode="External"/><Relationship Id="rId486" Type="http://schemas.openxmlformats.org/officeDocument/2006/relationships/hyperlink" Target="https://www.scopus.com/inward/record.uri?eid=2-s2.0-85123434297&amp;doi=10.2514%2f6.2021-3008&amp;partnerID=40&amp;md5=4b1733db2a3a830ab274b8f52c05b6ef" TargetMode="External"/><Relationship Id="rId693" Type="http://schemas.openxmlformats.org/officeDocument/2006/relationships/hyperlink" Target="https://www.scopus.com/inward/record.uri?eid=2-s2.0-84979741960&amp;doi=10.1109%2fNOMS.2016.7502939&amp;partnerID=40&amp;md5=027b103bcb0057017ff2c087c16af89a" TargetMode="External"/><Relationship Id="rId707" Type="http://schemas.openxmlformats.org/officeDocument/2006/relationships/hyperlink" Target="https://www.scopus.com/inward/record.uri?eid=2-s2.0-84902262199&amp;partnerID=40&amp;md5=20b39bba97acb6ba0ecb98724b860cc2" TargetMode="External"/><Relationship Id="rId43" Type="http://schemas.openxmlformats.org/officeDocument/2006/relationships/hyperlink" Target="https://www.scopus.com/inward/record.uri?eid=2-s2.0-85198567597&amp;doi=10.1016%2fj.jembe.2024.152042&amp;partnerID=40&amp;md5=c89112e9fbe62080f4ad123d3633b30b" TargetMode="External"/><Relationship Id="rId139" Type="http://schemas.openxmlformats.org/officeDocument/2006/relationships/hyperlink" Target="https://www.scopus.com/inward/record.uri?eid=2-s2.0-85189627285&amp;doi=10.1109%2fUVS59630.2024.10467159&amp;partnerID=40&amp;md5=c4a1ce4526cde6ebda066a06327fc797" TargetMode="External"/><Relationship Id="rId346" Type="http://schemas.openxmlformats.org/officeDocument/2006/relationships/hyperlink" Target="https://www.scopus.com/inward/record.uri?eid=2-s2.0-85129532524&amp;doi=10.1109%2fCFIS54774.2022.9756480&amp;partnerID=40&amp;md5=7eff10f00f600b76f94e0136f91d6ca1" TargetMode="External"/><Relationship Id="rId553" Type="http://schemas.openxmlformats.org/officeDocument/2006/relationships/hyperlink" Target="https://www.scopus.com/inward/record.uri?eid=2-s2.0-85092423947&amp;doi=10.2514%2f6.2020-0242&amp;partnerID=40&amp;md5=7f23a2f1769ffe87a8ecbfeac9e4583c" TargetMode="External"/><Relationship Id="rId192" Type="http://schemas.openxmlformats.org/officeDocument/2006/relationships/hyperlink" Target="https://www.scopus.com/inward/record.uri?eid=2-s2.0-85164369497&amp;doi=10.1002%2fdac.5504&amp;partnerID=40&amp;md5=9c441dcf1390ed3f32135b829b4ef155" TargetMode="External"/><Relationship Id="rId206" Type="http://schemas.openxmlformats.org/officeDocument/2006/relationships/hyperlink" Target="https://www.scopus.com/inward/record.uri?eid=2-s2.0-85174962027&amp;doi=10.1109%2fICCE-Taiwan58799.2023.10226673&amp;partnerID=40&amp;md5=e0487ddcf8f339114ce88eaef441b702" TargetMode="External"/><Relationship Id="rId413" Type="http://schemas.openxmlformats.org/officeDocument/2006/relationships/hyperlink" Target="https://www.scopus.com/inward/record.uri?eid=2-s2.0-85123895242&amp;doi=10.17683%2fIJOMAM%2fISSUE10%2fV1.18&amp;partnerID=40&amp;md5=2c0dba9fd2210f68c0255ab73453f51a" TargetMode="External"/><Relationship Id="rId497" Type="http://schemas.openxmlformats.org/officeDocument/2006/relationships/hyperlink" Target="https://www.scopus.com/inward/record.uri?eid=2-s2.0-85096189824&amp;doi=10.1016%2fj.adhoc.2020.102324&amp;partnerID=40&amp;md5=8346d6064aa5de5af73c4ef81298458c" TargetMode="External"/><Relationship Id="rId620" Type="http://schemas.openxmlformats.org/officeDocument/2006/relationships/hyperlink" Target="https://www.scopus.com/inward/record.uri?eid=2-s2.0-85021235722&amp;doi=10.1109%2fAERO.2017.7943785&amp;partnerID=40&amp;md5=6a1c082a0c5ae946bf53d9ea1fd90f46" TargetMode="External"/><Relationship Id="rId718" Type="http://schemas.openxmlformats.org/officeDocument/2006/relationships/hyperlink" Target="https://www.scopus.com/inward/record.uri?eid=2-s2.0-0028055303&amp;partnerID=40&amp;md5=7d9d83ed337ce0991e0c4fbefc147eb0" TargetMode="External"/><Relationship Id="rId357" Type="http://schemas.openxmlformats.org/officeDocument/2006/relationships/hyperlink" Target="https://www.scopus.com/inward/record.uri?eid=2-s2.0-85129748173&amp;doi=10.1016%2fj.comnet.2022.108962&amp;partnerID=40&amp;md5=ccb41db8ac40637ccdd458559de6d2db" TargetMode="External"/><Relationship Id="rId54" Type="http://schemas.openxmlformats.org/officeDocument/2006/relationships/hyperlink" Target="https://www.scopus.com/inward/record.uri?eid=2-s2.0-85207461245&amp;doi=10.1109%2fICECET61485.2024.10698453&amp;partnerID=40&amp;md5=cbd7b220324654710ea92ef08ebfe607" TargetMode="External"/><Relationship Id="rId217" Type="http://schemas.openxmlformats.org/officeDocument/2006/relationships/hyperlink" Target="https://www.scopus.com/inward/record.uri?eid=2-s2.0-85184368582&amp;doi=10.1109%2fMERCon60487.2023.10355499&amp;partnerID=40&amp;md5=2002bc773c04f59603d8d42e89c90d8b" TargetMode="External"/><Relationship Id="rId564" Type="http://schemas.openxmlformats.org/officeDocument/2006/relationships/hyperlink" Target="https://www.scopus.com/inward/record.uri?eid=2-s2.0-85103856997&amp;doi=10.1109%2fNTAD51447.2020.9379109&amp;partnerID=40&amp;md5=6b06961b58d5b83274b9b0c314c86712" TargetMode="External"/><Relationship Id="rId424" Type="http://schemas.openxmlformats.org/officeDocument/2006/relationships/hyperlink" Target="https://www.scopus.com/inward/record.uri?eid=2-s2.0-85181080182&amp;doi=10.1109%2fRadar53847.2021.10028442&amp;partnerID=40&amp;md5=670d1c4f4962b7717de69bf736a81c91" TargetMode="External"/><Relationship Id="rId631" Type="http://schemas.openxmlformats.org/officeDocument/2006/relationships/hyperlink" Target="https://www.scopus.com/inward/record.uri?eid=2-s2.0-85040986230&amp;partnerID=40&amp;md5=2170c3f6d7c36025f4446fa8d4d57ac0" TargetMode="External"/><Relationship Id="rId729" Type="http://schemas.openxmlformats.org/officeDocument/2006/relationships/hyperlink" Target="https://www.scopus.com/inward/record.uri?eid=2-s2.0-77958075600&amp;doi=10.1117%2f12.872102&amp;partnerID=40&amp;md5=f74a64ad8103ee9d0309f2ceeb72e4f7" TargetMode="External"/><Relationship Id="rId270" Type="http://schemas.openxmlformats.org/officeDocument/2006/relationships/hyperlink" Target="https://www.scopus.com/inward/record.uri?eid=2-s2.0-85169446828&amp;doi=10.1109%2fCACRE58689.2023.10208630&amp;partnerID=40&amp;md5=72ba889ece3caa4256cedf2f8926fe48" TargetMode="External"/><Relationship Id="rId65" Type="http://schemas.openxmlformats.org/officeDocument/2006/relationships/hyperlink" Target="https://www.scopus.com/inward/record.uri?eid=2-s2.0-85205360346&amp;doi=10.1016%2fj.isprsjprs.2024.09.039&amp;partnerID=40&amp;md5=07bb1ade0485406e7a29984de77e43b6" TargetMode="External"/><Relationship Id="rId130" Type="http://schemas.openxmlformats.org/officeDocument/2006/relationships/hyperlink" Target="https://www.scopus.com/inward/record.uri?eid=2-s2.0-85189548070&amp;partnerID=40&amp;md5=d81581a03727c6c28ec232668e8ee745" TargetMode="External"/><Relationship Id="rId368" Type="http://schemas.openxmlformats.org/officeDocument/2006/relationships/hyperlink" Target="https://www.scopus.com/inward/record.uri?eid=2-s2.0-85141844533&amp;doi=10.1109%2fUSBEREIT56278.2022.9923384&amp;partnerID=40&amp;md5=58143cecaa38883899f19323bdc7fa4e" TargetMode="External"/><Relationship Id="rId575" Type="http://schemas.openxmlformats.org/officeDocument/2006/relationships/hyperlink" Target="https://www.scopus.com/inward/record.uri?eid=2-s2.0-85097188500&amp;doi=10.1145%2f3414045.3415941&amp;partnerID=40&amp;md5=218cf37e900d3635d8c9fa3b2a7cf113" TargetMode="External"/><Relationship Id="rId228" Type="http://schemas.openxmlformats.org/officeDocument/2006/relationships/hyperlink" Target="https://www.scopus.com/inward/record.uri?eid=2-s2.0-85179519012&amp;doi=10.1109%2fTENCON58879.2023.10322541&amp;partnerID=40&amp;md5=65e3c95402a3c4052b8213283518a603" TargetMode="External"/><Relationship Id="rId435" Type="http://schemas.openxmlformats.org/officeDocument/2006/relationships/hyperlink" Target="https://www.scopus.com/inward/record.uri?eid=2-s2.0-85100771612&amp;doi=10.1109%2fICISS49785.2020.9316032&amp;partnerID=40&amp;md5=56b269d2cc5b234202dfd1eae7afdf48" TargetMode="External"/><Relationship Id="rId642" Type="http://schemas.openxmlformats.org/officeDocument/2006/relationships/hyperlink" Target="https://www.scopus.com/inward/record.uri?eid=2-s2.0-85040991825&amp;doi=10.1109%2fDASC.2017.8102043&amp;partnerID=40&amp;md5=076f6122408c3fb7353bc6c2b3584aea" TargetMode="External"/><Relationship Id="rId281" Type="http://schemas.openxmlformats.org/officeDocument/2006/relationships/hyperlink" Target="https://www.scopus.com/inward/record.uri?eid=2-s2.0-85184854264&amp;doi=10.1109%2fICSPCC59353.2023.10400350&amp;partnerID=40&amp;md5=50321ddbf00cfa0fc22576756509a1a0" TargetMode="External"/><Relationship Id="rId502" Type="http://schemas.openxmlformats.org/officeDocument/2006/relationships/hyperlink" Target="https://www.scopus.com/inward/record.uri?eid=2-s2.0-85094954629&amp;doi=10.1109%2fICUAS48674.2020.9213922&amp;partnerID=40&amp;md5=1c0f68f02e08bd817010315b896c3dc9" TargetMode="External"/><Relationship Id="rId76" Type="http://schemas.openxmlformats.org/officeDocument/2006/relationships/hyperlink" Target="https://www.scopus.com/inward/record.uri?eid=2-s2.0-85199291347&amp;doi=10.1145%2f3634737.3637672&amp;partnerID=40&amp;md5=3727fa9e100c2574c8d9630df5e22976" TargetMode="External"/><Relationship Id="rId141" Type="http://schemas.openxmlformats.org/officeDocument/2006/relationships/hyperlink" Target="https://www.scopus.com/inward/record.uri?eid=2-s2.0-85173031953&amp;doi=10.1016%2fj.paerosci.2023.100949&amp;partnerID=40&amp;md5=f21be81092b84f21ccc09a9c4fe0ddae" TargetMode="External"/><Relationship Id="rId379" Type="http://schemas.openxmlformats.org/officeDocument/2006/relationships/hyperlink" Target="https://www.scopus.com/inward/record.uri?eid=2-s2.0-85137995960&amp;doi=10.1109%2fMetroAeroSpace54187.2022.9856262&amp;partnerID=40&amp;md5=28b6324d0aaf3d4b9ffebc057635869f" TargetMode="External"/><Relationship Id="rId586" Type="http://schemas.openxmlformats.org/officeDocument/2006/relationships/hyperlink" Target="https://www.scopus.com/inward/record.uri?eid=2-s2.0-85084681721&amp;doi=10.1109%2fACDT47198.2019.9072714&amp;partnerID=40&amp;md5=9a3322765e00206086e96c2d86e51115" TargetMode="External"/><Relationship Id="rId7" Type="http://schemas.openxmlformats.org/officeDocument/2006/relationships/hyperlink" Target="https://www.scopus.com/inward/record.uri?eid=2-s2.0-85205676647&amp;doi=10.2118%2f220385-MS&amp;partnerID=40&amp;md5=7c623ec27a78bf91960ede6f0a915c27" TargetMode="External"/><Relationship Id="rId239" Type="http://schemas.openxmlformats.org/officeDocument/2006/relationships/hyperlink" Target="https://www.scopus.com/inward/record.uri?eid=2-s2.0-85166415379&amp;doi=10.1504%2fIJCNDS.2023.131736&amp;partnerID=40&amp;md5=5ec7fa67dc8343abb645345ef2ab1d33" TargetMode="External"/><Relationship Id="rId446" Type="http://schemas.openxmlformats.org/officeDocument/2006/relationships/hyperlink" Target="https://www.scopus.com/inward/record.uri?eid=2-s2.0-85097979337&amp;doi=10.1109%2fDASC50938.2020.9256639&amp;partnerID=40&amp;md5=cec0d335bbede0c44da292928993b91f" TargetMode="External"/><Relationship Id="rId653" Type="http://schemas.openxmlformats.org/officeDocument/2006/relationships/hyperlink" Target="https://www.scopus.com/inward/record.uri?eid=2-s2.0-84991047657&amp;doi=10.1016%2fj.adhoc.2016.06.008&amp;partnerID=40&amp;md5=1ddf6357795dc3b79f746cd5128a53e2" TargetMode="External"/><Relationship Id="rId292" Type="http://schemas.openxmlformats.org/officeDocument/2006/relationships/hyperlink" Target="https://www.scopus.com/inward/record.uri?eid=2-s2.0-85134400177&amp;doi=10.1002%2fcpe.7213&amp;partnerID=40&amp;md5=3c941ae71656fdebccb82d1b60fe55db" TargetMode="External"/><Relationship Id="rId306" Type="http://schemas.openxmlformats.org/officeDocument/2006/relationships/hyperlink" Target="https://www.scopus.com/inward/record.uri?eid=2-s2.0-85136323604&amp;doi=10.1109%2fICET55676.2022.9824430&amp;partnerID=40&amp;md5=ec447950e570b3466e7ef52e1e4f271d" TargetMode="External"/><Relationship Id="rId87" Type="http://schemas.openxmlformats.org/officeDocument/2006/relationships/hyperlink" Target="https://www.scopus.com/inward/record.uri?eid=2-s2.0-85209672731&amp;doi=10.1109%2fIAI63275.2024.10730632&amp;partnerID=40&amp;md5=80d33e02be64c9ba6d6fa8285e421b5c" TargetMode="External"/><Relationship Id="rId513" Type="http://schemas.openxmlformats.org/officeDocument/2006/relationships/hyperlink" Target="https://www.scopus.com/inward/record.uri?eid=2-s2.0-85150565834&amp;doi=10.1007%2f978-981-13-7139-4_13&amp;partnerID=40&amp;md5=2f4b1e83ce8d4fd707893544976c7038" TargetMode="External"/><Relationship Id="rId597" Type="http://schemas.openxmlformats.org/officeDocument/2006/relationships/hyperlink" Target="https://www.scopus.com/inward/record.uri?eid=2-s2.0-85095570365&amp;doi=10.1109%2fWF-IoT48130.2020.9221466&amp;partnerID=40&amp;md5=e5e464c4cd08eaed57b50bd3ecb223da" TargetMode="External"/><Relationship Id="rId720" Type="http://schemas.openxmlformats.org/officeDocument/2006/relationships/hyperlink" Target="https://www.scopus.com/inward/record.uri?eid=2-s2.0-0026117018&amp;partnerID=40&amp;md5=386e0b5f5ed3269c4cb5e654e88f7dfe" TargetMode="External"/><Relationship Id="rId152" Type="http://schemas.openxmlformats.org/officeDocument/2006/relationships/hyperlink" Target="https://www.scopus.com/inward/record.uri?eid=2-s2.0-85187790879&amp;doi=10.1007%2f978-3-031-47672-3_13&amp;partnerID=40&amp;md5=ad46db038bb16568e0d54b0986af34f0" TargetMode="External"/><Relationship Id="rId457" Type="http://schemas.openxmlformats.org/officeDocument/2006/relationships/hyperlink" Target="https://www.scopus.com/inward/record.uri?eid=2-s2.0-85103450750&amp;doi=10.1109%2fCCWC51732.2021.9376090&amp;partnerID=40&amp;md5=f3ce784d60db9eb14deca941eeeb93be" TargetMode="External"/><Relationship Id="rId664" Type="http://schemas.openxmlformats.org/officeDocument/2006/relationships/hyperlink" Target="https://www.scopus.com/inward/record.uri?eid=2-s2.0-84975698686&amp;partnerID=40&amp;md5=89581b21057f3fa73c149e75fdd75cd7" TargetMode="External"/><Relationship Id="rId14" Type="http://schemas.openxmlformats.org/officeDocument/2006/relationships/hyperlink" Target="https://www.scopus.com/inward/record.uri?eid=2-s2.0-85202805174&amp;doi=10.1109%2fICC51166.2024.10622524&amp;partnerID=40&amp;md5=98455d29ecc13b6d4fda832c2a43082f" TargetMode="External"/><Relationship Id="rId317" Type="http://schemas.openxmlformats.org/officeDocument/2006/relationships/hyperlink" Target="https://www.scopus.com/inward/record.uri?eid=2-s2.0-85135412237&amp;doi=10.1109%2fCVIDLICCEA56201.2022.9824842&amp;partnerID=40&amp;md5=213879014b5dba23b007c9c4cd746e7a" TargetMode="External"/><Relationship Id="rId524" Type="http://schemas.openxmlformats.org/officeDocument/2006/relationships/hyperlink" Target="https://www.scopus.com/inward/record.uri?eid=2-s2.0-85086635256&amp;doi=10.1109%2fISCAIE47305.2020.9108835&amp;partnerID=40&amp;md5=df862da5b1653db48645463e0f6521ed" TargetMode="External"/><Relationship Id="rId731" Type="http://schemas.openxmlformats.org/officeDocument/2006/relationships/hyperlink" Target="https://www.scopus.com/inward/record.uri?eid=2-s2.0-84881323002&amp;doi=10.1109%2fSIEDS.2013.6549509&amp;partnerID=40&amp;md5=8164cd19d6207484b08d931724b730e6" TargetMode="External"/><Relationship Id="rId98" Type="http://schemas.openxmlformats.org/officeDocument/2006/relationships/hyperlink" Target="https://www.scopus.com/inward/record.uri?eid=2-s2.0-85205056508&amp;doi=10.3390%2fsci6030056&amp;partnerID=40&amp;md5=cd7de952eb57a7b4935f283caf9fecb1" TargetMode="External"/><Relationship Id="rId163" Type="http://schemas.openxmlformats.org/officeDocument/2006/relationships/hyperlink" Target="https://www.scopus.com/inward/record.uri?eid=2-s2.0-85166307799&amp;doi=10.1016%2fj.iot.2023.100883&amp;partnerID=40&amp;md5=2b161f8c81519ccf2fcb1529c0a473ad" TargetMode="External"/><Relationship Id="rId370" Type="http://schemas.openxmlformats.org/officeDocument/2006/relationships/hyperlink" Target="https://www.scopus.com/inward/record.uri?eid=2-s2.0-85138647714&amp;doi=10.3390%2fapp12189203&amp;partnerID=40&amp;md5=fc684514f8ff646af0f01d00e673579e" TargetMode="External"/><Relationship Id="rId230" Type="http://schemas.openxmlformats.org/officeDocument/2006/relationships/hyperlink" Target="https://www.scopus.com/inward/record.uri?eid=2-s2.0-85126558575&amp;doi=10.1109%2fTDSC.2022.3159837&amp;partnerID=40&amp;md5=25da6719819e8ac1eb0031ee87eb7a55" TargetMode="External"/><Relationship Id="rId468" Type="http://schemas.openxmlformats.org/officeDocument/2006/relationships/hyperlink" Target="https://www.scopus.com/inward/record.uri?eid=2-s2.0-85102238250&amp;doi=10.1155%2f2021%2f5558089&amp;partnerID=40&amp;md5=23473927118acca116d1ce8cbb54e693" TargetMode="External"/><Relationship Id="rId675" Type="http://schemas.openxmlformats.org/officeDocument/2006/relationships/hyperlink" Target="https://www.scopus.com/inward/record.uri?eid=2-s2.0-85050025212&amp;doi=10.1117%2f12.2304651&amp;partnerID=40&amp;md5=c9aa5f189cc64c25dea6c04187214944" TargetMode="External"/><Relationship Id="rId25" Type="http://schemas.openxmlformats.org/officeDocument/2006/relationships/hyperlink" Target="https://www.scopus.com/inward/record.uri?eid=2-s2.0-85209788941&amp;doi=10.1049%2fitr2.12579&amp;partnerID=40&amp;md5=5b57fb249577ba50eccff2093249ae2d" TargetMode="External"/><Relationship Id="rId328" Type="http://schemas.openxmlformats.org/officeDocument/2006/relationships/hyperlink" Target="https://www.scopus.com/inward/record.uri?eid=2-s2.0-85137267600&amp;doi=10.1109%2fICC45855.2022.9838734&amp;partnerID=40&amp;md5=70e5ccf05d59060e8983e035dfec0dda" TargetMode="External"/><Relationship Id="rId535" Type="http://schemas.openxmlformats.org/officeDocument/2006/relationships/hyperlink" Target="https://www.scopus.com/inward/record.uri?eid=2-s2.0-85068036079&amp;doi=10.1109%2fICNSURV.2019.8735229&amp;partnerID=40&amp;md5=35f0f2ad6f390b6199fe9b588113d0f6" TargetMode="External"/><Relationship Id="rId174" Type="http://schemas.openxmlformats.org/officeDocument/2006/relationships/hyperlink" Target="https://www.scopus.com/inward/record.uri?eid=2-s2.0-85194108689&amp;doi=10.1109%2fISQED60706.2024.10528691&amp;partnerID=40&amp;md5=9d41d09d794496c882d7468acd58944f" TargetMode="External"/><Relationship Id="rId381" Type="http://schemas.openxmlformats.org/officeDocument/2006/relationships/hyperlink" Target="https://www.scopus.com/inward/record.uri?eid=2-s2.0-85125460363&amp;doi=10.1080%2f03772063.2022.2032848&amp;partnerID=40&amp;md5=6579dc0555d42c72d1803b72d70220b7" TargetMode="External"/><Relationship Id="rId602" Type="http://schemas.openxmlformats.org/officeDocument/2006/relationships/hyperlink" Target="https://www.scopus.com/inward/record.uri?eid=2-s2.0-85030331734&amp;doi=10.1145%2f3098954.3103167&amp;partnerID=40&amp;md5=80bba72ade34889c32cbffd22494747b" TargetMode="External"/><Relationship Id="rId241" Type="http://schemas.openxmlformats.org/officeDocument/2006/relationships/hyperlink" Target="https://www.scopus.com/inward/record.uri?eid=2-s2.0-85187389716&amp;doi=10.1109%2fGLOBECOM54140.2023.10436894&amp;partnerID=40&amp;md5=a3ef771551f1b0ab150bf4fbe364acc8" TargetMode="External"/><Relationship Id="rId479" Type="http://schemas.openxmlformats.org/officeDocument/2006/relationships/hyperlink" Target="https://www.scopus.com/inward/record.uri?eid=2-s2.0-85113627342&amp;partnerID=40&amp;md5=15adc8083369aeb847a948a5108bb359" TargetMode="External"/><Relationship Id="rId686" Type="http://schemas.openxmlformats.org/officeDocument/2006/relationships/hyperlink" Target="https://www.scopus.com/inward/record.uri?eid=2-s2.0-84948985283&amp;doi=10.1007%2f978-3-319-20550-2_4&amp;partnerID=40&amp;md5=f2497578b7cfd58a5af9fa9347ce4b80" TargetMode="External"/><Relationship Id="rId36" Type="http://schemas.openxmlformats.org/officeDocument/2006/relationships/hyperlink" Target="https://www.scopus.com/inward/record.uri?eid=2-s2.0-85184468487&amp;doi=10.3390%2felectronics13030468&amp;partnerID=40&amp;md5=dbe44f74f65097d523b52fa94a7eeed1" TargetMode="External"/><Relationship Id="rId339" Type="http://schemas.openxmlformats.org/officeDocument/2006/relationships/hyperlink" Target="https://www.scopus.com/inward/record.uri?eid=2-s2.0-85119279268&amp;doi=10.1145%2f3477087.3478379&amp;partnerID=40&amp;md5=c5ca3d69476020ccdde64f9885ca01ff" TargetMode="External"/><Relationship Id="rId546" Type="http://schemas.openxmlformats.org/officeDocument/2006/relationships/hyperlink" Target="https://www.scopus.com/inward/record.uri?eid=2-s2.0-85083098932&amp;doi=10.1109%2fNaNA.2019.00072&amp;partnerID=40&amp;md5=1552ab4ded7effe31b4ed648e4f68db2" TargetMode="External"/><Relationship Id="rId101" Type="http://schemas.openxmlformats.org/officeDocument/2006/relationships/hyperlink" Target="https://www.scopus.com/inward/record.uri?eid=2-s2.0-85189626210&amp;doi=10.1007%2f978-3-031-56776-6_3&amp;partnerID=40&amp;md5=7129082620d832743873adfa2f4a4ebb" TargetMode="External"/><Relationship Id="rId185" Type="http://schemas.openxmlformats.org/officeDocument/2006/relationships/hyperlink" Target="https://www.scopus.com/inward/record.uri?eid=2-s2.0-85178288277&amp;doi=10.3390%2fdrones7110660&amp;partnerID=40&amp;md5=e32285aaa6733270d28eac243353aa34" TargetMode="External"/><Relationship Id="rId406" Type="http://schemas.openxmlformats.org/officeDocument/2006/relationships/hyperlink" Target="https://www.scopus.com/inward/record.uri?eid=2-s2.0-85105373967&amp;doi=10.3390%2fsu13094697&amp;partnerID=40&amp;md5=c4a0937de41977980edbac541ef43e5d" TargetMode="External"/><Relationship Id="rId392" Type="http://schemas.openxmlformats.org/officeDocument/2006/relationships/hyperlink" Target="https://www.scopus.com/inward/record.uri?eid=2-s2.0-85118550606&amp;doi=10.3390%2fdrones5040117&amp;partnerID=40&amp;md5=0802a72461da41b62b03d08ba1a3a224" TargetMode="External"/><Relationship Id="rId613" Type="http://schemas.openxmlformats.org/officeDocument/2006/relationships/hyperlink" Target="https://www.scopus.com/inward/record.uri?eid=2-s2.0-85050006124&amp;partnerID=40&amp;md5=5b80439d520bf19b94d52041dd876a7b" TargetMode="External"/><Relationship Id="rId697" Type="http://schemas.openxmlformats.org/officeDocument/2006/relationships/hyperlink" Target="https://www.scopus.com/inward/record.uri?eid=2-s2.0-84994184718&amp;doi=10.1109%2fIWCMC.2016.7577060&amp;partnerID=40&amp;md5=2a0ed0625f8272778989e2ab67670a1a" TargetMode="External"/><Relationship Id="rId252" Type="http://schemas.openxmlformats.org/officeDocument/2006/relationships/hyperlink" Target="https://www.scopus.com/inward/record.uri?eid=2-s2.0-85169057516&amp;doi=10.1007%2f978-3-031-33631-7_4&amp;partnerID=40&amp;md5=bfa5d285ba6aa72027cce73732429453" TargetMode="External"/><Relationship Id="rId47" Type="http://schemas.openxmlformats.org/officeDocument/2006/relationships/hyperlink" Target="https://www.scopus.com/inward/record.uri?eid=2-s2.0-85185666095&amp;doi=10.1049%2frsn2.12540&amp;partnerID=40&amp;md5=19ae43cf21db165ab7f31783364f7efa" TargetMode="External"/><Relationship Id="rId112" Type="http://schemas.openxmlformats.org/officeDocument/2006/relationships/hyperlink" Target="https://www.scopus.com/inward/record.uri?eid=2-s2.0-85196172291&amp;doi=10.2514%2f6.2024-2395&amp;partnerID=40&amp;md5=4c3a136bd0acb02632d0c43b0ba8c66a" TargetMode="External"/><Relationship Id="rId557" Type="http://schemas.openxmlformats.org/officeDocument/2006/relationships/hyperlink" Target="https://www.scopus.com/inward/record.uri?eid=2-s2.0-85094954142&amp;doi=10.1109%2fICUAS48674.2020.9214067&amp;partnerID=40&amp;md5=b217c1edfed63bbda0dc33a9d67d0075" TargetMode="External"/><Relationship Id="rId196" Type="http://schemas.openxmlformats.org/officeDocument/2006/relationships/hyperlink" Target="https://www.scopus.com/inward/record.uri?eid=2-s2.0-85161060112&amp;doi=10.1109%2fJIOT.2023.3280124&amp;partnerID=40&amp;md5=7e82ded9b954bb5a870bdda09c187bd7" TargetMode="External"/><Relationship Id="rId417" Type="http://schemas.openxmlformats.org/officeDocument/2006/relationships/hyperlink" Target="https://www.scopus.com/inward/record.uri?eid=2-s2.0-85114207834&amp;doi=10.1109%2fMECO52532.2021.9460250&amp;partnerID=40&amp;md5=d47e61a401ed815cf16b70b612cd7332" TargetMode="External"/><Relationship Id="rId624" Type="http://schemas.openxmlformats.org/officeDocument/2006/relationships/hyperlink" Target="https://www.scopus.com/inward/record.uri?eid=2-s2.0-85053516090&amp;partnerID=40&amp;md5=d3c015c4303ca09aea8094cc0f742ad2" TargetMode="External"/><Relationship Id="rId263" Type="http://schemas.openxmlformats.org/officeDocument/2006/relationships/hyperlink" Target="https://www.scopus.com/inward/record.uri?eid=2-s2.0-85169707751&amp;doi=10.32604%2fcsse.2023.039931&amp;partnerID=40&amp;md5=24c91beca1268dd2138962f2c4b88d7b" TargetMode="External"/><Relationship Id="rId470" Type="http://schemas.openxmlformats.org/officeDocument/2006/relationships/hyperlink" Target="https://www.scopus.com/inward/record.uri?eid=2-s2.0-85122419170&amp;doi=10.1109%2fICCSPA49915.2021.9385709&amp;partnerID=40&amp;md5=d027a9a8fe226a9e2a42202b50733876" TargetMode="External"/><Relationship Id="rId58" Type="http://schemas.openxmlformats.org/officeDocument/2006/relationships/hyperlink" Target="https://www.scopus.com/inward/record.uri?eid=2-s2.0-85203013961&amp;doi=10.1109%2fEuroSPW61312.2024.00049&amp;partnerID=40&amp;md5=650ae34aa66b9578a03bdfee06571382" TargetMode="External"/><Relationship Id="rId123" Type="http://schemas.openxmlformats.org/officeDocument/2006/relationships/hyperlink" Target="https://www.scopus.com/inward/record.uri?eid=2-s2.0-85195955839&amp;doi=10.1109%2fPAIS62114.2024.10541193&amp;partnerID=40&amp;md5=03e7b4e611aba1dcb2ddb19fcbc517ed" TargetMode="External"/><Relationship Id="rId330" Type="http://schemas.openxmlformats.org/officeDocument/2006/relationships/hyperlink" Target="https://www.scopus.com/inward/record.uri?eid=2-s2.0-85158817834&amp;doi=10.1109%2fICITE56321.2022.10101441&amp;partnerID=40&amp;md5=081290d109f0e02fbb987dfb03928a03" TargetMode="External"/><Relationship Id="rId568" Type="http://schemas.openxmlformats.org/officeDocument/2006/relationships/hyperlink" Target="https://www.scopus.com/inward/record.uri?eid=2-s2.0-85083304280&amp;doi=10.1109%2fDASC43569.2019.9081625&amp;partnerID=40&amp;md5=a19b16a19bd5755deff339c781a3b7e5" TargetMode="External"/><Relationship Id="rId428" Type="http://schemas.openxmlformats.org/officeDocument/2006/relationships/hyperlink" Target="https://www.scopus.com/inward/record.uri?eid=2-s2.0-85123219919&amp;doi=10.1109%2fISCTIS51085.2021.00079&amp;partnerID=40&amp;md5=72b3bf64c4434e151864d19a0ea36d92" TargetMode="External"/><Relationship Id="rId635" Type="http://schemas.openxmlformats.org/officeDocument/2006/relationships/hyperlink" Target="https://www.scopus.com/inward/record.uri?eid=2-s2.0-85031752442&amp;partnerID=40&amp;md5=4e85d0c23f1bf0e77e11854396756be2" TargetMode="External"/><Relationship Id="rId274" Type="http://schemas.openxmlformats.org/officeDocument/2006/relationships/hyperlink" Target="https://www.scopus.com/inward/record.uri?eid=2-s2.0-85169018601&amp;doi=10.1007%2f978-3-031-33631-7_5&amp;partnerID=40&amp;md5=3bd649ece3c62f2ccc7e1c4ac6c8cdc6" TargetMode="External"/><Relationship Id="rId481" Type="http://schemas.openxmlformats.org/officeDocument/2006/relationships/hyperlink" Target="https://www.scopus.com/inward/record.uri?eid=2-s2.0-85126096315&amp;doi=10.1109%2fGCWkshps52748.2021.9682006&amp;partnerID=40&amp;md5=09d4f843bff32c26d362e83a49e496a7" TargetMode="External"/><Relationship Id="rId702" Type="http://schemas.openxmlformats.org/officeDocument/2006/relationships/hyperlink" Target="https://www.scopus.com/inward/record.uri?eid=2-s2.0-0037463873&amp;partnerID=40&amp;md5=3dadeaf7e0fb363912477ed09c4a3e07" TargetMode="External"/><Relationship Id="rId69" Type="http://schemas.openxmlformats.org/officeDocument/2006/relationships/hyperlink" Target="https://www.scopus.com/inward/record.uri?eid=2-s2.0-85204189641&amp;doi=10.2514%2f6.2024-4568&amp;partnerID=40&amp;md5=fd345ed294bc38a41be2d79fee4a1693" TargetMode="External"/><Relationship Id="rId134" Type="http://schemas.openxmlformats.org/officeDocument/2006/relationships/hyperlink" Target="https://www.scopus.com/inward/record.uri?eid=2-s2.0-85176900886&amp;doi=10.3390%2fs23218934&amp;partnerID=40&amp;md5=1a7d2efb74f3beea73b6522caae48e65" TargetMode="External"/><Relationship Id="rId579" Type="http://schemas.openxmlformats.org/officeDocument/2006/relationships/hyperlink" Target="https://www.scopus.com/inward/record.uri?eid=2-s2.0-85091498910&amp;doi=10.1007%2f978-3-030-59016-1_28&amp;partnerID=40&amp;md5=9db87634b07b2fd734cf117d32988782" TargetMode="External"/><Relationship Id="rId341" Type="http://schemas.openxmlformats.org/officeDocument/2006/relationships/hyperlink" Target="https://www.scopus.com/inward/record.uri?eid=2-s2.0-85147841486&amp;doi=10.1109%2fPRDC55274.2022.00033&amp;partnerID=40&amp;md5=df7068670d40f9e80b610867875334ba" TargetMode="External"/><Relationship Id="rId439" Type="http://schemas.openxmlformats.org/officeDocument/2006/relationships/hyperlink" Target="https://www.scopus.com/inward/record.uri?eid=2-s2.0-85101461774&amp;doi=10.1109%2fPEREA51218.2020.9339792&amp;partnerID=40&amp;md5=112adeb1688def1301b3e0cf30fea1b6" TargetMode="External"/><Relationship Id="rId646" Type="http://schemas.openxmlformats.org/officeDocument/2006/relationships/hyperlink" Target="https://www.scopus.com/inward/record.uri?eid=2-s2.0-85019207661&amp;doi=10.1016%2fj.snb.2017.05.031&amp;partnerID=40&amp;md5=e0222c9f492c01202d30280e44a2b3e5" TargetMode="External"/><Relationship Id="rId201" Type="http://schemas.openxmlformats.org/officeDocument/2006/relationships/hyperlink" Target="https://www.scopus.com/inward/record.uri?eid=2-s2.0-85188352194&amp;doi=10.1049%2ficp.2023.2876&amp;partnerID=40&amp;md5=35184a59a806dc1de4d0b5bb83594d87" TargetMode="External"/><Relationship Id="rId285" Type="http://schemas.openxmlformats.org/officeDocument/2006/relationships/hyperlink" Target="https://www.scopus.com/inward/record.uri?eid=2-s2.0-85156249090&amp;doi=10.1109%2fCCWC57344.2023.10099360&amp;partnerID=40&amp;md5=e0355c45e43729718c5a56a98dbb47b8" TargetMode="External"/><Relationship Id="rId506" Type="http://schemas.openxmlformats.org/officeDocument/2006/relationships/hyperlink" Target="https://www.scopus.com/inward/record.uri?eid=2-s2.0-85084012604&amp;partnerID=40&amp;md5=02311f019f1868706a0fd851f96fe843" TargetMode="External"/><Relationship Id="rId492" Type="http://schemas.openxmlformats.org/officeDocument/2006/relationships/hyperlink" Target="https://www.scopus.com/inward/record.uri?eid=2-s2.0-85127288812&amp;doi=10.1109%2fICCST49569.2021.9717376&amp;partnerID=40&amp;md5=408b506a26b63f34372bd96e64112e92" TargetMode="External"/><Relationship Id="rId713" Type="http://schemas.openxmlformats.org/officeDocument/2006/relationships/hyperlink" Target="https://www.scopus.com/inward/record.uri?eid=2-s2.0-77952645226&amp;partnerID=40&amp;md5=afc630bbb158fff85d39bd2a7b1f5d2f" TargetMode="External"/><Relationship Id="rId145" Type="http://schemas.openxmlformats.org/officeDocument/2006/relationships/hyperlink" Target="https://www.scopus.com/inward/record.uri?eid=2-s2.0-85159901229&amp;doi=10.1002%2fgj.4763&amp;partnerID=40&amp;md5=b869995b0dd1d5113736a827e2b5c3b9" TargetMode="External"/><Relationship Id="rId352" Type="http://schemas.openxmlformats.org/officeDocument/2006/relationships/hyperlink" Target="https://www.scopus.com/inward/record.uri?eid=2-s2.0-85137568376&amp;doi=10.1109%2fAERO53065.2022.9843800&amp;partnerID=40&amp;md5=b4113fe497cca3bafb034408036cdc13" TargetMode="External"/><Relationship Id="rId212" Type="http://schemas.openxmlformats.org/officeDocument/2006/relationships/hyperlink" Target="https://www.scopus.com/inward/record.uri?eid=2-s2.0-85176609043&amp;doi=10.1088%2f1755-1315%2f1237%2f1%2f012016&amp;partnerID=40&amp;md5=76477a231d1e50247db299a5529ee9bc" TargetMode="External"/><Relationship Id="rId657" Type="http://schemas.openxmlformats.org/officeDocument/2006/relationships/hyperlink" Target="https://www.scopus.com/inward/record.uri?eid=2-s2.0-85010426996&amp;doi=10.1109%2fLARS-SBR.2016.28&amp;partnerID=40&amp;md5=5e81c78af8d5aa66c799c7cc96ddbac8" TargetMode="External"/><Relationship Id="rId296" Type="http://schemas.openxmlformats.org/officeDocument/2006/relationships/hyperlink" Target="https://www.scopus.com/inward/record.uri?eid=2-s2.0-85149754598&amp;doi=10.1109%2fSAMI58000.2023.10044500&amp;partnerID=40&amp;md5=949f24c757e01bb2ec9546bb56e8ede7" TargetMode="External"/><Relationship Id="rId517" Type="http://schemas.openxmlformats.org/officeDocument/2006/relationships/hyperlink" Target="https://www.scopus.com/inward/record.uri?eid=2-s2.0-85068543333&amp;doi=10.1109%2fWD.2019.8734208&amp;partnerID=40&amp;md5=948240bf2b65900d7de7b3024adfadc7" TargetMode="External"/><Relationship Id="rId724" Type="http://schemas.openxmlformats.org/officeDocument/2006/relationships/hyperlink" Target="https://www.scopus.com/inward/record.uri?eid=2-s2.0-58649110016&amp;doi=10.1117%2f12.280651&amp;partnerID=40&amp;md5=dadf947f1ee395fdd484e9baebc69e11" TargetMode="External"/><Relationship Id="rId60" Type="http://schemas.openxmlformats.org/officeDocument/2006/relationships/hyperlink" Target="https://www.scopus.com/inward/record.uri?eid=2-s2.0-85199879118&amp;doi=10.1109%2fEuCNC%2f6GSummit60053.2024.10597035&amp;partnerID=40&amp;md5=91aa677333044ce4ba53f2c6f62a8b52" TargetMode="External"/><Relationship Id="rId156" Type="http://schemas.openxmlformats.org/officeDocument/2006/relationships/hyperlink" Target="https://www.scopus.com/inward/record.uri?eid=2-s2.0-85193834830&amp;doi=10.1109%2fICRITO61523.2024.10522305&amp;partnerID=40&amp;md5=d20769c65ef1f9679a3d6f5f92cd84f3" TargetMode="External"/><Relationship Id="rId363" Type="http://schemas.openxmlformats.org/officeDocument/2006/relationships/hyperlink" Target="https://www.scopus.com/inward/record.uri?eid=2-s2.0-85105471507&amp;doi=10.1007%2fs42405-021-00373-z&amp;partnerID=40&amp;md5=d5b71d0644153f0f4c36b88b0ca52894" TargetMode="External"/><Relationship Id="rId570" Type="http://schemas.openxmlformats.org/officeDocument/2006/relationships/hyperlink" Target="https://www.scopus.com/inward/record.uri?eid=2-s2.0-85143349767&amp;doi=10.1016%2fB978-0-12-819972-5.00003-3&amp;partnerID=40&amp;md5=722b7bc5eaef6c7192f5350bc64c7e84" TargetMode="External"/><Relationship Id="rId223" Type="http://schemas.openxmlformats.org/officeDocument/2006/relationships/hyperlink" Target="https://www.scopus.com/inward/record.uri?eid=2-s2.0-85182596099&amp;doi=10.1109%2fDASC%2fPiCom%2fCBDCom%2fCy59711.2023.10361328&amp;partnerID=40&amp;md5=3a53e14bb0dbaa7942e4b291de522265" TargetMode="External"/><Relationship Id="rId430" Type="http://schemas.openxmlformats.org/officeDocument/2006/relationships/hyperlink" Target="https://www.scopus.com/inward/record.uri?eid=2-s2.0-85096882935&amp;doi=10.1016%2fj.sandf.2020.10.007&amp;partnerID=40&amp;md5=b0b16c45a74c152f1674e0a0b0a1d2fa" TargetMode="External"/><Relationship Id="rId668" Type="http://schemas.openxmlformats.org/officeDocument/2006/relationships/hyperlink" Target="https://www.scopus.com/inward/record.uri?eid=2-s2.0-84984810445&amp;doi=10.1016%2fj.infrared.2016.08.009&amp;partnerID=40&amp;md5=1ff3b2c1d434aa97f5eaf9680f93eed4" TargetMode="External"/><Relationship Id="rId18" Type="http://schemas.openxmlformats.org/officeDocument/2006/relationships/hyperlink" Target="https://www.scopus.com/inward/record.uri?eid=2-s2.0-85202902745&amp;doi=10.1016%2fj.ifacol.2024.07.205&amp;partnerID=40&amp;md5=88153416f1521eefad3021579044342d" TargetMode="External"/><Relationship Id="rId528" Type="http://schemas.openxmlformats.org/officeDocument/2006/relationships/hyperlink" Target="https://www.scopus.com/inward/record.uri?eid=2-s2.0-85078497148&amp;doi=10.1109%2fACCESS.2019.2963105&amp;partnerID=40&amp;md5=d75aeb31c74407638e9b8531e8b734a4" TargetMode="External"/><Relationship Id="rId167" Type="http://schemas.openxmlformats.org/officeDocument/2006/relationships/hyperlink" Target="https://www.scopus.com/inward/record.uri?eid=2-s2.0-85174832766&amp;doi=10.1109%2fJSAC.2023.3322756&amp;partnerID=40&amp;md5=da76557b17ed11e0923c64f211935e09" TargetMode="External"/><Relationship Id="rId374" Type="http://schemas.openxmlformats.org/officeDocument/2006/relationships/hyperlink" Target="https://www.scopus.com/inward/record.uri?eid=2-s2.0-85127009867&amp;partnerID=40&amp;md5=371cc1f383efc1b694fd2b8c4df7fe6b" TargetMode="External"/><Relationship Id="rId581" Type="http://schemas.openxmlformats.org/officeDocument/2006/relationships/hyperlink" Target="https://www.scopus.com/inward/record.uri?eid=2-s2.0-85081750917&amp;doi=10.1109%2fCOMST.2019.2949178&amp;partnerID=40&amp;md5=6e907c4ac910c40ac980ee65c17e05d6" TargetMode="External"/><Relationship Id="rId71" Type="http://schemas.openxmlformats.org/officeDocument/2006/relationships/hyperlink" Target="https://www.scopus.com/inward/record.uri?eid=2-s2.0-85198653149&amp;doi=10.1007%2fs10115-024-02181-9&amp;partnerID=40&amp;md5=c4a05a415e9312abb08a4f218d2df0a8" TargetMode="External"/><Relationship Id="rId234" Type="http://schemas.openxmlformats.org/officeDocument/2006/relationships/hyperlink" Target="https://www.scopus.com/inward/record.uri?eid=2-s2.0-85191226442&amp;partnerID=40&amp;md5=9bf1fe254063ba845e81b7ae1d0b5af2" TargetMode="External"/><Relationship Id="rId679" Type="http://schemas.openxmlformats.org/officeDocument/2006/relationships/hyperlink" Target="https://www.scopus.com/inward/record.uri?eid=2-s2.0-85047306598&amp;doi=10.1109%2fMCOM.2018.1700916&amp;partnerID=40&amp;md5=c0f9b332f07b575ecdc668167f3ab71b" TargetMode="External"/><Relationship Id="rId2" Type="http://schemas.openxmlformats.org/officeDocument/2006/relationships/hyperlink" Target="https://www.scopus.com/inward/record.uri?eid=2-s2.0-85196262805&amp;doi=10.1016%2fj.atech.2024.100488&amp;partnerID=40&amp;md5=a1e1d2616c40f33c73617841adf84c71" TargetMode="External"/><Relationship Id="rId29" Type="http://schemas.openxmlformats.org/officeDocument/2006/relationships/hyperlink" Target="https://www.scopus.com/inward/record.uri?eid=2-s2.0-85202811480&amp;doi=10.1109%2fICC51166.2024.10623000&amp;partnerID=40&amp;md5=e8c8a43d21532d1ad44e19ebc9331734" TargetMode="External"/><Relationship Id="rId441" Type="http://schemas.openxmlformats.org/officeDocument/2006/relationships/hyperlink" Target="https://www.scopus.com/inward/record.uri?eid=2-s2.0-85100310869&amp;partnerID=40&amp;md5=e8c0a99dc66d42c4fff87a913fe889e8" TargetMode="External"/><Relationship Id="rId539" Type="http://schemas.openxmlformats.org/officeDocument/2006/relationships/hyperlink" Target="https://www.scopus.com/inward/record.uri?eid=2-s2.0-85070782226&amp;doi=10.3390%2fatmos10080434&amp;partnerID=40&amp;md5=4029a7a6e60bac3afb2718cfc33abbbe" TargetMode="External"/><Relationship Id="rId178" Type="http://schemas.openxmlformats.org/officeDocument/2006/relationships/hyperlink" Target="https://www.scopus.com/inward/record.uri?eid=2-s2.0-85153685010&amp;doi=10.1016%2fj.adhoc.2023.103179&amp;partnerID=40&amp;md5=14e305201db17d96203bdf6f534d214f" TargetMode="External"/><Relationship Id="rId301" Type="http://schemas.openxmlformats.org/officeDocument/2006/relationships/hyperlink" Target="https://www.scopus.com/inward/record.uri?eid=2-s2.0-85119878224&amp;doi=10.1016%2fj.egyr.2021.08.073&amp;partnerID=40&amp;md5=251df763f01b4cb612d4f3ebd6c8d3fb" TargetMode="External"/><Relationship Id="rId82" Type="http://schemas.openxmlformats.org/officeDocument/2006/relationships/hyperlink" Target="https://www.scopus.com/inward/record.uri?eid=2-s2.0-85205009274&amp;doi=10.1109%2fTITS.2024.3454354&amp;partnerID=40&amp;md5=f7b9894733327ac9f4b8f6d9bc8e8bbb" TargetMode="External"/><Relationship Id="rId385" Type="http://schemas.openxmlformats.org/officeDocument/2006/relationships/hyperlink" Target="https://www.scopus.com/inward/record.uri?eid=2-s2.0-85128028751&amp;doi=10.3390%2fdrones6040087&amp;partnerID=40&amp;md5=8f4c65c0ec90172b1fac96f78105ea8b" TargetMode="External"/><Relationship Id="rId592" Type="http://schemas.openxmlformats.org/officeDocument/2006/relationships/hyperlink" Target="https://www.scopus.com/inward/record.uri?eid=2-s2.0-85053703036&amp;doi=10.1016%2fj.adhoc.2018.09.004&amp;partnerID=40&amp;md5=269926ea69d9b1b798bc54cb28c095de" TargetMode="External"/><Relationship Id="rId606" Type="http://schemas.openxmlformats.org/officeDocument/2006/relationships/hyperlink" Target="https://www.scopus.com/inward/record.uri?eid=2-s2.0-85051018551&amp;doi=10.1109%2fACCESS.2018.2863237&amp;partnerID=40&amp;md5=89412d3278fe594c7e4a047b6fe779fc" TargetMode="External"/><Relationship Id="rId245" Type="http://schemas.openxmlformats.org/officeDocument/2006/relationships/hyperlink" Target="https://www.scopus.com/inward/record.uri?eid=2-s2.0-85146797606&amp;doi=10.3390%2fdrones7010035&amp;partnerID=40&amp;md5=058367b0fd392582ed86725ad0a35dbe" TargetMode="External"/><Relationship Id="rId452" Type="http://schemas.openxmlformats.org/officeDocument/2006/relationships/hyperlink" Target="https://www.scopus.com/inward/record.uri?eid=2-s2.0-85100432859&amp;partnerID=40&amp;md5=9399bf2d96868d411513735f1bad7ad9" TargetMode="External"/><Relationship Id="rId105" Type="http://schemas.openxmlformats.org/officeDocument/2006/relationships/hyperlink" Target="https://www.scopus.com/inward/record.uri?eid=2-s2.0-85174817177&amp;doi=10.1109%2fLAWP.2023.3321899&amp;partnerID=40&amp;md5=2efbc086146405502ba185e1d2f2e1de" TargetMode="External"/><Relationship Id="rId312" Type="http://schemas.openxmlformats.org/officeDocument/2006/relationships/hyperlink" Target="https://www.scopus.com/inward/record.uri?eid=2-s2.0-85138765681&amp;doi=10.3233%2fICA-220690&amp;partnerID=40&amp;md5=86f79fd5dd2c5e319e6281a8123c0ec2" TargetMode="External"/><Relationship Id="rId51" Type="http://schemas.openxmlformats.org/officeDocument/2006/relationships/hyperlink" Target="https://www.scopus.com/inward/record.uri?eid=2-s2.0-85203821562&amp;doi=10.1109%2fBlackSeaCom61746.2024.10646316&amp;partnerID=40&amp;md5=b5da43941d68965713420bd4e3a73f33" TargetMode="External"/><Relationship Id="rId93" Type="http://schemas.openxmlformats.org/officeDocument/2006/relationships/hyperlink" Target="https://www.scopus.com/inward/record.uri?eid=2-s2.0-85200551102&amp;doi=10.1109%2fACCAI61061.2024.10601850&amp;partnerID=40&amp;md5=58ea9f31e7e4c91763db88a32bc9ab3c" TargetMode="External"/><Relationship Id="rId189" Type="http://schemas.openxmlformats.org/officeDocument/2006/relationships/hyperlink" Target="https://www.scopus.com/inward/record.uri?eid=2-s2.0-85161906478&amp;doi=10.1002%2f9781394168002.ch8&amp;partnerID=40&amp;md5=6097a455a1f220221811e91f38563136" TargetMode="External"/><Relationship Id="rId396" Type="http://schemas.openxmlformats.org/officeDocument/2006/relationships/hyperlink" Target="https://www.scopus.com/inward/record.uri?eid=2-s2.0-85142734375&amp;partnerID=40&amp;md5=255ba70e631ccdfafc69e6cde7340dba" TargetMode="External"/><Relationship Id="rId561" Type="http://schemas.openxmlformats.org/officeDocument/2006/relationships/hyperlink" Target="https://www.scopus.com/inward/record.uri?eid=2-s2.0-85076470976&amp;doi=10.1109%2fTHMS.2018.2888578&amp;partnerID=40&amp;md5=fa497a04bf1f5845c8daa16442f3b7e3" TargetMode="External"/><Relationship Id="rId617" Type="http://schemas.openxmlformats.org/officeDocument/2006/relationships/hyperlink" Target="https://www.scopus.com/inward/record.uri?eid=2-s2.0-85044380148&amp;doi=10.1109%2fACCESS.2018.2819189&amp;partnerID=40&amp;md5=f89a6a9f93d3d8e193f0227fc6a3362d" TargetMode="External"/><Relationship Id="rId659" Type="http://schemas.openxmlformats.org/officeDocument/2006/relationships/hyperlink" Target="https://www.scopus.com/inward/record.uri?eid=2-s2.0-85041960945&amp;doi=10.1109%2fIROS.2017.8205982&amp;partnerID=40&amp;md5=82030df5a1077aa7baf943a381f49a29" TargetMode="External"/><Relationship Id="rId214" Type="http://schemas.openxmlformats.org/officeDocument/2006/relationships/hyperlink" Target="https://www.scopus.com/inward/record.uri?eid=2-s2.0-85140591725&amp;doi=10.3390%2fdrones6100284&amp;partnerID=40&amp;md5=f25399f223ff2be91caed90d89b77e16" TargetMode="External"/><Relationship Id="rId256" Type="http://schemas.openxmlformats.org/officeDocument/2006/relationships/hyperlink" Target="https://www.scopus.com/inward/record.uri?eid=2-s2.0-85144836335&amp;doi=10.3390%2fdrones6120410&amp;partnerID=40&amp;md5=a91f6f2994965ed425370963d99470cd" TargetMode="External"/><Relationship Id="rId298" Type="http://schemas.openxmlformats.org/officeDocument/2006/relationships/hyperlink" Target="https://www.scopus.com/inward/record.uri?eid=2-s2.0-85174849344&amp;partnerID=40&amp;md5=cba98018f42c5065f92599a813a1b4c8" TargetMode="External"/><Relationship Id="rId421" Type="http://schemas.openxmlformats.org/officeDocument/2006/relationships/hyperlink" Target="https://www.scopus.com/inward/record.uri?eid=2-s2.0-85118611946&amp;doi=10.1109%2fACCESS.2021.3124996&amp;partnerID=40&amp;md5=848f83c7181dba2ea99d6ec38a1d70c3" TargetMode="External"/><Relationship Id="rId463" Type="http://schemas.openxmlformats.org/officeDocument/2006/relationships/hyperlink" Target="https://www.scopus.com/inward/record.uri?eid=2-s2.0-85103082724&amp;doi=10.1088%2f1742-6596%2f1793%2f1%2f012060&amp;partnerID=40&amp;md5=705a7cd2c894f4c4b064e007790d5a8c" TargetMode="External"/><Relationship Id="rId519" Type="http://schemas.openxmlformats.org/officeDocument/2006/relationships/hyperlink" Target="https://www.scopus.com/inward/record.uri?eid=2-s2.0-85096897515&amp;doi=10.1139%2fjuvs-2020-0016&amp;partnerID=40&amp;md5=6e3150379317aa536120ab18bfaa428d" TargetMode="External"/><Relationship Id="rId670" Type="http://schemas.openxmlformats.org/officeDocument/2006/relationships/hyperlink" Target="https://www.scopus.com/inward/record.uri?eid=2-s2.0-85062284599&amp;partnerID=40&amp;md5=866f1fd9ec9914c20ac83da0849daccb" TargetMode="External"/><Relationship Id="rId116" Type="http://schemas.openxmlformats.org/officeDocument/2006/relationships/hyperlink" Target="https://www.scopus.com/inward/record.uri?eid=2-s2.0-85190708937&amp;doi=10.1007%2f978-3-031-56583-0_11&amp;partnerID=40&amp;md5=24edf2b5ac42c91232833a03dd6fa97f" TargetMode="External"/><Relationship Id="rId158" Type="http://schemas.openxmlformats.org/officeDocument/2006/relationships/hyperlink" Target="https://www.scopus.com/inward/record.uri?eid=2-s2.0-85162855144&amp;doi=10.1109%2fTVT.2023.3276323&amp;partnerID=40&amp;md5=3d3989870467d17613ad6153ff2b39ed" TargetMode="External"/><Relationship Id="rId323" Type="http://schemas.openxmlformats.org/officeDocument/2006/relationships/hyperlink" Target="https://www.scopus.com/inward/record.uri?eid=2-s2.0-85110735968&amp;doi=10.1016%2fj.jisa.2021.102940&amp;partnerID=40&amp;md5=32de386dcebce9e4e6fdf1e822e53f17" TargetMode="External"/><Relationship Id="rId530" Type="http://schemas.openxmlformats.org/officeDocument/2006/relationships/hyperlink" Target="https://www.scopus.com/inward/record.uri?eid=2-s2.0-85098654309&amp;doi=10.1109%2fBEC49624.2020.9277253&amp;partnerID=40&amp;md5=d5b8c675866b5e62920e9f395543db03" TargetMode="External"/><Relationship Id="rId726" Type="http://schemas.openxmlformats.org/officeDocument/2006/relationships/hyperlink" Target="https://www.scopus.com/inward/record.uri?eid=2-s2.0-84885031827&amp;partnerID=40&amp;md5=4810b2da7c6ac4badb10b17119f28cf0" TargetMode="External"/><Relationship Id="rId20" Type="http://schemas.openxmlformats.org/officeDocument/2006/relationships/hyperlink" Target="https://www.scopus.com/inward/record.uri?eid=2-s2.0-85179310352&amp;doi=10.1007%2fs11227-023-05811-1&amp;partnerID=40&amp;md5=f1a96cb99d846bae7139d6fb6a47ff5d" TargetMode="External"/><Relationship Id="rId62" Type="http://schemas.openxmlformats.org/officeDocument/2006/relationships/hyperlink" Target="https://www.scopus.com/inward/record.uri?eid=2-s2.0-85200637466&amp;doi=10.1016%2fj.sasc.2024.200126&amp;partnerID=40&amp;md5=5e97f9586c0dd1b9b744ffae00a1cd64" TargetMode="External"/><Relationship Id="rId365" Type="http://schemas.openxmlformats.org/officeDocument/2006/relationships/hyperlink" Target="https://www.scopus.com/inward/record.uri?eid=2-s2.0-85146432634&amp;doi=10.1109%2fICSPCC55723.2022.9984353&amp;partnerID=40&amp;md5=0d66fe6e2612822802aa1fbfeaf5b631" TargetMode="External"/><Relationship Id="rId572" Type="http://schemas.openxmlformats.org/officeDocument/2006/relationships/hyperlink" Target="https://www.scopus.com/inward/record.uri?eid=2-s2.0-85093831844&amp;partnerID=40&amp;md5=02b7af4a9f4f60838a1af8c5d57d16e5" TargetMode="External"/><Relationship Id="rId628" Type="http://schemas.openxmlformats.org/officeDocument/2006/relationships/hyperlink" Target="https://www.scopus.com/inward/record.uri?eid=2-s2.0-84979784231&amp;doi=10.1109%2fICUAS.2016.7502635&amp;partnerID=40&amp;md5=6ff597e35d3f3dd3529cf4fdb239e071" TargetMode="External"/><Relationship Id="rId225" Type="http://schemas.openxmlformats.org/officeDocument/2006/relationships/hyperlink" Target="https://www.scopus.com/inward/record.uri?eid=2-s2.0-85159852099&amp;doi=10.1109%2fSM57895.2023.10112557&amp;partnerID=40&amp;md5=9e69d9aa9e1e5017dd4f462433bf3f25" TargetMode="External"/><Relationship Id="rId267" Type="http://schemas.openxmlformats.org/officeDocument/2006/relationships/hyperlink" Target="https://www.scopus.com/inward/record.uri?eid=2-s2.0-85160521084&amp;doi=10.1109%2fAERO55745.2023.10115584&amp;partnerID=40&amp;md5=b8d35081fa8470b4856aaf7c089392f7" TargetMode="External"/><Relationship Id="rId432" Type="http://schemas.openxmlformats.org/officeDocument/2006/relationships/hyperlink" Target="https://www.scopus.com/inward/record.uri?eid=2-s2.0-85101439919&amp;doi=10.1109%2fICIIBMS50712.2020.9336427&amp;partnerID=40&amp;md5=3dd147622a754b1ce2c58fe982883bd3" TargetMode="External"/><Relationship Id="rId474" Type="http://schemas.openxmlformats.org/officeDocument/2006/relationships/hyperlink" Target="https://www.scopus.com/inward/record.uri?eid=2-s2.0-85129107940&amp;doi=10.1007%2f978-3-030-65722-2_21&amp;partnerID=40&amp;md5=d9f97f273219e8268a63c7cef927f9fb" TargetMode="External"/><Relationship Id="rId127" Type="http://schemas.openxmlformats.org/officeDocument/2006/relationships/hyperlink" Target="https://www.scopus.com/inward/record.uri?eid=2-s2.0-85149452274&amp;doi=10.1109%2fMAES.2023.3251969&amp;partnerID=40&amp;md5=d7632be9f3ee6848612c231dd06c035f" TargetMode="External"/><Relationship Id="rId681" Type="http://schemas.openxmlformats.org/officeDocument/2006/relationships/hyperlink" Target="https://www.scopus.com/inward/record.uri?eid=2-s2.0-85070606620&amp;doi=10.1109%2fCONFLUENCE.2019.8776613&amp;partnerID=40&amp;md5=f38c9c3a3099ef9af557e654fdaf98b4" TargetMode="External"/><Relationship Id="rId31" Type="http://schemas.openxmlformats.org/officeDocument/2006/relationships/hyperlink" Target="https://www.scopus.com/inward/record.uri?eid=2-s2.0-85205559509&amp;doi=10.1117%2f12.3014714&amp;partnerID=40&amp;md5=81eec7c529e5ae52486c3e41c9e6acbe" TargetMode="External"/><Relationship Id="rId73" Type="http://schemas.openxmlformats.org/officeDocument/2006/relationships/hyperlink" Target="https://www.scopus.com/inward/record.uri?eid=2-s2.0-85191256888&amp;doi=10.4018%2f979-8-3693-0774-8&amp;partnerID=40&amp;md5=6862c71754a665f0eee0fc57b1e4245e" TargetMode="External"/><Relationship Id="rId169" Type="http://schemas.openxmlformats.org/officeDocument/2006/relationships/hyperlink" Target="https://www.scopus.com/inward/record.uri?eid=2-s2.0-85173227058&amp;doi=10.1016%2fj.compag.2023.108267&amp;partnerID=40&amp;md5=2fb0464a8c3f4d648f1a5831923128ce" TargetMode="External"/><Relationship Id="rId334" Type="http://schemas.openxmlformats.org/officeDocument/2006/relationships/hyperlink" Target="https://www.scopus.com/inward/record.uri?eid=2-s2.0-85107327322&amp;doi=10.1109%2fJIOT.2021.3084946&amp;partnerID=40&amp;md5=ddd2eab1840d49fcc6209912b725b45e" TargetMode="External"/><Relationship Id="rId376" Type="http://schemas.openxmlformats.org/officeDocument/2006/relationships/hyperlink" Target="https://www.scopus.com/inward/record.uri?eid=2-s2.0-85134332833&amp;doi=10.1109%2fCPS-IoTBench56135.2022.00008&amp;partnerID=40&amp;md5=8c1456446fdc023bea36f9edb0f39603" TargetMode="External"/><Relationship Id="rId541" Type="http://schemas.openxmlformats.org/officeDocument/2006/relationships/hyperlink" Target="https://www.scopus.com/inward/record.uri?eid=2-s2.0-85091405699&amp;partnerID=40&amp;md5=31f67f9b97d090892a307cc2d15e6111" TargetMode="External"/><Relationship Id="rId583" Type="http://schemas.openxmlformats.org/officeDocument/2006/relationships/hyperlink" Target="https://www.scopus.com/inward/record.uri?eid=2-s2.0-85089593403&amp;doi=10.1117%2f12.2560466&amp;partnerID=40&amp;md5=e438824db388990655ec687a67723c86" TargetMode="External"/><Relationship Id="rId639" Type="http://schemas.openxmlformats.org/officeDocument/2006/relationships/hyperlink" Target="https://www.scopus.com/inward/record.uri?eid=2-s2.0-85034603742&amp;doi=10.1016%2fj.paerosci.2017.10.002&amp;partnerID=40&amp;md5=c2bf41a1a2710fd1ba89ebba5a50424f" TargetMode="External"/><Relationship Id="rId4" Type="http://schemas.openxmlformats.org/officeDocument/2006/relationships/hyperlink" Target="https://www.scopus.com/inward/record.uri?eid=2-s2.0-85171565918&amp;doi=10.1109%2fTMC.2023.3311484&amp;partnerID=40&amp;md5=9dc452d4a3e8dc2ea012068292ac3409" TargetMode="External"/><Relationship Id="rId180" Type="http://schemas.openxmlformats.org/officeDocument/2006/relationships/hyperlink" Target="https://www.scopus.com/inward/record.uri?eid=2-s2.0-85168878710&amp;doi=10.3390%2fphotonics10080884&amp;partnerID=40&amp;md5=ccdab4357d9195c56dabb2bd1d2d48a8" TargetMode="External"/><Relationship Id="rId236" Type="http://schemas.openxmlformats.org/officeDocument/2006/relationships/hyperlink" Target="https://www.scopus.com/inward/record.uri?eid=2-s2.0-85173611612&amp;doi=10.1109%2fICDSNS58469.2023.10245910&amp;partnerID=40&amp;md5=38574c4716382e140d277323fe5fe3df" TargetMode="External"/><Relationship Id="rId278" Type="http://schemas.openxmlformats.org/officeDocument/2006/relationships/hyperlink" Target="https://www.scopus.com/inward/record.uri?eid=2-s2.0-85178101561&amp;doi=10.1784%2finsi.2023.65.11.609&amp;partnerID=40&amp;md5=8f3ad07251262352553f8f393713e7e6" TargetMode="External"/><Relationship Id="rId401" Type="http://schemas.openxmlformats.org/officeDocument/2006/relationships/hyperlink" Target="https://www.scopus.com/inward/record.uri?eid=2-s2.0-85126801608&amp;doi=10.2514%2f6.2021-2335&amp;partnerID=40&amp;md5=a35021f006f045a53429cc01a42a5d8a" TargetMode="External"/><Relationship Id="rId443" Type="http://schemas.openxmlformats.org/officeDocument/2006/relationships/hyperlink" Target="https://www.scopus.com/inward/record.uri?eid=2-s2.0-85138368726&amp;doi=10.1201%2f9781003140474-1&amp;partnerID=40&amp;md5=d630448d6ccef62b59c19bb21b8037c4" TargetMode="External"/><Relationship Id="rId650" Type="http://schemas.openxmlformats.org/officeDocument/2006/relationships/hyperlink" Target="https://www.scopus.com/inward/record.uri?eid=2-s2.0-85065517823&amp;partnerID=40&amp;md5=5e99f9386b751a3e5e10cc7db0191a5c" TargetMode="External"/><Relationship Id="rId303" Type="http://schemas.openxmlformats.org/officeDocument/2006/relationships/hyperlink" Target="https://www.scopus.com/inward/record.uri?eid=2-s2.0-85123884639&amp;doi=10.2514%2f6.2022-2342&amp;partnerID=40&amp;md5=321bbfc3e6ca5844d2ae809680cac293" TargetMode="External"/><Relationship Id="rId485" Type="http://schemas.openxmlformats.org/officeDocument/2006/relationships/hyperlink" Target="https://www.scopus.com/inward/record.uri?eid=2-s2.0-85088273367&amp;partnerID=40&amp;md5=1095d465eb3433f48c9c80e079228eeb" TargetMode="External"/><Relationship Id="rId692" Type="http://schemas.openxmlformats.org/officeDocument/2006/relationships/hyperlink" Target="https://www.scopus.com/inward/record.uri?eid=2-s2.0-84977544270&amp;doi=10.1177%2f1548512915617252&amp;partnerID=40&amp;md5=c1f87ef5b5f5ab0ccde2ec55d89bf1b4" TargetMode="External"/><Relationship Id="rId706" Type="http://schemas.openxmlformats.org/officeDocument/2006/relationships/hyperlink" Target="https://www.scopus.com/inward/record.uri?eid=2-s2.0-84859270571&amp;doi=10.1109%2fJPROC.2008.2006107&amp;partnerID=40&amp;md5=24468a36d8d1e09358035bd922c949d0" TargetMode="External"/><Relationship Id="rId42" Type="http://schemas.openxmlformats.org/officeDocument/2006/relationships/hyperlink" Target="https://www.scopus.com/inward/record.uri?eid=2-s2.0-85184024780&amp;doi=10.1016%2fj.vehcom.2024.100726&amp;partnerID=40&amp;md5=2a7d7bfbd1ed4352b5d9938aa6af57e5" TargetMode="External"/><Relationship Id="rId84" Type="http://schemas.openxmlformats.org/officeDocument/2006/relationships/hyperlink" Target="https://www.scopus.com/inward/record.uri?eid=2-s2.0-85208417620&amp;doi=10.1109%2fIS61756.2024.10705273&amp;partnerID=40&amp;md5=88445a0f6064bd8b4d8b27915838bddb" TargetMode="External"/><Relationship Id="rId138" Type="http://schemas.openxmlformats.org/officeDocument/2006/relationships/hyperlink" Target="https://www.scopus.com/inward/record.uri?eid=2-s2.0-85193544468&amp;doi=10.1109%2fTVT.2024.3401856&amp;partnerID=40&amp;md5=63cb0c51ff98cbb39cd778ae4c8e999d" TargetMode="External"/><Relationship Id="rId345" Type="http://schemas.openxmlformats.org/officeDocument/2006/relationships/hyperlink" Target="https://www.scopus.com/inward/record.uri?eid=2-s2.0-85137973519&amp;partnerID=40&amp;md5=069fe95cae62316d5af641c463a6131c" TargetMode="External"/><Relationship Id="rId387" Type="http://schemas.openxmlformats.org/officeDocument/2006/relationships/hyperlink" Target="https://www.scopus.com/inward/record.uri?eid=2-s2.0-85151060560&amp;doi=10.1007%2f978-3-031-19309-5_36&amp;partnerID=40&amp;md5=f8e46a3e6a39045c857607e2c2a0f006" TargetMode="External"/><Relationship Id="rId510" Type="http://schemas.openxmlformats.org/officeDocument/2006/relationships/hyperlink" Target="https://www.scopus.com/inward/record.uri?eid=2-s2.0-85084677959&amp;partnerID=40&amp;md5=38d66027dcba04ea3827f533383277ab" TargetMode="External"/><Relationship Id="rId552" Type="http://schemas.openxmlformats.org/officeDocument/2006/relationships/hyperlink" Target="https://www.scopus.com/inward/record.uri?eid=2-s2.0-85089487971&amp;doi=10.1109%2fLWC.2020.2986291&amp;partnerID=40&amp;md5=94f0ae5c1fd6c63bdcf7b124b40dd2fb" TargetMode="External"/><Relationship Id="rId594" Type="http://schemas.openxmlformats.org/officeDocument/2006/relationships/hyperlink" Target="https://www.scopus.com/inward/record.uri?eid=2-s2.0-85088936131&amp;doi=10.3389%2ffbuil.2020.00106&amp;partnerID=40&amp;md5=935c99870e3b2790f4eed8843ad11d06" TargetMode="External"/><Relationship Id="rId608" Type="http://schemas.openxmlformats.org/officeDocument/2006/relationships/hyperlink" Target="https://www.scopus.com/inward/record.uri?eid=2-s2.0-85048044363&amp;doi=10.1109%2fRDCAPE.2017.8358297&amp;partnerID=40&amp;md5=9fb7652ad84c691faf08ab061d4c4bbf" TargetMode="External"/><Relationship Id="rId191" Type="http://schemas.openxmlformats.org/officeDocument/2006/relationships/hyperlink" Target="https://www.scopus.com/inward/record.uri?eid=2-s2.0-85167830634&amp;doi=10.1109%2fJIOT.2023.3303253&amp;partnerID=40&amp;md5=9b1412a42b6192cf9cfa2fb3e8dce52f" TargetMode="External"/><Relationship Id="rId205" Type="http://schemas.openxmlformats.org/officeDocument/2006/relationships/hyperlink" Target="https://www.scopus.com/inward/record.uri?eid=2-s2.0-85149803229&amp;doi=10.1016%2fj.jnca.2023.103607&amp;partnerID=40&amp;md5=192eb2c913f1dbea299e41b7fea8f3ca" TargetMode="External"/><Relationship Id="rId247" Type="http://schemas.openxmlformats.org/officeDocument/2006/relationships/hyperlink" Target="https://www.scopus.com/inward/record.uri?eid=2-s2.0-85174199906&amp;doi=10.1080%2f21642583.2023.2268153&amp;partnerID=40&amp;md5=86a6800520d50e73a0b9f8e5af5d43ad" TargetMode="External"/><Relationship Id="rId412" Type="http://schemas.openxmlformats.org/officeDocument/2006/relationships/hyperlink" Target="https://www.scopus.com/inward/record.uri?eid=2-s2.0-85111978346&amp;partnerID=40&amp;md5=9612e375fafea907e8438a2e3b5d7f7f" TargetMode="External"/><Relationship Id="rId107" Type="http://schemas.openxmlformats.org/officeDocument/2006/relationships/hyperlink" Target="https://www.scopus.com/inward/record.uri?eid=2-s2.0-85165207301&amp;doi=10.1142%2fS1752890923500071&amp;partnerID=40&amp;md5=a35d0985c8f3e909952df1f00c7457f0" TargetMode="External"/><Relationship Id="rId289" Type="http://schemas.openxmlformats.org/officeDocument/2006/relationships/hyperlink" Target="https://www.scopus.com/inward/record.uri?eid=2-s2.0-85151072781&amp;partnerID=40&amp;md5=879504974892bb586168c01e9fc0b383" TargetMode="External"/><Relationship Id="rId454" Type="http://schemas.openxmlformats.org/officeDocument/2006/relationships/hyperlink" Target="https://www.scopus.com/inward/record.uri?eid=2-s2.0-85116756278&amp;doi=10.1007%2f978-981-16-3153-5_35&amp;partnerID=40&amp;md5=c8eb37ca35225351185d49c1f04254c0" TargetMode="External"/><Relationship Id="rId496" Type="http://schemas.openxmlformats.org/officeDocument/2006/relationships/hyperlink" Target="https://www.scopus.com/inward/record.uri?eid=2-s2.0-85102035125&amp;doi=10.1007%2f978-3-030-63339-4_10&amp;partnerID=40&amp;md5=06f88add098325410199617bdb0af935" TargetMode="External"/><Relationship Id="rId661" Type="http://schemas.openxmlformats.org/officeDocument/2006/relationships/hyperlink" Target="https://www.scopus.com/inward/record.uri?eid=2-s2.0-85072862820&amp;doi=10.1007%2f978-3-030-30619-9_10&amp;partnerID=40&amp;md5=8c6a187410c85498b9108685f30219f2" TargetMode="External"/><Relationship Id="rId717" Type="http://schemas.openxmlformats.org/officeDocument/2006/relationships/hyperlink" Target="https://www.scopus.com/inward/record.uri?eid=2-s2.0-44949093603&amp;partnerID=40&amp;md5=c44d040099f9536fd65a11cae86530ce" TargetMode="External"/><Relationship Id="rId11" Type="http://schemas.openxmlformats.org/officeDocument/2006/relationships/hyperlink" Target="https://www.scopus.com/inward/record.uri?eid=2-s2.0-85207692634&amp;doi=10.23919%2fFUSION59988.2024.10706252&amp;partnerID=40&amp;md5=d4382b7bec95ffe88fdcfcbfcc42307b" TargetMode="External"/><Relationship Id="rId53" Type="http://schemas.openxmlformats.org/officeDocument/2006/relationships/hyperlink" Target="https://www.scopus.com/inward/record.uri?eid=2-s2.0-85204151488&amp;doi=10.3390%2fsu16177748&amp;partnerID=40&amp;md5=80bda5d562e664e00c3825230bee0723" TargetMode="External"/><Relationship Id="rId149" Type="http://schemas.openxmlformats.org/officeDocument/2006/relationships/hyperlink" Target="https://www.scopus.com/inward/record.uri?eid=2-s2.0-85166320586&amp;doi=10.3390%2fdrones7070430&amp;partnerID=40&amp;md5=95088640d7628800e3d43d11d8b707ae" TargetMode="External"/><Relationship Id="rId314" Type="http://schemas.openxmlformats.org/officeDocument/2006/relationships/hyperlink" Target="https://www.scopus.com/inward/record.uri?eid=2-s2.0-85125641358&amp;doi=10.2514%2f1.I010989&amp;partnerID=40&amp;md5=7f241dee8964d4dbda9c1745720ff2b8" TargetMode="External"/><Relationship Id="rId356" Type="http://schemas.openxmlformats.org/officeDocument/2006/relationships/hyperlink" Target="https://www.scopus.com/inward/record.uri?eid=2-s2.0-85143078617&amp;doi=10.1016%2fj.procs.2022.09.003&amp;partnerID=40&amp;md5=f2d569c2211c8cec1980313fed10a36a" TargetMode="External"/><Relationship Id="rId398" Type="http://schemas.openxmlformats.org/officeDocument/2006/relationships/hyperlink" Target="https://www.scopus.com/inward/record.uri?eid=2-s2.0-85147686257&amp;doi=10.1109%2fICOSST57195.2022.10016875&amp;partnerID=40&amp;md5=2f3f06505988595f783bd4962a9d0e0f" TargetMode="External"/><Relationship Id="rId521" Type="http://schemas.openxmlformats.org/officeDocument/2006/relationships/hyperlink" Target="https://www.scopus.com/inward/record.uri?eid=2-s2.0-85094967160&amp;doi=10.1109%2fICUAS48674.2020.9213925&amp;partnerID=40&amp;md5=2b1e339ca0cf7775ed6e3fae447a1d3c" TargetMode="External"/><Relationship Id="rId563" Type="http://schemas.openxmlformats.org/officeDocument/2006/relationships/hyperlink" Target="https://www.scopus.com/inward/record.uri?eid=2-s2.0-85092770320&amp;doi=10.2514%2f6.2020-2898&amp;partnerID=40&amp;md5=197e93bfbc2e91713bf2da544e00cd86" TargetMode="External"/><Relationship Id="rId619" Type="http://schemas.openxmlformats.org/officeDocument/2006/relationships/hyperlink" Target="https://www.scopus.com/inward/record.uri?eid=2-s2.0-85017003435&amp;doi=10.1109%2fCTS.2016.41&amp;partnerID=40&amp;md5=986015cb017693444f2b801a5758ba31" TargetMode="External"/><Relationship Id="rId95" Type="http://schemas.openxmlformats.org/officeDocument/2006/relationships/hyperlink" Target="https://www.scopus.com/inward/record.uri?eid=2-s2.0-85186490212&amp;doi=10.1016%2fj.jlp.2024.105276&amp;partnerID=40&amp;md5=4b5a07c01ebd5db2b7a6087809cdd4cf" TargetMode="External"/><Relationship Id="rId160" Type="http://schemas.openxmlformats.org/officeDocument/2006/relationships/hyperlink" Target="https://www.scopus.com/inward/record.uri?eid=2-s2.0-85176106458&amp;doi=10.1145%2f3565287.3616525&amp;partnerID=40&amp;md5=df49f12d535844279fbea146cd32d6f4" TargetMode="External"/><Relationship Id="rId216" Type="http://schemas.openxmlformats.org/officeDocument/2006/relationships/hyperlink" Target="https://www.scopus.com/inward/record.uri?eid=2-s2.0-85165749763&amp;doi=10.1061%2f9780784484906.023&amp;partnerID=40&amp;md5=de426f52e925021d000ff29381b9cd43" TargetMode="External"/><Relationship Id="rId423" Type="http://schemas.openxmlformats.org/officeDocument/2006/relationships/hyperlink" Target="https://www.scopus.com/inward/record.uri?eid=2-s2.0-85106341531&amp;doi=10.1007%2fs10846-021-01399-x&amp;partnerID=40&amp;md5=a6584a350fdb67745b9b39cb39a686a6" TargetMode="External"/><Relationship Id="rId258" Type="http://schemas.openxmlformats.org/officeDocument/2006/relationships/hyperlink" Target="https://www.scopus.com/inward/record.uri?eid=2-s2.0-85101888167&amp;doi=10.1109%2fTMC.2021.3062225&amp;partnerID=40&amp;md5=e84910a405af79596ea43751bd2725d0" TargetMode="External"/><Relationship Id="rId465" Type="http://schemas.openxmlformats.org/officeDocument/2006/relationships/hyperlink" Target="https://www.scopus.com/inward/record.uri?eid=2-s2.0-85129896006&amp;doi=10.1109%2fIGARSS47720.2021.9555058&amp;partnerID=40&amp;md5=17a1a1be253b806fae7c9c90b6eaf844" TargetMode="External"/><Relationship Id="rId630" Type="http://schemas.openxmlformats.org/officeDocument/2006/relationships/hyperlink" Target="https://www.scopus.com/inward/record.uri?eid=2-s2.0-85076293464&amp;partnerID=40&amp;md5=6af51d6378f456d3615ba6f7e0154b7a" TargetMode="External"/><Relationship Id="rId672" Type="http://schemas.openxmlformats.org/officeDocument/2006/relationships/hyperlink" Target="https://www.scopus.com/inward/record.uri?eid=2-s2.0-85076126848&amp;partnerID=40&amp;md5=bff6d8b527e3f9622f5ce5f5ef0058d5" TargetMode="External"/><Relationship Id="rId728" Type="http://schemas.openxmlformats.org/officeDocument/2006/relationships/hyperlink" Target="https://www.scopus.com/inward/record.uri?eid=2-s2.0-77958183957&amp;partnerID=40&amp;md5=2705bb3a0c623e1783c780b57d167ed9" TargetMode="External"/><Relationship Id="rId22" Type="http://schemas.openxmlformats.org/officeDocument/2006/relationships/hyperlink" Target="https://www.scopus.com/inward/record.uri?eid=2-s2.0-85195944082&amp;doi=10.1007%2fs42979-024-02983-2&amp;partnerID=40&amp;md5=6200a876d8badd2677146c02a2082dfb" TargetMode="External"/><Relationship Id="rId64" Type="http://schemas.openxmlformats.org/officeDocument/2006/relationships/hyperlink" Target="https://www.scopus.com/inward/record.uri?eid=2-s2.0-85208434464&amp;doi=10.1109%2fAVSS61716.2024.10672581&amp;partnerID=40&amp;md5=4a10c214b38a0b5bf855dbecde74953a" TargetMode="External"/><Relationship Id="rId118" Type="http://schemas.openxmlformats.org/officeDocument/2006/relationships/hyperlink" Target="https://www.scopus.com/inward/record.uri?eid=2-s2.0-85169122683&amp;doi=10.3390%2fdrones7080508&amp;partnerID=40&amp;md5=9537b1d2708637126465013a69fe988a" TargetMode="External"/><Relationship Id="rId325" Type="http://schemas.openxmlformats.org/officeDocument/2006/relationships/hyperlink" Target="https://www.scopus.com/inward/record.uri?eid=2-s2.0-85129863014&amp;doi=10.1109%2fICCAE55086.2022.9762450&amp;partnerID=40&amp;md5=72afa04bf9488c1a3c726db2048dc796" TargetMode="External"/><Relationship Id="rId367" Type="http://schemas.openxmlformats.org/officeDocument/2006/relationships/hyperlink" Target="https://www.scopus.com/inward/record.uri?eid=2-s2.0-85099216108&amp;doi=10.1109%2fJIOT.2020.3049003&amp;partnerID=40&amp;md5=efed6716538c32be4a4dadf3b8746c71" TargetMode="External"/><Relationship Id="rId532" Type="http://schemas.openxmlformats.org/officeDocument/2006/relationships/hyperlink" Target="https://www.scopus.com/inward/record.uri?eid=2-s2.0-85081135601&amp;doi=10.1145%2f3377644.3377670&amp;partnerID=40&amp;md5=16c50025018ccde81bdd4ea01e4c67e8" TargetMode="External"/><Relationship Id="rId574" Type="http://schemas.openxmlformats.org/officeDocument/2006/relationships/hyperlink" Target="https://www.scopus.com/inward/record.uri?eid=2-s2.0-85072124473&amp;doi=10.35940%2fijitee.I3293.0789S319&amp;partnerID=40&amp;md5=41af28420de8950b9d12807998f6e4b5" TargetMode="External"/><Relationship Id="rId171" Type="http://schemas.openxmlformats.org/officeDocument/2006/relationships/hyperlink" Target="https://www.scopus.com/inward/record.uri?eid=2-s2.0-85184826931&amp;doi=10.1109%2fACCESS.2024.3361945&amp;partnerID=40&amp;md5=555a25495a26720a033a1c823d60e883" TargetMode="External"/><Relationship Id="rId227" Type="http://schemas.openxmlformats.org/officeDocument/2006/relationships/hyperlink" Target="https://www.scopus.com/inward/record.uri?eid=2-s2.0-85199788848&amp;partnerID=40&amp;md5=61301ec4cad1ddcc8937f7ae1d84e89f" TargetMode="External"/><Relationship Id="rId269" Type="http://schemas.openxmlformats.org/officeDocument/2006/relationships/hyperlink" Target="https://www.scopus.com/inward/record.uri?eid=2-s2.0-85174972212&amp;doi=10.1109%2fRusAutoCon58002.2023.10272747&amp;partnerID=40&amp;md5=5353900065256222b959d4c9d71a754a" TargetMode="External"/><Relationship Id="rId434" Type="http://schemas.openxmlformats.org/officeDocument/2006/relationships/hyperlink" Target="https://www.scopus.com/inward/record.uri?eid=2-s2.0-85101444662&amp;doi=10.1109%2fPEREA51218.2020.9339785&amp;partnerID=40&amp;md5=bf59c685e31f102bfe60119563fbaff5" TargetMode="External"/><Relationship Id="rId476" Type="http://schemas.openxmlformats.org/officeDocument/2006/relationships/hyperlink" Target="https://www.scopus.com/inward/record.uri?eid=2-s2.0-85107393033&amp;doi=10.1088%2f1742-6596%2f1864%2f1%2f012127&amp;partnerID=40&amp;md5=876450720ab49422d310fd63b3f0a5b8" TargetMode="External"/><Relationship Id="rId641" Type="http://schemas.openxmlformats.org/officeDocument/2006/relationships/hyperlink" Target="https://www.scopus.com/inward/record.uri?eid=2-s2.0-85041010086&amp;doi=10.1109%2fDASC.2017.8102148&amp;partnerID=40&amp;md5=733ede39e3f95e1243e64a28647ba2ee" TargetMode="External"/><Relationship Id="rId683" Type="http://schemas.openxmlformats.org/officeDocument/2006/relationships/hyperlink" Target="https://www.scopus.com/inward/record.uri?eid=2-s2.0-85054650497&amp;partnerID=40&amp;md5=d235e35273bf183ecd9bbb8498249c59" TargetMode="External"/><Relationship Id="rId33" Type="http://schemas.openxmlformats.org/officeDocument/2006/relationships/hyperlink" Target="https://www.scopus.com/inward/record.uri?eid=2-s2.0-85165902794&amp;doi=10.1109%2fTII.2023.3295409&amp;partnerID=40&amp;md5=385eb2b3dbf6371f7de29f8e754bf0ec" TargetMode="External"/><Relationship Id="rId129" Type="http://schemas.openxmlformats.org/officeDocument/2006/relationships/hyperlink" Target="https://www.scopus.com/inward/record.uri?eid=2-s2.0-85154062054&amp;doi=10.3390%2fdrones7040249&amp;partnerID=40&amp;md5=2fced38518a21d88774d0abe13e0c56d" TargetMode="External"/><Relationship Id="rId280" Type="http://schemas.openxmlformats.org/officeDocument/2006/relationships/hyperlink" Target="https://www.scopus.com/inward/record.uri?eid=2-s2.0-85164832870&amp;doi=10.1109%2fOJVT.2023.3295208&amp;partnerID=40&amp;md5=3d088bceee7100dcd88c3426d2251ab7" TargetMode="External"/><Relationship Id="rId336" Type="http://schemas.openxmlformats.org/officeDocument/2006/relationships/hyperlink" Target="https://www.scopus.com/inward/record.uri?eid=2-s2.0-85152034263&amp;doi=10.1109%2fIC3I56241.2022.10073447&amp;partnerID=40&amp;md5=4ef88b14ce57734483002a550fd37c03" TargetMode="External"/><Relationship Id="rId501" Type="http://schemas.openxmlformats.org/officeDocument/2006/relationships/hyperlink" Target="https://www.scopus.com/inward/record.uri?eid=2-s2.0-85094177094&amp;doi=10.1109%2fACCESS.2020.3007315&amp;partnerID=40&amp;md5=ba6fab767b4fa0a35d6b95f914e1e3c5" TargetMode="External"/><Relationship Id="rId543" Type="http://schemas.openxmlformats.org/officeDocument/2006/relationships/hyperlink" Target="https://www.scopus.com/inward/record.uri?eid=2-s2.0-85085773296&amp;doi=10.2523%2fiptc-20111-ms&amp;partnerID=40&amp;md5=1930d051634e086c35d4f548df02d642" TargetMode="External"/><Relationship Id="rId75" Type="http://schemas.openxmlformats.org/officeDocument/2006/relationships/hyperlink" Target="https://www.scopus.com/inward/record.uri?eid=2-s2.0-85208167829&amp;doi=10.1038%2fs41598-024-77383-w&amp;partnerID=40&amp;md5=d5795546b56c65b6ff29a3df2426124a" TargetMode="External"/><Relationship Id="rId140" Type="http://schemas.openxmlformats.org/officeDocument/2006/relationships/hyperlink" Target="https://www.scopus.com/inward/record.uri?eid=2-s2.0-85188009089&amp;doi=10.1109%2fTVT.2024.3375758&amp;partnerID=40&amp;md5=994139cf49d163a1fb1135181b83a698" TargetMode="External"/><Relationship Id="rId182" Type="http://schemas.openxmlformats.org/officeDocument/2006/relationships/hyperlink" Target="https://www.scopus.com/inward/record.uri?eid=2-s2.0-85187995407&amp;partnerID=40&amp;md5=8ddabe121b3722f46c97173f8de01a55" TargetMode="External"/><Relationship Id="rId378" Type="http://schemas.openxmlformats.org/officeDocument/2006/relationships/hyperlink" Target="https://www.scopus.com/inward/record.uri?eid=2-s2.0-85141933926&amp;doi=10.1109%2fDASC55683.2022.9925840&amp;partnerID=40&amp;md5=e44a67c2e4298db86b02866887717daa" TargetMode="External"/><Relationship Id="rId403" Type="http://schemas.openxmlformats.org/officeDocument/2006/relationships/hyperlink" Target="https://www.scopus.com/inward/record.uri?eid=2-s2.0-85099087105&amp;doi=10.3103%2fS0735272720110011&amp;partnerID=40&amp;md5=f266a5d692bb8a79c8fde5057437a81c" TargetMode="External"/><Relationship Id="rId585" Type="http://schemas.openxmlformats.org/officeDocument/2006/relationships/hyperlink" Target="https://www.scopus.com/inward/record.uri?eid=2-s2.0-85063956139&amp;partnerID=40&amp;md5=a743c6cf791f52e19d9c33b37e06488d" TargetMode="External"/><Relationship Id="rId6" Type="http://schemas.openxmlformats.org/officeDocument/2006/relationships/hyperlink" Target="https://www.scopus.com/inward/record.uri?eid=2-s2.0-85176301898&amp;doi=10.1109%2fTCCN.2023.3327538&amp;partnerID=40&amp;md5=7fa595e799408171cafd4d9ba0cf5e40" TargetMode="External"/><Relationship Id="rId238" Type="http://schemas.openxmlformats.org/officeDocument/2006/relationships/hyperlink" Target="https://www.scopus.com/inward/record.uri?eid=2-s2.0-85189611807&amp;doi=10.1109%2fANTS59832.2023.10469369&amp;partnerID=40&amp;md5=3962ea3eaf9d11c7544566137460de2f" TargetMode="External"/><Relationship Id="rId445" Type="http://schemas.openxmlformats.org/officeDocument/2006/relationships/hyperlink" Target="https://www.scopus.com/inward/record.uri?eid=2-s2.0-85126751849&amp;doi=10.1109%2fAsianHOST53231.2021.9699695&amp;partnerID=40&amp;md5=ddbba6160824e5a4a818dad9057b8e13" TargetMode="External"/><Relationship Id="rId487" Type="http://schemas.openxmlformats.org/officeDocument/2006/relationships/hyperlink" Target="https://www.scopus.com/inward/record.uri?eid=2-s2.0-85123569953&amp;partnerID=40&amp;md5=498940e41f6f1cefe96845cf27e95d88" TargetMode="External"/><Relationship Id="rId610" Type="http://schemas.openxmlformats.org/officeDocument/2006/relationships/hyperlink" Target="https://www.scopus.com/inward/record.uri?eid=2-s2.0-85020231050&amp;doi=10.23919%2fDATE.2017.7927214&amp;partnerID=40&amp;md5=15f7b3af78fcfa222264f5909f69766c" TargetMode="External"/><Relationship Id="rId652" Type="http://schemas.openxmlformats.org/officeDocument/2006/relationships/hyperlink" Target="https://www.scopus.com/inward/record.uri?eid=2-s2.0-85051050086&amp;doi=10.1109%2fSP.2018.00012&amp;partnerID=40&amp;md5=1193b008a03ab5a6540b94b3a278c120" TargetMode="External"/><Relationship Id="rId694" Type="http://schemas.openxmlformats.org/officeDocument/2006/relationships/hyperlink" Target="https://www.scopus.com/inward/record.uri?eid=2-s2.0-85022040774&amp;doi=10.1117%2f12.2262221&amp;partnerID=40&amp;md5=559895c52ebbae0bc6ab84f9d3abae4b" TargetMode="External"/><Relationship Id="rId708" Type="http://schemas.openxmlformats.org/officeDocument/2006/relationships/hyperlink" Target="https://www.scopus.com/inward/record.uri?eid=2-s2.0-84898745512&amp;doi=10.1016%2fj.egypro.2013.06.320&amp;partnerID=40&amp;md5=2bf0d32c6497842fddd68104ca66b3ed" TargetMode="External"/><Relationship Id="rId291" Type="http://schemas.openxmlformats.org/officeDocument/2006/relationships/hyperlink" Target="https://www.scopus.com/inward/record.uri?eid=2-s2.0-85164967996&amp;doi=10.1109%2fMECO58584.2023.10154998&amp;partnerID=40&amp;md5=7528afc4319ab977c9ff964857dfb3a4" TargetMode="External"/><Relationship Id="rId305" Type="http://schemas.openxmlformats.org/officeDocument/2006/relationships/hyperlink" Target="https://www.scopus.com/inward/record.uri?eid=2-s2.0-85131070076&amp;doi=10.1016%2fj.adhoc.2022.102894&amp;partnerID=40&amp;md5=689495ac8bb656519727ead5cf2c114c" TargetMode="External"/><Relationship Id="rId347" Type="http://schemas.openxmlformats.org/officeDocument/2006/relationships/hyperlink" Target="https://www.scopus.com/inward/record.uri?eid=2-s2.0-85112535270&amp;doi=10.1109%2fTVT.2021.3103315&amp;partnerID=40&amp;md5=1018acfac76049061251eb322b218f35" TargetMode="External"/><Relationship Id="rId512" Type="http://schemas.openxmlformats.org/officeDocument/2006/relationships/hyperlink" Target="https://www.scopus.com/inward/record.uri?eid=2-s2.0-85087099948&amp;doi=10.3390%2fs20123537&amp;partnerID=40&amp;md5=934210673096ec91d034652979561efd" TargetMode="External"/><Relationship Id="rId44" Type="http://schemas.openxmlformats.org/officeDocument/2006/relationships/hyperlink" Target="https://www.scopus.com/inward/record.uri?eid=2-s2.0-85207660625&amp;doi=10.3390%2fdrones8100581&amp;partnerID=40&amp;md5=75b2f3fdd1ed49fb046f1aa9e2146d9c" TargetMode="External"/><Relationship Id="rId86" Type="http://schemas.openxmlformats.org/officeDocument/2006/relationships/hyperlink" Target="https://www.scopus.com/inward/record.uri?eid=2-s2.0-85204558206&amp;doi=10.1007%2f978-3-031-61929-8_17&amp;partnerID=40&amp;md5=4cc9840387d3a2dbc64fe6b70151d408" TargetMode="External"/><Relationship Id="rId151" Type="http://schemas.openxmlformats.org/officeDocument/2006/relationships/hyperlink" Target="https://www.scopus.com/inward/record.uri?eid=2-s2.0-85193060622&amp;doi=10.23919%2fNTCA60572.2024.10517822&amp;partnerID=40&amp;md5=2b4a8e3271b5868dec53a1c7a102a1f4" TargetMode="External"/><Relationship Id="rId389" Type="http://schemas.openxmlformats.org/officeDocument/2006/relationships/hyperlink" Target="https://www.scopus.com/inward/record.uri?eid=2-s2.0-85088312463&amp;doi=10.1002%2fcpe.5925&amp;partnerID=40&amp;md5=b26fa5588b2159625ea21aed4b644632" TargetMode="External"/><Relationship Id="rId554" Type="http://schemas.openxmlformats.org/officeDocument/2006/relationships/hyperlink" Target="https://www.scopus.com/inward/record.uri?eid=2-s2.0-85081085232&amp;doi=10.1109%2fUEMCON47517.2019.8992931&amp;partnerID=40&amp;md5=599abfcd903240a457ceede73fbe11dc" TargetMode="External"/><Relationship Id="rId596" Type="http://schemas.openxmlformats.org/officeDocument/2006/relationships/hyperlink" Target="https://www.scopus.com/inward/record.uri?eid=2-s2.0-85089306173&amp;doi=10.1109%2fACCESS.2020.3010209&amp;partnerID=40&amp;md5=0627b29d402092ba3613a2a7cb832c66" TargetMode="External"/><Relationship Id="rId193" Type="http://schemas.openxmlformats.org/officeDocument/2006/relationships/hyperlink" Target="https://www.scopus.com/inward/record.uri?eid=2-s2.0-85193043154&amp;doi=10.23919%2fNTCA60572.2024.10517852&amp;partnerID=40&amp;md5=1ae8538f67919e1589be13cfffb7b0b7" TargetMode="External"/><Relationship Id="rId207" Type="http://schemas.openxmlformats.org/officeDocument/2006/relationships/hyperlink" Target="https://www.scopus.com/inward/record.uri?eid=2-s2.0-85150599954&amp;doi=10.2523%2fIPTC-22869-MS&amp;partnerID=40&amp;md5=9918832e5f3514a334dc136cc2893219" TargetMode="External"/><Relationship Id="rId249" Type="http://schemas.openxmlformats.org/officeDocument/2006/relationships/hyperlink" Target="https://www.scopus.com/inward/record.uri?eid=2-s2.0-85180003941&amp;doi=10.1117%2f12.2691068&amp;partnerID=40&amp;md5=2d81feabbf7e9f8d837a192b381cd891" TargetMode="External"/><Relationship Id="rId414" Type="http://schemas.openxmlformats.org/officeDocument/2006/relationships/hyperlink" Target="https://www.scopus.com/inward/record.uri?eid=2-s2.0-85124546420&amp;partnerID=40&amp;md5=acf1ddeb2b758b0bc5b89be6a71c70c1" TargetMode="External"/><Relationship Id="rId456" Type="http://schemas.openxmlformats.org/officeDocument/2006/relationships/hyperlink" Target="https://www.scopus.com/inward/record.uri?eid=2-s2.0-85116684743&amp;doi=10.1109%2fCOMST.2021.3097916&amp;partnerID=40&amp;md5=2d94ff27e584c2135fda457a8737f713" TargetMode="External"/><Relationship Id="rId498" Type="http://schemas.openxmlformats.org/officeDocument/2006/relationships/hyperlink" Target="https://www.scopus.com/inward/record.uri?eid=2-s2.0-85107774016&amp;doi=10.7717%2fPEERJ-CS.507&amp;partnerID=40&amp;md5=db1dd4c6b656d4e311a8ba5be4eff6b6" TargetMode="External"/><Relationship Id="rId621" Type="http://schemas.openxmlformats.org/officeDocument/2006/relationships/hyperlink" Target="https://www.scopus.com/inward/record.uri?eid=2-s2.0-85072337604&amp;partnerID=40&amp;md5=a642c04c4d4c0bc4b7af3f38d2a009af" TargetMode="External"/><Relationship Id="rId663" Type="http://schemas.openxmlformats.org/officeDocument/2006/relationships/hyperlink" Target="https://www.scopus.com/inward/record.uri?eid=2-s2.0-85093102762&amp;partnerID=40&amp;md5=94d4a8c4af38b5cbff9a1c09f0461d3b" TargetMode="External"/><Relationship Id="rId13" Type="http://schemas.openxmlformats.org/officeDocument/2006/relationships/hyperlink" Target="https://www.scopus.com/inward/record.uri?eid=2-s2.0-85186886308&amp;doi=10.1016%2fj.asej.2024.102707&amp;partnerID=40&amp;md5=1558b9002875c0b5d44d3ec9f070785d" TargetMode="External"/><Relationship Id="rId109" Type="http://schemas.openxmlformats.org/officeDocument/2006/relationships/hyperlink" Target="https://www.scopus.com/inward/record.uri?eid=2-s2.0-85198669259&amp;doi=10.1109%2fWiDS-PSU61003.2024.00045&amp;partnerID=40&amp;md5=fd6f9197615596702e9e17a32d2a8458" TargetMode="External"/><Relationship Id="rId260" Type="http://schemas.openxmlformats.org/officeDocument/2006/relationships/hyperlink" Target="https://www.scopus.com/inward/record.uri?eid=2-s2.0-85163441497&amp;doi=10.4018%2f978-1-6684-7207-1.ch004&amp;partnerID=40&amp;md5=0a06b8ecbb39d6b2bbd76c5099bdfa06" TargetMode="External"/><Relationship Id="rId316" Type="http://schemas.openxmlformats.org/officeDocument/2006/relationships/hyperlink" Target="https://www.scopus.com/inward/record.uri?eid=2-s2.0-85126304018&amp;doi=10.1109%2fJRFID.2022.3158392&amp;partnerID=40&amp;md5=1a3095003bea0ec2ac54372b6c5f36c7" TargetMode="External"/><Relationship Id="rId523" Type="http://schemas.openxmlformats.org/officeDocument/2006/relationships/hyperlink" Target="https://www.scopus.com/inward/record.uri?eid=2-s2.0-85068184967&amp;doi=10.3390%2frs11121424&amp;partnerID=40&amp;md5=d05425db98aef2e2d7c4b0b54fe4dbf1" TargetMode="External"/><Relationship Id="rId719" Type="http://schemas.openxmlformats.org/officeDocument/2006/relationships/hyperlink" Target="https://www.scopus.com/inward/record.uri?eid=2-s2.0-0012735136&amp;partnerID=40&amp;md5=91e25377602aeee130eda356e1ad7715" TargetMode="External"/><Relationship Id="rId55" Type="http://schemas.openxmlformats.org/officeDocument/2006/relationships/hyperlink" Target="https://www.scopus.com/inward/record.uri?eid=2-s2.0-85206458091&amp;doi=10.1016%2fj.comcom.2024.107971&amp;partnerID=40&amp;md5=ff6ec95988db6e1aa069f5add4ad1479" TargetMode="External"/><Relationship Id="rId97" Type="http://schemas.openxmlformats.org/officeDocument/2006/relationships/hyperlink" Target="https://www.scopus.com/inward/record.uri?eid=2-s2.0-85198748953&amp;doi=10.1109%2fLCOMM.2024.3428973&amp;partnerID=40&amp;md5=83e071f7b04b602a11bc5cefa78a38e7" TargetMode="External"/><Relationship Id="rId120" Type="http://schemas.openxmlformats.org/officeDocument/2006/relationships/hyperlink" Target="https://www.scopus.com/inward/record.uri?eid=2-s2.0-85198258059&amp;doi=10.1109%2fACCESS.2024.3426028&amp;partnerID=40&amp;md5=eed58b961f5f68d35fd85f526e4cc900" TargetMode="External"/><Relationship Id="rId358" Type="http://schemas.openxmlformats.org/officeDocument/2006/relationships/hyperlink" Target="https://www.scopus.com/inward/record.uri?eid=2-s2.0-85143800316&amp;doi=10.1109%2fMLCCIM55934.2022.00043&amp;partnerID=40&amp;md5=e80b6648ba182dd27abcfb27c0a205e0" TargetMode="External"/><Relationship Id="rId565" Type="http://schemas.openxmlformats.org/officeDocument/2006/relationships/hyperlink" Target="https://www.scopus.com/inward/record.uri?eid=2-s2.0-85101458462&amp;doi=10.14569%2fIJACSA.2020.0111044&amp;partnerID=40&amp;md5=773b8aa055c876aa4a9a5a07ae9695c6" TargetMode="External"/><Relationship Id="rId730" Type="http://schemas.openxmlformats.org/officeDocument/2006/relationships/hyperlink" Target="https://www.scopus.com/inward/record.uri?eid=2-s2.0-84872897209&amp;partnerID=40&amp;md5=5abee658604399dc4cbe049e11d48a26" TargetMode="External"/><Relationship Id="rId162" Type="http://schemas.openxmlformats.org/officeDocument/2006/relationships/hyperlink" Target="https://www.scopus.com/inward/record.uri?eid=2-s2.0-85197494826&amp;doi=10.1109%2fTWC.2024.3419923&amp;partnerID=40&amp;md5=76ebce5ca0a0a586ac5fd0450679af42" TargetMode="External"/><Relationship Id="rId218" Type="http://schemas.openxmlformats.org/officeDocument/2006/relationships/hyperlink" Target="https://www.scopus.com/inward/record.uri?eid=2-s2.0-85172918893&amp;doi=10.1117%2f12.3008183&amp;partnerID=40&amp;md5=6c1de9962f9ceaf0fd247a52791d9062" TargetMode="External"/><Relationship Id="rId425" Type="http://schemas.openxmlformats.org/officeDocument/2006/relationships/hyperlink" Target="https://www.scopus.com/inward/record.uri?eid=2-s2.0-85099349190&amp;doi=10.3390%2fs21020509&amp;partnerID=40&amp;md5=b9f28b25361d1dbcd8fcda97777fa51f" TargetMode="External"/><Relationship Id="rId467" Type="http://schemas.openxmlformats.org/officeDocument/2006/relationships/hyperlink" Target="https://www.scopus.com/inward/record.uri?eid=2-s2.0-85102901331&amp;doi=10.1016%2fj.comnet.2021.107999&amp;partnerID=40&amp;md5=f9f3e77b29417e1a748ae30385f54698" TargetMode="External"/><Relationship Id="rId632" Type="http://schemas.openxmlformats.org/officeDocument/2006/relationships/hyperlink" Target="https://www.scopus.com/inward/record.uri?eid=2-s2.0-85068339008&amp;doi=10.1504%2fIJESDF.2019.100473&amp;partnerID=40&amp;md5=1dd81c43ab748b0a1637fbfc19289b9a" TargetMode="External"/><Relationship Id="rId271" Type="http://schemas.openxmlformats.org/officeDocument/2006/relationships/hyperlink" Target="https://www.scopus.com/inward/record.uri?eid=2-s2.0-85148882730&amp;doi=10.3390%2fs23042034&amp;partnerID=40&amp;md5=465d12408b37a50510413e176a9faf0d" TargetMode="External"/><Relationship Id="rId674" Type="http://schemas.openxmlformats.org/officeDocument/2006/relationships/hyperlink" Target="https://www.scopus.com/inward/record.uri?eid=2-s2.0-85002235356&amp;doi=10.1109%2fAEECT.2015.7360563&amp;partnerID=40&amp;md5=68c1de7f9e5b184dd10d14d8f3e4e999" TargetMode="External"/><Relationship Id="rId24" Type="http://schemas.openxmlformats.org/officeDocument/2006/relationships/hyperlink" Target="https://www.scopus.com/inward/record.uri?eid=2-s2.0-85189125432&amp;doi=10.4018%2f979-8-3693-3249-8.ch007&amp;partnerID=40&amp;md5=8bd4b87dd3cfd9ac226aa627184b5be2" TargetMode="External"/><Relationship Id="rId66" Type="http://schemas.openxmlformats.org/officeDocument/2006/relationships/hyperlink" Target="https://www.scopus.com/inward/record.uri?eid=2-s2.0-85209639237&amp;doi=10.1109%2fACCESS.2024.3495994&amp;partnerID=40&amp;md5=75964fb9f29b937d5489030334cb7d73" TargetMode="External"/><Relationship Id="rId131" Type="http://schemas.openxmlformats.org/officeDocument/2006/relationships/hyperlink" Target="https://www.scopus.com/inward/record.uri?eid=2-s2.0-85151492734&amp;doi=10.1109%2fTVT.2023.3262173&amp;partnerID=40&amp;md5=12a76528f6bf4336181134b2da3c1408" TargetMode="External"/><Relationship Id="rId327" Type="http://schemas.openxmlformats.org/officeDocument/2006/relationships/hyperlink" Target="https://www.scopus.com/inward/record.uri?eid=2-s2.0-85137260254&amp;doi=10.1109%2fICC45855.2022.9838783&amp;partnerID=40&amp;md5=c45ceecd8038181a31af3f89d49b4edd" TargetMode="External"/><Relationship Id="rId369" Type="http://schemas.openxmlformats.org/officeDocument/2006/relationships/hyperlink" Target="https://www.scopus.com/inward/record.uri?eid=2-s2.0-85137149158&amp;doi=10.35011%2fIDIMT-2022-389&amp;partnerID=40&amp;md5=d5665deb097caf8012b31a45b0cdcc60" TargetMode="External"/><Relationship Id="rId534" Type="http://schemas.openxmlformats.org/officeDocument/2006/relationships/hyperlink" Target="https://www.scopus.com/inward/record.uri?eid=2-s2.0-85083204532&amp;doi=10.1109%2fISSI47111.2019.9043667&amp;partnerID=40&amp;md5=3777b0b23d00f3cd8d010f60594ed076" TargetMode="External"/><Relationship Id="rId576" Type="http://schemas.openxmlformats.org/officeDocument/2006/relationships/hyperlink" Target="https://www.scopus.com/inward/record.uri?eid=2-s2.0-85090503594&amp;doi=10.3390%2fCHEMOSENSORS8030077&amp;partnerID=40&amp;md5=ef7b327baa3e384f0c8011f85028ce9b" TargetMode="External"/><Relationship Id="rId173" Type="http://schemas.openxmlformats.org/officeDocument/2006/relationships/hyperlink" Target="https://www.scopus.com/inward/record.uri?eid=2-s2.0-85197701205&amp;doi=10.1109%2fICIPTM59628.2024.10563671&amp;partnerID=40&amp;md5=cffa703fcc0f01d1a947fde93a6beb52" TargetMode="External"/><Relationship Id="rId229" Type="http://schemas.openxmlformats.org/officeDocument/2006/relationships/hyperlink" Target="https://www.scopus.com/inward/record.uri?eid=2-s2.0-85175253699&amp;doi=10.2478%2fijssis-2023-0012&amp;partnerID=40&amp;md5=3df223f3d82a8a21e37d6f1d5dc00315" TargetMode="External"/><Relationship Id="rId380" Type="http://schemas.openxmlformats.org/officeDocument/2006/relationships/hyperlink" Target="https://www.scopus.com/inward/record.uri?eid=2-s2.0-85141937859&amp;doi=10.1109%2fDASC55683.2022.9925777&amp;partnerID=40&amp;md5=44bab509b12d9ad3ae47367275106bea" TargetMode="External"/><Relationship Id="rId436" Type="http://schemas.openxmlformats.org/officeDocument/2006/relationships/hyperlink" Target="https://www.scopus.com/inward/record.uri?eid=2-s2.0-85098282118&amp;doi=10.1007%2f978-3-030-63846-7_61&amp;partnerID=40&amp;md5=58f3d5028342b9a1f23b81cc5f4cb60d" TargetMode="External"/><Relationship Id="rId601" Type="http://schemas.openxmlformats.org/officeDocument/2006/relationships/hyperlink" Target="https://www.scopus.com/inward/record.uri?eid=2-s2.0-85050271228&amp;doi=10.1109%2fICMCIS.2018.8398711&amp;partnerID=40&amp;md5=99ccc2fc37ef9a63b4ebe9a955c469db" TargetMode="External"/><Relationship Id="rId643" Type="http://schemas.openxmlformats.org/officeDocument/2006/relationships/hyperlink" Target="https://www.scopus.com/inward/record.uri?eid=2-s2.0-85023598769&amp;doi=10.1109%2fEDUCON.2017.7942968&amp;partnerID=40&amp;md5=5f1c45fa197928cc5057e6e0b6793d97" TargetMode="External"/><Relationship Id="rId240" Type="http://schemas.openxmlformats.org/officeDocument/2006/relationships/hyperlink" Target="https://www.scopus.com/inward/record.uri?eid=2-s2.0-85132692487&amp;doi=10.1109%2fJSYST.2022.3179632&amp;partnerID=40&amp;md5=26f3f1770180c063b205598200762879" TargetMode="External"/><Relationship Id="rId478" Type="http://schemas.openxmlformats.org/officeDocument/2006/relationships/hyperlink" Target="https://www.scopus.com/inward/record.uri?eid=2-s2.0-85102466314&amp;doi=10.3390%2fs21062057&amp;partnerID=40&amp;md5=5345d45688d8e6bea84e2e901ffe4ee2" TargetMode="External"/><Relationship Id="rId685" Type="http://schemas.openxmlformats.org/officeDocument/2006/relationships/hyperlink" Target="https://www.scopus.com/inward/record.uri?eid=2-s2.0-84959098470&amp;partnerID=40&amp;md5=1b85f76d2c9b730d321a685454075692" TargetMode="External"/><Relationship Id="rId35" Type="http://schemas.openxmlformats.org/officeDocument/2006/relationships/hyperlink" Target="https://www.scopus.com/inward/record.uri?eid=2-s2.0-85195141100&amp;doi=10.1111%2f2041-210X.14329&amp;partnerID=40&amp;md5=9a9ecc7d271d07dec65c5a39c68df0d8" TargetMode="External"/><Relationship Id="rId77" Type="http://schemas.openxmlformats.org/officeDocument/2006/relationships/hyperlink" Target="https://www.scopus.com/inward/record.uri?eid=2-s2.0-85210031693&amp;doi=10.1117%2f12.3031480&amp;partnerID=40&amp;md5=1e7d0efef595cb9dcfd37c94396dc02c" TargetMode="External"/><Relationship Id="rId100" Type="http://schemas.openxmlformats.org/officeDocument/2006/relationships/hyperlink" Target="https://www.scopus.com/inward/record.uri?eid=2-s2.0-85200958474&amp;doi=10.1201%2f9781003500865&amp;partnerID=40&amp;md5=bfe3ec5a8176a71deafbaa68419f7d21" TargetMode="External"/><Relationship Id="rId282" Type="http://schemas.openxmlformats.org/officeDocument/2006/relationships/hyperlink" Target="https://www.scopus.com/inward/record.uri?eid=2-s2.0-85183571690&amp;doi=10.1016%2fj.procs.2023.10.158&amp;partnerID=40&amp;md5=2e3c6c0c33a9fbb9c2363e61fee85721" TargetMode="External"/><Relationship Id="rId338" Type="http://schemas.openxmlformats.org/officeDocument/2006/relationships/hyperlink" Target="https://www.scopus.com/inward/record.uri?eid=2-s2.0-85135184003&amp;doi=10.1109%2fCOMM54429.2022.9817314&amp;partnerID=40&amp;md5=86b696c36c76604c8a6c3b5b281a51ce" TargetMode="External"/><Relationship Id="rId503" Type="http://schemas.openxmlformats.org/officeDocument/2006/relationships/hyperlink" Target="https://www.scopus.com/inward/record.uri?eid=2-s2.0-85062148588&amp;doi=10.1109%2fMNET.2019.1800156&amp;partnerID=40&amp;md5=2301b0dc7f46a92d7e1f318c76f6bcd9" TargetMode="External"/><Relationship Id="rId545" Type="http://schemas.openxmlformats.org/officeDocument/2006/relationships/hyperlink" Target="https://www.scopus.com/inward/record.uri?eid=2-s2.0-85091700960&amp;doi=10.1109%2fCOMM48946.2020.9142017&amp;partnerID=40&amp;md5=58b3363aa4d208c2f453fa72f63334e1" TargetMode="External"/><Relationship Id="rId587" Type="http://schemas.openxmlformats.org/officeDocument/2006/relationships/hyperlink" Target="https://www.scopus.com/inward/record.uri?eid=2-s2.0-85097976668&amp;doi=10.1109%2fDASC50938.2020.9256796&amp;partnerID=40&amp;md5=3089de2b0783f691a0144081a19bd0ac" TargetMode="External"/><Relationship Id="rId710" Type="http://schemas.openxmlformats.org/officeDocument/2006/relationships/hyperlink" Target="https://www.scopus.com/inward/record.uri?eid=2-s2.0-84883853822&amp;doi=10.1109%2fRAST.2013.6581320&amp;partnerID=40&amp;md5=b539912c6acdb782af51e10a9ee71a93" TargetMode="External"/><Relationship Id="rId8" Type="http://schemas.openxmlformats.org/officeDocument/2006/relationships/hyperlink" Target="https://www.scopus.com/inward/record.uri?eid=2-s2.0-85200806532&amp;doi=10.1016%2fj.comnet.2024.110695&amp;partnerID=40&amp;md5=b9ac0c4a03c15f1d66aefbbd47166ef1" TargetMode="External"/><Relationship Id="rId142" Type="http://schemas.openxmlformats.org/officeDocument/2006/relationships/hyperlink" Target="https://www.scopus.com/inward/record.uri?eid=2-s2.0-85112450405&amp;doi=10.1007%2fs11334-021-00411-9&amp;partnerID=40&amp;md5=edfd1285e0b20d93e26e732e9d451211" TargetMode="External"/><Relationship Id="rId184" Type="http://schemas.openxmlformats.org/officeDocument/2006/relationships/hyperlink" Target="https://www.scopus.com/inward/record.uri?eid=2-s2.0-85195319039&amp;doi=10.1007%2f978-3-031-60549-9_37&amp;partnerID=40&amp;md5=889d86e588ede869ba36be04c02e1fd9" TargetMode="External"/><Relationship Id="rId391" Type="http://schemas.openxmlformats.org/officeDocument/2006/relationships/hyperlink" Target="https://www.scopus.com/inward/record.uri?eid=2-s2.0-85128345522&amp;doi=10.3390%2fs22093147&amp;partnerID=40&amp;md5=2cf95898d2c6e2141e7c62e70a7c75f6" TargetMode="External"/><Relationship Id="rId405" Type="http://schemas.openxmlformats.org/officeDocument/2006/relationships/hyperlink" Target="https://www.scopus.com/inward/record.uri?eid=2-s2.0-85098068579&amp;doi=10.1145%2f3427228.3427254&amp;partnerID=40&amp;md5=0c86b91610374929d49ae4e52c1996f7" TargetMode="External"/><Relationship Id="rId447" Type="http://schemas.openxmlformats.org/officeDocument/2006/relationships/hyperlink" Target="https://www.scopus.com/inward/record.uri?eid=2-s2.0-85123627467&amp;doi=10.1109%2fTSCZh53346.2021.9628364&amp;partnerID=40&amp;md5=3e3cb24e6405f9a69cf6cbcd331c6474" TargetMode="External"/><Relationship Id="rId612" Type="http://schemas.openxmlformats.org/officeDocument/2006/relationships/hyperlink" Target="https://www.scopus.com/inward/record.uri?eid=2-s2.0-85018378555&amp;doi=10.3390%2fs17051018&amp;partnerID=40&amp;md5=6368072896e04dd2b794a9b7582394ad" TargetMode="External"/><Relationship Id="rId251" Type="http://schemas.openxmlformats.org/officeDocument/2006/relationships/hyperlink" Target="https://www.scopus.com/inward/record.uri?eid=2-s2.0-85172418130&amp;doi=10.1007%2f978-3-031-40953-0_7&amp;partnerID=40&amp;md5=d8caae7eeb6c99c14377b30171f7d7fd" TargetMode="External"/><Relationship Id="rId489" Type="http://schemas.openxmlformats.org/officeDocument/2006/relationships/hyperlink" Target="https://www.scopus.com/inward/record.uri?eid=2-s2.0-85124507559&amp;partnerID=40&amp;md5=e35d34bb37600da3e091ae2fb26be8be" TargetMode="External"/><Relationship Id="rId654" Type="http://schemas.openxmlformats.org/officeDocument/2006/relationships/hyperlink" Target="https://www.scopus.com/inward/record.uri?eid=2-s2.0-85050681497&amp;doi=10.1109%2fDESSERT.2018.8409160&amp;partnerID=40&amp;md5=2377de0440fabb82da0eabf086a7a651" TargetMode="External"/><Relationship Id="rId696" Type="http://schemas.openxmlformats.org/officeDocument/2006/relationships/hyperlink" Target="https://www.scopus.com/inward/record.uri?eid=2-s2.0-85040003528&amp;doi=10.23919%2fIConAC.2017.8081999&amp;partnerID=40&amp;md5=d58648ce5bb475003ec28bbbd6c32af3" TargetMode="External"/><Relationship Id="rId46" Type="http://schemas.openxmlformats.org/officeDocument/2006/relationships/hyperlink" Target="https://www.scopus.com/inward/record.uri?eid=2-s2.0-85178014504&amp;doi=10.1109%2fTVT.2023.3335839&amp;partnerID=40&amp;md5=28e3212d23c88803fe1d82c07794be4c" TargetMode="External"/><Relationship Id="rId293" Type="http://schemas.openxmlformats.org/officeDocument/2006/relationships/hyperlink" Target="https://www.scopus.com/inward/record.uri?eid=2-s2.0-85176506630&amp;doi=10.1117%2f12.2679801&amp;partnerID=40&amp;md5=8be857a43d940ddd0821d4d4e57ca4ea" TargetMode="External"/><Relationship Id="rId307" Type="http://schemas.openxmlformats.org/officeDocument/2006/relationships/hyperlink" Target="https://www.scopus.com/inward/record.uri?eid=2-s2.0-85128626631&amp;doi=10.1145%2f3508072.3508083&amp;partnerID=40&amp;md5=cb7f284d8a5c424618ba5c780ee44b3e" TargetMode="External"/><Relationship Id="rId349" Type="http://schemas.openxmlformats.org/officeDocument/2006/relationships/hyperlink" Target="https://www.scopus.com/inward/record.uri?eid=2-s2.0-85147324144&amp;doi=10.1109%2fMILCOM55135.2022.10017870&amp;partnerID=40&amp;md5=edfc5f9119954d5133d510d6958e83fc" TargetMode="External"/><Relationship Id="rId514" Type="http://schemas.openxmlformats.org/officeDocument/2006/relationships/hyperlink" Target="https://www.scopus.com/inward/record.uri?eid=2-s2.0-85114829025&amp;doi=10.1016%2fj.iot.2020.100218&amp;partnerID=40&amp;md5=dcdd55ac649594a6bbc0455006de3618" TargetMode="External"/><Relationship Id="rId556" Type="http://schemas.openxmlformats.org/officeDocument/2006/relationships/hyperlink" Target="https://www.scopus.com/inward/record.uri?eid=2-s2.0-85066408597&amp;doi=10.1016%2fj.cose.2019.05.003&amp;partnerID=40&amp;md5=c87e78bef5455fc697e37859bfdda101" TargetMode="External"/><Relationship Id="rId721" Type="http://schemas.openxmlformats.org/officeDocument/2006/relationships/hyperlink" Target="https://www.scopus.com/inward/record.uri?eid=2-s2.0-84896897670&amp;partnerID=40&amp;md5=f0fb01624e366d5257afb50f5e58df60" TargetMode="External"/><Relationship Id="rId88" Type="http://schemas.openxmlformats.org/officeDocument/2006/relationships/hyperlink" Target="https://www.scopus.com/inward/record.uri?eid=2-s2.0-85164447694&amp;doi=10.1109%2fTWC.2023.3290257&amp;partnerID=40&amp;md5=906182ec6c7e845cb185bbe31c2c74e5" TargetMode="External"/><Relationship Id="rId111" Type="http://schemas.openxmlformats.org/officeDocument/2006/relationships/hyperlink" Target="https://www.scopus.com/inward/record.uri?eid=2-s2.0-85180126826&amp;doi=10.1145%2f3628356.3630119&amp;partnerID=40&amp;md5=f26e313d435a5f47cc74c0bca0f59197" TargetMode="External"/><Relationship Id="rId153" Type="http://schemas.openxmlformats.org/officeDocument/2006/relationships/hyperlink" Target="https://www.scopus.com/inward/record.uri?eid=2-s2.0-85169461034&amp;doi=10.1109%2fTRO.2023.3269380&amp;partnerID=40&amp;md5=ad0493bc687d8be774ac595024dd324e" TargetMode="External"/><Relationship Id="rId195" Type="http://schemas.openxmlformats.org/officeDocument/2006/relationships/hyperlink" Target="https://www.scopus.com/inward/record.uri?eid=2-s2.0-85187975248&amp;doi=10.1109%2fACCESS.2024.3375343&amp;partnerID=40&amp;md5=77b5df05ab1ef9440c68670411a8e06c" TargetMode="External"/><Relationship Id="rId209" Type="http://schemas.openxmlformats.org/officeDocument/2006/relationships/hyperlink" Target="https://www.scopus.com/inward/record.uri?eid=2-s2.0-85190112314&amp;doi=10.1109%2fICMLA58977.2023.00265&amp;partnerID=40&amp;md5=b53048986bfe600c30d0670249e31610" TargetMode="External"/><Relationship Id="rId360" Type="http://schemas.openxmlformats.org/officeDocument/2006/relationships/hyperlink" Target="https://www.scopus.com/inward/record.uri?eid=2-s2.0-85123444462&amp;doi=10.1007%2f978-981-16-5529-6_35&amp;partnerID=40&amp;md5=71b3b711c643ee9cf89ba56912512d06" TargetMode="External"/><Relationship Id="rId416" Type="http://schemas.openxmlformats.org/officeDocument/2006/relationships/hyperlink" Target="https://www.scopus.com/inward/record.uri?eid=2-s2.0-85081748622&amp;doi=10.1007%2fs11277-020-07211-7&amp;partnerID=40&amp;md5=9e6606b40b595f1c8713d42daf142fc0" TargetMode="External"/><Relationship Id="rId598" Type="http://schemas.openxmlformats.org/officeDocument/2006/relationships/hyperlink" Target="https://www.scopus.com/inward/record.uri?eid=2-s2.0-85085180727&amp;doi=10.1007%2f978-981-15-3284-9_86&amp;partnerID=40&amp;md5=7264bed5d47dc9e25ea3477145829e87" TargetMode="External"/><Relationship Id="rId220" Type="http://schemas.openxmlformats.org/officeDocument/2006/relationships/hyperlink" Target="https://www.scopus.com/inward/record.uri?eid=2-s2.0-85190495336&amp;doi=10.1109%2fICSH57060.2023.10482823&amp;partnerID=40&amp;md5=598d336cbf9c9257c88b01ef7943be06" TargetMode="External"/><Relationship Id="rId458" Type="http://schemas.openxmlformats.org/officeDocument/2006/relationships/hyperlink" Target="https://www.scopus.com/inward/record.uri?eid=2-s2.0-85116978314&amp;doi=10.1109%2fACCESS.2021.3116058&amp;partnerID=40&amp;md5=e89f3bc6f98402a5c40dcc4a224d566e" TargetMode="External"/><Relationship Id="rId623" Type="http://schemas.openxmlformats.org/officeDocument/2006/relationships/hyperlink" Target="https://www.scopus.com/inward/record.uri?eid=2-s2.0-84983401685&amp;partnerID=40&amp;md5=7712ef39d101c24fe1215feaf16a8f14" TargetMode="External"/><Relationship Id="rId665" Type="http://schemas.openxmlformats.org/officeDocument/2006/relationships/hyperlink" Target="https://www.scopus.com/inward/record.uri?eid=2-s2.0-85066611818&amp;doi=10.1117%2f12.2507669&amp;partnerID=40&amp;md5=43a98a50ca27e8ca0ea324181638de07" TargetMode="External"/><Relationship Id="rId15" Type="http://schemas.openxmlformats.org/officeDocument/2006/relationships/hyperlink" Target="https://www.scopus.com/inward/record.uri?eid=2-s2.0-85201289295&amp;doi=10.1088%2f1742-6596%2f2807%2f1%2f012020&amp;partnerID=40&amp;md5=ea8e291b833d5ce3d03127740ba3b3e0" TargetMode="External"/><Relationship Id="rId57" Type="http://schemas.openxmlformats.org/officeDocument/2006/relationships/hyperlink" Target="https://www.scopus.com/inward/record.uri?eid=2-s2.0-85198906175&amp;doi=10.1109%2fSmartNets61466.2024.10577710&amp;partnerID=40&amp;md5=1421cd3163936eae592684750b2ff967" TargetMode="External"/><Relationship Id="rId262" Type="http://schemas.openxmlformats.org/officeDocument/2006/relationships/hyperlink" Target="https://www.scopus.com/inward/record.uri?eid=2-s2.0-85146590003&amp;doi=10.3390%2fapp13020755&amp;partnerID=40&amp;md5=f219f6cf5345b76900c1575631cd1eae" TargetMode="External"/><Relationship Id="rId318" Type="http://schemas.openxmlformats.org/officeDocument/2006/relationships/hyperlink" Target="https://www.scopus.com/inward/record.uri?eid=2-s2.0-85116706166&amp;doi=10.3390%2frs13194017&amp;partnerID=40&amp;md5=3c7b4baec187482d0e8f1c90f65d7a4e" TargetMode="External"/><Relationship Id="rId525" Type="http://schemas.openxmlformats.org/officeDocument/2006/relationships/hyperlink" Target="https://www.scopus.com/inward/record.uri?eid=2-s2.0-85076481250&amp;doi=10.1007%2fs10916-019-1489-9&amp;partnerID=40&amp;md5=18dd696b0e537c7dc4e109765635cf49" TargetMode="External"/><Relationship Id="rId567" Type="http://schemas.openxmlformats.org/officeDocument/2006/relationships/hyperlink" Target="https://www.scopus.com/inward/record.uri?eid=2-s2.0-85081278422&amp;doi=10.1109%2fREDUAS47371.2019.8999723&amp;partnerID=40&amp;md5=a0ecf997f2ea01b1f3786ecf236a6e99" TargetMode="External"/><Relationship Id="rId732" Type="http://schemas.openxmlformats.org/officeDocument/2006/relationships/hyperlink" Target="https://doi.org/10.1109/iThings-GreenCom-CPSCom-SmartData-Cybermatics62450.2024.00090" TargetMode="External"/><Relationship Id="rId99" Type="http://schemas.openxmlformats.org/officeDocument/2006/relationships/hyperlink" Target="https://www.scopus.com/inward/record.uri?eid=2-s2.0-85191292329&amp;doi=10.1016%2fj.nexus.2024.100300&amp;partnerID=40&amp;md5=70833dc8d67c6ddeaf01ffcaaab83369" TargetMode="External"/><Relationship Id="rId122" Type="http://schemas.openxmlformats.org/officeDocument/2006/relationships/hyperlink" Target="https://www.scopus.com/inward/record.uri?eid=2-s2.0-85154057946&amp;doi=10.3390%2fdrones7040248&amp;partnerID=40&amp;md5=e0908f92ae469f3d5785591bb307bfad" TargetMode="External"/><Relationship Id="rId164" Type="http://schemas.openxmlformats.org/officeDocument/2006/relationships/hyperlink" Target="https://www.scopus.com/inward/record.uri?eid=2-s2.0-85149681140&amp;doi=10.1016%2fj.treng.2023.100168&amp;partnerID=40&amp;md5=ed763e42444ab01c3b99f7feeb914736" TargetMode="External"/><Relationship Id="rId371" Type="http://schemas.openxmlformats.org/officeDocument/2006/relationships/hyperlink" Target="https://www.scopus.com/inward/record.uri?eid=2-s2.0-85133205474&amp;doi=10.1145%2f3488932.3517409&amp;partnerID=40&amp;md5=39a025b5ccd62d5b0a45a1be92de01f1" TargetMode="External"/><Relationship Id="rId427" Type="http://schemas.openxmlformats.org/officeDocument/2006/relationships/hyperlink" Target="https://www.scopus.com/inward/record.uri?eid=2-s2.0-85125652553&amp;doi=10.1109%2fIWCMC51323.2021.9498734&amp;partnerID=40&amp;md5=37774f0e37ff723d00a41ea2c8bb4c95" TargetMode="External"/><Relationship Id="rId469" Type="http://schemas.openxmlformats.org/officeDocument/2006/relationships/hyperlink" Target="https://www.scopus.com/inward/record.uri?eid=2-s2.0-85096824991&amp;doi=10.4018%2fIJDCF.2021010101&amp;partnerID=40&amp;md5=ae740bdcfb54c064f1cb38a081f9ee86" TargetMode="External"/><Relationship Id="rId634" Type="http://schemas.openxmlformats.org/officeDocument/2006/relationships/hyperlink" Target="https://www.scopus.com/inward/record.uri?eid=2-s2.0-85061428219&amp;doi=10.1109%2fEUC.2018.00016&amp;partnerID=40&amp;md5=eb41510914fca949fa4003f6e29eb4cd" TargetMode="External"/><Relationship Id="rId676" Type="http://schemas.openxmlformats.org/officeDocument/2006/relationships/hyperlink" Target="https://www.scopus.com/inward/record.uri?eid=2-s2.0-85018242334&amp;doi=10.1145%2f3017680.3022449&amp;partnerID=40&amp;md5=f2d3db619333d47101ae23f8685080c3" TargetMode="External"/><Relationship Id="rId26" Type="http://schemas.openxmlformats.org/officeDocument/2006/relationships/hyperlink" Target="https://www.scopus.com/inward/record.uri?eid=2-s2.0-85205883876&amp;doi=10.1109%2fACCESS.2024.3471806&amp;partnerID=40&amp;md5=ce12656e381505141ab8240ae900355d" TargetMode="External"/><Relationship Id="rId231" Type="http://schemas.openxmlformats.org/officeDocument/2006/relationships/hyperlink" Target="https://www.scopus.com/inward/record.uri?eid=2-s2.0-85176115272&amp;doi=10.1117%2f12.3009211&amp;partnerID=40&amp;md5=42bd973733ecdea8a481ed6fdf61bdd5" TargetMode="External"/><Relationship Id="rId273" Type="http://schemas.openxmlformats.org/officeDocument/2006/relationships/hyperlink" Target="https://www.scopus.com/inward/record.uri?eid=2-s2.0-85136685290&amp;doi=10.1109%2fJIOT.2022.3200121&amp;partnerID=40&amp;md5=213abaf5a6e42ebdebd6574175fdeae2" TargetMode="External"/><Relationship Id="rId329" Type="http://schemas.openxmlformats.org/officeDocument/2006/relationships/hyperlink" Target="https://www.scopus.com/inward/record.uri?eid=2-s2.0-85136325924&amp;doi=10.1109%2fICETCI55101.2022.9832098&amp;partnerID=40&amp;md5=8a8e02bdcd2f8a7054fc650b6548bfe5" TargetMode="External"/><Relationship Id="rId480" Type="http://schemas.openxmlformats.org/officeDocument/2006/relationships/hyperlink" Target="https://www.scopus.com/inward/record.uri?eid=2-s2.0-85125193071&amp;doi=10.1109%2fCCDC52312.2021.9602343&amp;partnerID=40&amp;md5=edd913925a62d7d2370961100399c1dc" TargetMode="External"/><Relationship Id="rId536" Type="http://schemas.openxmlformats.org/officeDocument/2006/relationships/hyperlink" Target="https://www.scopus.com/inward/record.uri?eid=2-s2.0-85060177537&amp;doi=10.1016%2fj.compeleceng.2019.01.007&amp;partnerID=40&amp;md5=3f68acd289479daf09b57a0ed8eef685" TargetMode="External"/><Relationship Id="rId701" Type="http://schemas.openxmlformats.org/officeDocument/2006/relationships/hyperlink" Target="https://www.scopus.com/inward/record.uri?eid=2-s2.0-84939218214&amp;partnerID=40&amp;md5=20836b766af157fcd0051f11ef988b66" TargetMode="External"/><Relationship Id="rId68" Type="http://schemas.openxmlformats.org/officeDocument/2006/relationships/hyperlink" Target="https://www.scopus.com/inward/record.uri?eid=2-s2.0-85202345878&amp;doi=10.1016%2fj.cose.2024.104073&amp;partnerID=40&amp;md5=719dbab03189617a29f65933fdac0234" TargetMode="External"/><Relationship Id="rId133" Type="http://schemas.openxmlformats.org/officeDocument/2006/relationships/hyperlink" Target="https://www.scopus.com/inward/record.uri?eid=2-s2.0-85169675049&amp;doi=10.1109%2fTVT.2023.3309377&amp;partnerID=40&amp;md5=d11e64002b225a7a8522cab200c705e9" TargetMode="External"/><Relationship Id="rId175" Type="http://schemas.openxmlformats.org/officeDocument/2006/relationships/hyperlink" Target="https://www.scopus.com/inward/record.uri?eid=2-s2.0-85169664239&amp;doi=10.1109%2fJSAC.2023.3310056&amp;partnerID=40&amp;md5=4482dfe033aba8acd1727920a0c9c68e" TargetMode="External"/><Relationship Id="rId340" Type="http://schemas.openxmlformats.org/officeDocument/2006/relationships/hyperlink" Target="https://www.scopus.com/inward/record.uri?eid=2-s2.0-85127045058&amp;doi=10.3390%2felectronics11071026&amp;partnerID=40&amp;md5=c5feba9b1460f12395711476d0d4228c" TargetMode="External"/><Relationship Id="rId578" Type="http://schemas.openxmlformats.org/officeDocument/2006/relationships/hyperlink" Target="https://www.scopus.com/inward/record.uri?eid=2-s2.0-85087062240&amp;doi=10.1109%2fSIEDS49339.2020.9106687&amp;partnerID=40&amp;md5=fa3e94750d7074e9933b81ede29dfccb" TargetMode="External"/><Relationship Id="rId200" Type="http://schemas.openxmlformats.org/officeDocument/2006/relationships/hyperlink" Target="https://www.scopus.com/inward/record.uri?eid=2-s2.0-85139494834&amp;doi=10.1109%2fTASE.2022.3208662&amp;partnerID=40&amp;md5=6c8fcea099c51793677ce7995afc6d47" TargetMode="External"/><Relationship Id="rId382" Type="http://schemas.openxmlformats.org/officeDocument/2006/relationships/hyperlink" Target="https://www.scopus.com/inward/record.uri?eid=2-s2.0-85123870568&amp;doi=10.2514%2f6.2022-2543&amp;partnerID=40&amp;md5=b958b21f525e18ee30e74bd8ad0bd275" TargetMode="External"/><Relationship Id="rId438" Type="http://schemas.openxmlformats.org/officeDocument/2006/relationships/hyperlink" Target="https://www.scopus.com/inward/record.uri?eid=2-s2.0-85125014889&amp;doi=10.1109%2fPRDC53464.2021.00026&amp;partnerID=40&amp;md5=02a989887fecd7fd48b3ede48df699c7" TargetMode="External"/><Relationship Id="rId603" Type="http://schemas.openxmlformats.org/officeDocument/2006/relationships/hyperlink" Target="https://www.scopus.com/inward/record.uri?eid=2-s2.0-85064748728&amp;doi=10.1109%2fGWS.2018.8686672&amp;partnerID=40&amp;md5=69aeeaae82d64239df4209c72355260c" TargetMode="External"/><Relationship Id="rId645" Type="http://schemas.openxmlformats.org/officeDocument/2006/relationships/hyperlink" Target="https://www.scopus.com/inward/record.uri?eid=2-s2.0-84960940757&amp;doi=10.1016%2fj.anucene.2016.03.004&amp;partnerID=40&amp;md5=7255e4c091098d188c2d055bd4f98c6e" TargetMode="External"/><Relationship Id="rId687" Type="http://schemas.openxmlformats.org/officeDocument/2006/relationships/hyperlink" Target="https://www.scopus.com/inward/record.uri?eid=2-s2.0-85052068057&amp;doi=10.1145%2f3215466.3215467&amp;partnerID=40&amp;md5=adab3e01161e73b5245b229bf2666b94" TargetMode="External"/><Relationship Id="rId242" Type="http://schemas.openxmlformats.org/officeDocument/2006/relationships/hyperlink" Target="https://www.scopus.com/inward/record.uri?eid=2-s2.0-85168771364&amp;doi=10.1007%2f978-981-99-1479-1_2&amp;partnerID=40&amp;md5=1cddf23279019d3855073c8fbc60ec0d" TargetMode="External"/><Relationship Id="rId284" Type="http://schemas.openxmlformats.org/officeDocument/2006/relationships/hyperlink" Target="https://www.scopus.com/inward/record.uri?eid=2-s2.0-85139826714&amp;doi=10.3390%2felectronics11193025&amp;partnerID=40&amp;md5=7e454d08aa0fd337e74504a603fa6e61" TargetMode="External"/><Relationship Id="rId491" Type="http://schemas.openxmlformats.org/officeDocument/2006/relationships/hyperlink" Target="https://www.scopus.com/inward/record.uri?eid=2-s2.0-85091336393&amp;doi=10.1007%2f978-3-030-58703-1_8&amp;partnerID=40&amp;md5=b7891761c636376dbf67e002f787d57c" TargetMode="External"/><Relationship Id="rId505" Type="http://schemas.openxmlformats.org/officeDocument/2006/relationships/hyperlink" Target="https://www.scopus.com/inward/record.uri?eid=2-s2.0-85126080859&amp;partnerID=40&amp;md5=b0b790e2810eda2ae7c9518bc066fd40" TargetMode="External"/><Relationship Id="rId712" Type="http://schemas.openxmlformats.org/officeDocument/2006/relationships/hyperlink" Target="https://www.scopus.com/inward/record.uri?eid=2-s2.0-84899121127&amp;doi=10.1109%2fIMaRC.2013.6777698&amp;partnerID=40&amp;md5=31199fe40883708ce0263b5ee55a201c" TargetMode="External"/><Relationship Id="rId37" Type="http://schemas.openxmlformats.org/officeDocument/2006/relationships/hyperlink" Target="https://www.scopus.com/inward/record.uri?eid=2-s2.0-85210256685&amp;doi=10.1109%2fMASS62177.2024.00108&amp;partnerID=40&amp;md5=be8b1ab89d6d5acc0015f788d4e31be8" TargetMode="External"/><Relationship Id="rId79" Type="http://schemas.openxmlformats.org/officeDocument/2006/relationships/hyperlink" Target="https://www.scopus.com/inward/record.uri?eid=2-s2.0-85184656031&amp;doi=10.1016%2fj.cosrev.2023.100614&amp;partnerID=40&amp;md5=7df130c44b36740e21b9b30c7ad7908a" TargetMode="External"/><Relationship Id="rId102" Type="http://schemas.openxmlformats.org/officeDocument/2006/relationships/hyperlink" Target="https://www.scopus.com/inward/record.uri?eid=2-s2.0-85172191035&amp;doi=10.3390%2fsafety9030064&amp;partnerID=40&amp;md5=ec2decd0c7d1521b3af54313d49d6cbf" TargetMode="External"/><Relationship Id="rId144" Type="http://schemas.openxmlformats.org/officeDocument/2006/relationships/hyperlink" Target="https://www.scopus.com/inward/record.uri?eid=2-s2.0-85164777967&amp;doi=10.3390%2felectronics12132917&amp;partnerID=40&amp;md5=a75c3931527b30fd5fcf4226a35b1eff" TargetMode="External"/><Relationship Id="rId547" Type="http://schemas.openxmlformats.org/officeDocument/2006/relationships/hyperlink" Target="https://www.scopus.com/inward/record.uri?eid=2-s2.0-85076687557&amp;doi=10.1016%2fj.sysarc.2019.101694&amp;partnerID=40&amp;md5=b4b76708820ed57216add6b069cf8cd1" TargetMode="External"/><Relationship Id="rId589" Type="http://schemas.openxmlformats.org/officeDocument/2006/relationships/hyperlink" Target="https://www.scopus.com/inward/record.uri?eid=2-s2.0-85083719294&amp;doi=10.1109%2fJIOT.2019.2963337&amp;partnerID=40&amp;md5=58bc4263f887669ac2fde6d30ab6d1d4" TargetMode="External"/><Relationship Id="rId90" Type="http://schemas.openxmlformats.org/officeDocument/2006/relationships/hyperlink" Target="https://www.scopus.com/inward/record.uri?eid=2-s2.0-85208067719&amp;doi=10.1109%2fIOTSMS62296.2024.10710230&amp;partnerID=40&amp;md5=74434bfcaaa1058dfe681775acdf7f74" TargetMode="External"/><Relationship Id="rId186" Type="http://schemas.openxmlformats.org/officeDocument/2006/relationships/hyperlink" Target="https://www.scopus.com/inward/record.uri?eid=2-s2.0-85173473061&amp;doi=10.32604%2fcmc.2023.039381&amp;partnerID=40&amp;md5=cdda5328deb0cc5d2b625fb6cc69e4ef" TargetMode="External"/><Relationship Id="rId351" Type="http://schemas.openxmlformats.org/officeDocument/2006/relationships/hyperlink" Target="https://www.scopus.com/inward/record.uri?eid=2-s2.0-85119423764&amp;doi=10.1109%2fMNET.111.2100016&amp;partnerID=40&amp;md5=409b7f6b8907188820364c80f9fc2d23" TargetMode="External"/><Relationship Id="rId393" Type="http://schemas.openxmlformats.org/officeDocument/2006/relationships/hyperlink" Target="https://www.scopus.com/inward/record.uri?eid=2-s2.0-85134766649&amp;doi=10.1590%2f1807-1929%2fagriambi.v26n8p624-630&amp;partnerID=40&amp;md5=36bffd4da6d665d3daf36fe5bb422474" TargetMode="External"/><Relationship Id="rId407" Type="http://schemas.openxmlformats.org/officeDocument/2006/relationships/hyperlink" Target="https://www.scopus.com/inward/record.uri?eid=2-s2.0-85100317843&amp;doi=10.1109%2fLARS%2fSBR%2fWRE51543.2020.9307036&amp;partnerID=40&amp;md5=4f2784ebba79f2f8835ab093c2b5f9f4" TargetMode="External"/><Relationship Id="rId449" Type="http://schemas.openxmlformats.org/officeDocument/2006/relationships/hyperlink" Target="https://www.scopus.com/inward/record.uri?eid=2-s2.0-85125335050&amp;doi=10.1109%2fICCIS54243.2021.9676394&amp;partnerID=40&amp;md5=a9194aace12fb34937777720bb20b8f8" TargetMode="External"/><Relationship Id="rId614" Type="http://schemas.openxmlformats.org/officeDocument/2006/relationships/hyperlink" Target="https://www.scopus.com/inward/record.uri?eid=2-s2.0-85021302034&amp;doi=10.1109%2fELNANO.2017.7939812&amp;partnerID=40&amp;md5=4d575e61facf6ab072b1f48361fb9e9c" TargetMode="External"/><Relationship Id="rId656" Type="http://schemas.openxmlformats.org/officeDocument/2006/relationships/hyperlink" Target="https://www.scopus.com/inward/record.uri?eid=2-s2.0-85014791953&amp;doi=10.4324%2f9781315713793&amp;partnerID=40&amp;md5=6b45ba094a8ae47a48ce034ccb8d09cf" TargetMode="External"/><Relationship Id="rId211" Type="http://schemas.openxmlformats.org/officeDocument/2006/relationships/hyperlink" Target="https://www.scopus.com/inward/record.uri?eid=2-s2.0-85184108406&amp;doi=10.1016%2fj.procs.2023.12.128&amp;partnerID=40&amp;md5=7bd13758a9191055dacd11f0edbdb8fb" TargetMode="External"/><Relationship Id="rId253" Type="http://schemas.openxmlformats.org/officeDocument/2006/relationships/hyperlink" Target="https://www.scopus.com/inward/record.uri?eid=2-s2.0-85162860531&amp;doi=10.1109%2fPLANS53410.2023.10140116&amp;partnerID=40&amp;md5=eb2f4311926eb1c2d3f465bde0540ce7" TargetMode="External"/><Relationship Id="rId295" Type="http://schemas.openxmlformats.org/officeDocument/2006/relationships/hyperlink" Target="https://www.scopus.com/inward/record.uri?eid=2-s2.0-85163623216&amp;doi=10.1016%2fj.ifacol.2023.03.066&amp;partnerID=40&amp;md5=2fc11771e421aaf966b91ac3f6a6a353" TargetMode="External"/><Relationship Id="rId309" Type="http://schemas.openxmlformats.org/officeDocument/2006/relationships/hyperlink" Target="https://www.scopus.com/inward/record.uri?eid=2-s2.0-85124727011&amp;doi=10.1109%2fACCESS.2022.3150020&amp;partnerID=40&amp;md5=84837ed986a1f8462e9a021773bbec11" TargetMode="External"/><Relationship Id="rId460" Type="http://schemas.openxmlformats.org/officeDocument/2006/relationships/hyperlink" Target="https://www.scopus.com/inward/record.uri?eid=2-s2.0-85102412665&amp;doi=10.1109%2fIROS45743.2020.9340835&amp;partnerID=40&amp;md5=1e6b469d3f74bff2cdfc2a2ee14369ec" TargetMode="External"/><Relationship Id="rId516" Type="http://schemas.openxmlformats.org/officeDocument/2006/relationships/hyperlink" Target="https://www.scopus.com/inward/record.uri?eid=2-s2.0-85097130044&amp;doi=10.1145%2f3414045.3415951&amp;partnerID=40&amp;md5=1d63c9d89199cf8dfff17a26e58bf4cd" TargetMode="External"/><Relationship Id="rId698" Type="http://schemas.openxmlformats.org/officeDocument/2006/relationships/hyperlink" Target="https://www.scopus.com/inward/record.uri?eid=2-s2.0-84979885686&amp;doi=10.1145%2f2935620.2935629&amp;partnerID=40&amp;md5=0a7c0d24a022db5f6c814239c541945e" TargetMode="External"/><Relationship Id="rId48" Type="http://schemas.openxmlformats.org/officeDocument/2006/relationships/hyperlink" Target="https://www.scopus.com/inward/record.uri?eid=2-s2.0-85198432615&amp;doi=10.3390%2fapp14135487&amp;partnerID=40&amp;md5=ec42d326f1fd551cd08d28d0231cf558" TargetMode="External"/><Relationship Id="rId113" Type="http://schemas.openxmlformats.org/officeDocument/2006/relationships/hyperlink" Target="https://www.scopus.com/inward/record.uri?eid=2-s2.0-85195404837&amp;doi=10.1109%2fTVT.2024.3408289&amp;partnerID=40&amp;md5=7dfd15ceb41ad3ebffb3bc69c93bd523" TargetMode="External"/><Relationship Id="rId320" Type="http://schemas.openxmlformats.org/officeDocument/2006/relationships/hyperlink" Target="https://www.scopus.com/inward/record.uri?eid=2-s2.0-85172022652&amp;doi=10.1109%2fCSCI58124.2022.00171&amp;partnerID=40&amp;md5=01ce50f68e76b3554308005a0ad03a7f" TargetMode="External"/><Relationship Id="rId558" Type="http://schemas.openxmlformats.org/officeDocument/2006/relationships/hyperlink" Target="https://www.scopus.com/inward/record.uri?eid=2-s2.0-85071834772&amp;doi=10.1109%2fICUAS.2019.8797939&amp;partnerID=40&amp;md5=13e7a30ea81721da350d1d8e920de6e0" TargetMode="External"/><Relationship Id="rId723" Type="http://schemas.openxmlformats.org/officeDocument/2006/relationships/hyperlink" Target="https://www.scopus.com/inward/record.uri?eid=2-s2.0-84938792376&amp;partnerID=40&amp;md5=d55f4a310cd3a80f621220e6bae78b16" TargetMode="External"/><Relationship Id="rId155" Type="http://schemas.openxmlformats.org/officeDocument/2006/relationships/hyperlink" Target="https://www.scopus.com/inward/record.uri?eid=2-s2.0-85197375589&amp;partnerID=40&amp;md5=e268c5234c34b1bc6ecd2658ed46e79f" TargetMode="External"/><Relationship Id="rId197" Type="http://schemas.openxmlformats.org/officeDocument/2006/relationships/hyperlink" Target="https://www.scopus.com/inward/record.uri?eid=2-s2.0-85197393359&amp;doi=10.1109%2fICUAS60882.2024.10557088&amp;partnerID=40&amp;md5=c5e78f5d45e9916cee3b180fc5f302a8" TargetMode="External"/><Relationship Id="rId362" Type="http://schemas.openxmlformats.org/officeDocument/2006/relationships/hyperlink" Target="https://www.scopus.com/inward/record.uri?eid=2-s2.0-85159500263&amp;doi=10.1007%2f978-3-319-91875-4_60&amp;partnerID=40&amp;md5=e65337c895612fc73ceef2a16731c671" TargetMode="External"/><Relationship Id="rId418" Type="http://schemas.openxmlformats.org/officeDocument/2006/relationships/hyperlink" Target="https://www.scopus.com/inward/record.uri?eid=2-s2.0-85101764669&amp;doi=10.1007%2f978-3-030-67871-5_15&amp;partnerID=40&amp;md5=d34ade7f32b328be4aa7e2060e5b1e54" TargetMode="External"/><Relationship Id="rId625" Type="http://schemas.openxmlformats.org/officeDocument/2006/relationships/hyperlink" Target="https://www.scopus.com/inward/record.uri?eid=2-s2.0-85053931159&amp;doi=10.1139%2fjuvs-2017-0018&amp;partnerID=40&amp;md5=8e284fee494d097e2a63c2c1f29bf7da" TargetMode="External"/><Relationship Id="rId222" Type="http://schemas.openxmlformats.org/officeDocument/2006/relationships/hyperlink" Target="https://www.scopus.com/inward/record.uri?eid=2-s2.0-85149390810&amp;doi=10.1109%2fLRA.2023.3245412&amp;partnerID=40&amp;md5=d13b6aee315309e6a7d2b504bedbb586" TargetMode="External"/><Relationship Id="rId264" Type="http://schemas.openxmlformats.org/officeDocument/2006/relationships/hyperlink" Target="https://www.scopus.com/inward/record.uri?eid=2-s2.0-85149401041&amp;doi=10.1016%2fj.comnet.2023.109664&amp;partnerID=40&amp;md5=c62f523aff6f4dcaa1bdee6b77efb106" TargetMode="External"/><Relationship Id="rId471" Type="http://schemas.openxmlformats.org/officeDocument/2006/relationships/hyperlink" Target="https://www.scopus.com/inward/record.uri?eid=2-s2.0-85111397640&amp;partnerID=40&amp;md5=ce75ecf1f92824a33a17c2920a398665" TargetMode="External"/><Relationship Id="rId667" Type="http://schemas.openxmlformats.org/officeDocument/2006/relationships/hyperlink" Target="https://www.scopus.com/inward/record.uri?eid=2-s2.0-85060619554&amp;doi=10.1109%2fDASC.2018.8569300&amp;partnerID=40&amp;md5=3f92c3273e64ffc66b0d501ab520a0f1" TargetMode="External"/><Relationship Id="rId17" Type="http://schemas.openxmlformats.org/officeDocument/2006/relationships/hyperlink" Target="https://www.scopus.com/inward/record.uri?eid=2-s2.0-85206528810&amp;doi=10.3303%2fCET24111013&amp;partnerID=40&amp;md5=41dfcf74803ea50ea9562e0a9cef4e33" TargetMode="External"/><Relationship Id="rId59" Type="http://schemas.openxmlformats.org/officeDocument/2006/relationships/hyperlink" Target="https://www.scopus.com/inward/record.uri?eid=2-s2.0-85202349324&amp;doi=10.1109%2fINFOCOMWKSHPS61880.2024.10620818&amp;partnerID=40&amp;md5=68812a56f94888c6084cbe8080d96dda" TargetMode="External"/><Relationship Id="rId124" Type="http://schemas.openxmlformats.org/officeDocument/2006/relationships/hyperlink" Target="https://www.scopus.com/inward/record.uri?eid=2-s2.0-85178075952&amp;doi=10.1109%2fOJCOMS.2023.3334489&amp;partnerID=40&amp;md5=b5919c4b0987ebef27142e543111c377" TargetMode="External"/><Relationship Id="rId527" Type="http://schemas.openxmlformats.org/officeDocument/2006/relationships/hyperlink" Target="https://www.scopus.com/inward/record.uri?eid=2-s2.0-85096358798&amp;doi=10.1117%2f12.2567409&amp;partnerID=40&amp;md5=2f39056a48779c909d59a0139b1d8c78" TargetMode="External"/><Relationship Id="rId569" Type="http://schemas.openxmlformats.org/officeDocument/2006/relationships/hyperlink" Target="https://www.scopus.com/inward/record.uri?eid=2-s2.0-85094649320&amp;doi=10.34190%2fEWS.20.509&amp;partnerID=40&amp;md5=81a08ad45a42bcf0b4d1d8a1766db573" TargetMode="External"/><Relationship Id="rId70" Type="http://schemas.openxmlformats.org/officeDocument/2006/relationships/hyperlink" Target="https://www.scopus.com/inward/record.uri?eid=2-s2.0-85203350895&amp;partnerID=40&amp;md5=9694cb74679db47ca940dc9e1a843a01" TargetMode="External"/><Relationship Id="rId166" Type="http://schemas.openxmlformats.org/officeDocument/2006/relationships/hyperlink" Target="https://www.scopus.com/inward/record.uri?eid=2-s2.0-85196787932&amp;doi=10.1109%2fICNS60906.2024.10550825&amp;partnerID=40&amp;md5=9abff39445dc85945df66dcbdf5fbbe3" TargetMode="External"/><Relationship Id="rId331" Type="http://schemas.openxmlformats.org/officeDocument/2006/relationships/hyperlink" Target="https://www.scopus.com/inward/record.uri?eid=2-s2.0-85121034284&amp;doi=10.1007%2fs10846-021-01512-0&amp;partnerID=40&amp;md5=58ffba7f3913c598fce9c5c80a5eeed9" TargetMode="External"/><Relationship Id="rId373" Type="http://schemas.openxmlformats.org/officeDocument/2006/relationships/hyperlink" Target="https://www.scopus.com/inward/record.uri?eid=2-s2.0-85138722543&amp;doi=10.1061%2f9780784484357.008&amp;partnerID=40&amp;md5=b0d86ad70a090b4e63dea8ac661a87f5" TargetMode="External"/><Relationship Id="rId429" Type="http://schemas.openxmlformats.org/officeDocument/2006/relationships/hyperlink" Target="https://www.scopus.com/inward/record.uri?eid=2-s2.0-85138322631&amp;doi=10.1201%2f9781003124689&amp;partnerID=40&amp;md5=ea6569a22e1df8f1623ffe91ac7cc027" TargetMode="External"/><Relationship Id="rId580" Type="http://schemas.openxmlformats.org/officeDocument/2006/relationships/hyperlink" Target="https://www.scopus.com/inward/record.uri?eid=2-s2.0-85078252140&amp;doi=10.1109%2fICTC46691.2019.8939911&amp;partnerID=40&amp;md5=376eb3ec310a93a014745892b928117b" TargetMode="External"/><Relationship Id="rId636" Type="http://schemas.openxmlformats.org/officeDocument/2006/relationships/hyperlink" Target="https://www.scopus.com/inward/record.uri?eid=2-s2.0-85053283657&amp;partnerID=40&amp;md5=6b7565fa096368dce21bb36ec27a3e91" TargetMode="External"/><Relationship Id="rId1" Type="http://schemas.openxmlformats.org/officeDocument/2006/relationships/hyperlink" Target="https://www.scopus.com/inward/record.uri?eid=2-s2.0-85188723814&amp;doi=10.3390%2fdrones8030109&amp;partnerID=40&amp;md5=736173188b2ac7aaf540895e18e677ad" TargetMode="External"/><Relationship Id="rId233" Type="http://schemas.openxmlformats.org/officeDocument/2006/relationships/hyperlink" Target="https://www.scopus.com/inward/record.uri?eid=2-s2.0-85160641039&amp;doi=10.1109%2fICNS58246.2023.10124294&amp;partnerID=40&amp;md5=dd48552e9305d18564b54eced1b5dfb0" TargetMode="External"/><Relationship Id="rId440" Type="http://schemas.openxmlformats.org/officeDocument/2006/relationships/hyperlink" Target="https://www.scopus.com/inward/record.uri?eid=2-s2.0-85113322028&amp;doi=10.1109%2fINFOCOMWKSHPS51825.2021.9484594&amp;partnerID=40&amp;md5=f42c0dad8207a865b8b14307e15aae39" TargetMode="External"/><Relationship Id="rId678" Type="http://schemas.openxmlformats.org/officeDocument/2006/relationships/hyperlink" Target="https://www.scopus.com/inward/record.uri?eid=2-s2.0-85045760047&amp;doi=10.1109%2fACCESS.2018.2827362&amp;partnerID=40&amp;md5=56e962a6f6046600cecf363dca9cfa8e" TargetMode="External"/><Relationship Id="rId28" Type="http://schemas.openxmlformats.org/officeDocument/2006/relationships/hyperlink" Target="https://www.scopus.com/inward/record.uri?eid=2-s2.0-85204044004&amp;doi=10.1117%2f12.3032589&amp;partnerID=40&amp;md5=79977787b5db1effc239febdfdce66f3" TargetMode="External"/><Relationship Id="rId275" Type="http://schemas.openxmlformats.org/officeDocument/2006/relationships/hyperlink" Target="https://www.scopus.com/inward/record.uri?eid=2-s2.0-85161059544&amp;doi=10.1109%2fACCESS.2023.3281731&amp;partnerID=40&amp;md5=3f512f86f44d708cb850dff975b14ab5" TargetMode="External"/><Relationship Id="rId300" Type="http://schemas.openxmlformats.org/officeDocument/2006/relationships/hyperlink" Target="https://www.scopus.com/inward/record.uri?eid=2-s2.0-85143825629&amp;doi=10.3390%2fs22239412&amp;partnerID=40&amp;md5=64fae955c9a5e47d7a415c04b067549c" TargetMode="External"/><Relationship Id="rId482" Type="http://schemas.openxmlformats.org/officeDocument/2006/relationships/hyperlink" Target="https://www.scopus.com/inward/record.uri?eid=2-s2.0-85123885507&amp;doi=10.2514%2f6.2021-3222&amp;partnerID=40&amp;md5=3f0ccaf10b1344bb46c6710ce59cb2ab" TargetMode="External"/><Relationship Id="rId538" Type="http://schemas.openxmlformats.org/officeDocument/2006/relationships/hyperlink" Target="https://www.scopus.com/inward/record.uri?eid=2-s2.0-85094946870&amp;doi=10.1109%2fICUAS48674.2020.9213871&amp;partnerID=40&amp;md5=dcd3907db2baa72cc8e41db46322ee2a" TargetMode="External"/><Relationship Id="rId703" Type="http://schemas.openxmlformats.org/officeDocument/2006/relationships/hyperlink" Target="https://www.scopus.com/inward/record.uri?eid=2-s2.0-84940761295&amp;partnerID=40&amp;md5=9d6bcd8e3eac2cc128f46965ac032a81" TargetMode="External"/><Relationship Id="rId81" Type="http://schemas.openxmlformats.org/officeDocument/2006/relationships/hyperlink" Target="https://www.scopus.com/inward/record.uri?eid=2-s2.0-85207657008&amp;doi=10.3390%2fdrones8100552&amp;partnerID=40&amp;md5=ec0e760a41f1a291b526a7d5eb7f3d40" TargetMode="External"/><Relationship Id="rId135" Type="http://schemas.openxmlformats.org/officeDocument/2006/relationships/hyperlink" Target="https://www.scopus.com/inward/record.uri?eid=2-s2.0-85195997243&amp;doi=10.1109%2fICIPRoB62548.2024.10543316&amp;partnerID=40&amp;md5=d5f91e84206f8864e149b6483d44f0b8" TargetMode="External"/><Relationship Id="rId177" Type="http://schemas.openxmlformats.org/officeDocument/2006/relationships/hyperlink" Target="https://www.scopus.com/inward/record.uri?eid=2-s2.0-85175701315&amp;doi=10.1016%2fj.jappgeo.2023.105224&amp;partnerID=40&amp;md5=740b699e393222674d8667a77c717d01" TargetMode="External"/><Relationship Id="rId342" Type="http://schemas.openxmlformats.org/officeDocument/2006/relationships/hyperlink" Target="https://www.scopus.com/inward/record.uri?eid=2-s2.0-85119113545&amp;doi=10.1007%2f978-3-030-80458-9_5&amp;partnerID=40&amp;md5=1794e0b20d25ad9c1e9b5c78e3af277c" TargetMode="External"/><Relationship Id="rId384" Type="http://schemas.openxmlformats.org/officeDocument/2006/relationships/hyperlink" Target="https://www.scopus.com/inward/record.uri?eid=2-s2.0-85142604882&amp;doi=10.1109%2fELNANO54667.2022.9927105&amp;partnerID=40&amp;md5=4b65ec91f170cdaaa9d5919b75ad04c3" TargetMode="External"/><Relationship Id="rId591" Type="http://schemas.openxmlformats.org/officeDocument/2006/relationships/hyperlink" Target="https://www.scopus.com/inward/record.uri?eid=2-s2.0-85068005218&amp;partnerID=40&amp;md5=f538452adb1b0fef088ae57a25f33ab1" TargetMode="External"/><Relationship Id="rId605" Type="http://schemas.openxmlformats.org/officeDocument/2006/relationships/hyperlink" Target="https://www.scopus.com/inward/record.uri?eid=2-s2.0-85063491880&amp;doi=10.1109%2fRTUCON.2018.8659813&amp;partnerID=40&amp;md5=92ecc30734fc3e48d178f75711289c33" TargetMode="External"/><Relationship Id="rId202" Type="http://schemas.openxmlformats.org/officeDocument/2006/relationships/hyperlink" Target="https://www.scopus.com/inward/record.uri?eid=2-s2.0-85163330141&amp;doi=10.1007%2f978-3-031-33743-7_30&amp;partnerID=40&amp;md5=6130666617b4f107dd75e12668cce4e0" TargetMode="External"/><Relationship Id="rId244" Type="http://schemas.openxmlformats.org/officeDocument/2006/relationships/hyperlink" Target="https://www.scopus.com/inward/record.uri?eid=2-s2.0-85153392551&amp;doi=10.1109%2fTIFS.2023.3266699&amp;partnerID=40&amp;md5=98b522ba76243c8ceea9e0173f79d2c5" TargetMode="External"/><Relationship Id="rId647" Type="http://schemas.openxmlformats.org/officeDocument/2006/relationships/hyperlink" Target="https://www.scopus.com/inward/record.uri?eid=2-s2.0-85055671193&amp;doi=10.1109%2fSOLI.2018.8476785&amp;partnerID=40&amp;md5=042e71937ba4fa9a7c12600d13ae8a97" TargetMode="External"/><Relationship Id="rId689" Type="http://schemas.openxmlformats.org/officeDocument/2006/relationships/hyperlink" Target="https://www.scopus.com/inward/record.uri?eid=2-s2.0-85051406744&amp;doi=10.1109%2fLGRS.2018.2858930&amp;partnerID=40&amp;md5=3d5f6776ff39f62a2ab47af01d8fddf1" TargetMode="External"/><Relationship Id="rId39" Type="http://schemas.openxmlformats.org/officeDocument/2006/relationships/hyperlink" Target="https://www.scopus.com/inward/record.uri?eid=2-s2.0-85208113366&amp;doi=10.1109%2fOJCOMS.2024.3486649&amp;partnerID=40&amp;md5=b7bf1318a54c38e682a17fd1dea8c7df" TargetMode="External"/><Relationship Id="rId286" Type="http://schemas.openxmlformats.org/officeDocument/2006/relationships/hyperlink" Target="https://www.scopus.com/inward/record.uri?eid=2-s2.0-85140267530&amp;doi=10.1049%2fcmu2.12525&amp;partnerID=40&amp;md5=c07e2d026815c37a43f4dcd5aca9ca47" TargetMode="External"/><Relationship Id="rId451" Type="http://schemas.openxmlformats.org/officeDocument/2006/relationships/hyperlink" Target="https://www.scopus.com/inward/record.uri?eid=2-s2.0-85123418569&amp;doi=10.1109%2fISNCC52172.2021.9615885&amp;partnerID=40&amp;md5=69604c70a03d01b0f1af1560f41e73b4" TargetMode="External"/><Relationship Id="rId493" Type="http://schemas.openxmlformats.org/officeDocument/2006/relationships/hyperlink" Target="https://www.scopus.com/inward/record.uri?eid=2-s2.0-85108551914&amp;doi=10.1145%2f3457339.3457979&amp;partnerID=40&amp;md5=9b9288c28aa93af652e09c181104011e" TargetMode="External"/><Relationship Id="rId507" Type="http://schemas.openxmlformats.org/officeDocument/2006/relationships/hyperlink" Target="https://www.scopus.com/inward/record.uri?eid=2-s2.0-85085474805&amp;doi=10.1109%2fICIoT48696.2020.9089515&amp;partnerID=40&amp;md5=27b7ed0816afc37599fc95b921414814" TargetMode="External"/><Relationship Id="rId549" Type="http://schemas.openxmlformats.org/officeDocument/2006/relationships/hyperlink" Target="https://www.scopus.com/inward/record.uri?eid=2-s2.0-85070506964&amp;partnerID=40&amp;md5=155a57af49c42c614e31f2125db2fbaf" TargetMode="External"/><Relationship Id="rId714" Type="http://schemas.openxmlformats.org/officeDocument/2006/relationships/hyperlink" Target="https://www.scopus.com/inward/record.uri?eid=2-s2.0-77952347844&amp;partnerID=40&amp;md5=bdabb12f48cfe516f3ad940d8206ea38" TargetMode="External"/><Relationship Id="rId50" Type="http://schemas.openxmlformats.org/officeDocument/2006/relationships/hyperlink" Target="https://www.scopus.com/inward/record.uri?eid=2-s2.0-85206258227&amp;doi=10.1016%2fj.scitotenv.2024.176791&amp;partnerID=40&amp;md5=dbbfa62259ba26939e372ae7865b5991" TargetMode="External"/><Relationship Id="rId104" Type="http://schemas.openxmlformats.org/officeDocument/2006/relationships/hyperlink" Target="https://www.scopus.com/inward/record.uri?eid=2-s2.0-85189373660&amp;doi=10.1109%2fMWC.010.2300200&amp;partnerID=40&amp;md5=419cf525c0ee6f2555d79034065fe8e2" TargetMode="External"/><Relationship Id="rId146" Type="http://schemas.openxmlformats.org/officeDocument/2006/relationships/hyperlink" Target="https://www.scopus.com/inward/record.uri?eid=2-s2.0-85148438700&amp;doi=10.1109%2fTGCN.2023.3243394&amp;partnerID=40&amp;md5=f0e4bf0ac25a7ec6f5d858e878138636" TargetMode="External"/><Relationship Id="rId188" Type="http://schemas.openxmlformats.org/officeDocument/2006/relationships/hyperlink" Target="https://www.scopus.com/inward/record.uri?eid=2-s2.0-85149363518&amp;doi=10.1109%2fTII.2022.3232772&amp;partnerID=40&amp;md5=cf53985ad3806c46ae2ed5f9f4c7c249" TargetMode="External"/><Relationship Id="rId311" Type="http://schemas.openxmlformats.org/officeDocument/2006/relationships/hyperlink" Target="https://www.scopus.com/inward/record.uri?eid=2-s2.0-85149292617&amp;doi=10.4043%2f31735-MS&amp;partnerID=40&amp;md5=3aaade72d52c61154828bb5445a35adf" TargetMode="External"/><Relationship Id="rId353" Type="http://schemas.openxmlformats.org/officeDocument/2006/relationships/hyperlink" Target="https://www.scopus.com/inward/record.uri?eid=2-s2.0-85110591632&amp;doi=10.1016%2fj.dsp.2021.103159&amp;partnerID=40&amp;md5=52b28469563ebb239e5f4cca0e5b683f" TargetMode="External"/><Relationship Id="rId395" Type="http://schemas.openxmlformats.org/officeDocument/2006/relationships/hyperlink" Target="https://www.scopus.com/inward/record.uri?eid=2-s2.0-85121936039&amp;doi=10.1007%2f978-3-030-91877-4_147&amp;partnerID=40&amp;md5=ebfc5a392f32f8e08d1432b88940b5a1" TargetMode="External"/><Relationship Id="rId409" Type="http://schemas.openxmlformats.org/officeDocument/2006/relationships/hyperlink" Target="https://www.scopus.com/inward/record.uri?eid=2-s2.0-85102829804&amp;doi=10.1109%2fMAES.2020.3015537&amp;partnerID=40&amp;md5=0a3d2e5b67bafb254de2ae31ed5640a2" TargetMode="External"/><Relationship Id="rId560" Type="http://schemas.openxmlformats.org/officeDocument/2006/relationships/hyperlink" Target="https://www.scopus.com/inward/record.uri?eid=2-s2.0-85063457249&amp;doi=10.1109%2fCCNC.2019.8651804&amp;partnerID=40&amp;md5=1c00c8ec07be69302c4bd650421e2f57" TargetMode="External"/><Relationship Id="rId92" Type="http://schemas.openxmlformats.org/officeDocument/2006/relationships/hyperlink" Target="https://www.scopus.com/inward/record.uri?eid=2-s2.0-85203458123&amp;doi=10.5573%2fIEIESPC.2024.13.4.313&amp;partnerID=40&amp;md5=2d1e1eb8a070cc11f72fe07c508bc1ce" TargetMode="External"/><Relationship Id="rId213" Type="http://schemas.openxmlformats.org/officeDocument/2006/relationships/hyperlink" Target="https://www.scopus.com/inward/record.uri?eid=2-s2.0-85136203824&amp;doi=10.1142%2fS0218126622300100&amp;partnerID=40&amp;md5=a438a3dd452e809b33bcbb194a8ae59f" TargetMode="External"/><Relationship Id="rId420" Type="http://schemas.openxmlformats.org/officeDocument/2006/relationships/hyperlink" Target="https://www.scopus.com/inward/record.uri?eid=2-s2.0-85175870373&amp;partnerID=40&amp;md5=6ba140e34d7d034ef0a0126337555b2d" TargetMode="External"/><Relationship Id="rId616" Type="http://schemas.openxmlformats.org/officeDocument/2006/relationships/hyperlink" Target="https://www.scopus.com/inward/record.uri?eid=2-s2.0-84984876274&amp;doi=10.1007%2f1345_2015_121&amp;partnerID=40&amp;md5=3bf3a72732dd0d8323c24b881385f550" TargetMode="External"/><Relationship Id="rId658" Type="http://schemas.openxmlformats.org/officeDocument/2006/relationships/hyperlink" Target="https://www.scopus.com/inward/record.uri?eid=2-s2.0-84989909808&amp;doi=10.1007%2f978-3-319-46301-8_49&amp;partnerID=40&amp;md5=b74776c027f6d4e61e8487e1842c9435" TargetMode="External"/><Relationship Id="rId255" Type="http://schemas.openxmlformats.org/officeDocument/2006/relationships/hyperlink" Target="https://www.scopus.com/inward/record.uri?eid=2-s2.0-85158963090&amp;doi=10.1109%2fNNICE58320.2023.10105795&amp;partnerID=40&amp;md5=d91bc066e4715c65d80d07c7d5dbf71d" TargetMode="External"/><Relationship Id="rId297" Type="http://schemas.openxmlformats.org/officeDocument/2006/relationships/hyperlink" Target="https://www.scopus.com/inward/record.uri?eid=2-s2.0-85178515791&amp;doi=10.1109%2fISSREW60843.2023.00065&amp;partnerID=40&amp;md5=19e119d05454f38fbb94af3909c77647" TargetMode="External"/><Relationship Id="rId462" Type="http://schemas.openxmlformats.org/officeDocument/2006/relationships/hyperlink" Target="https://www.scopus.com/inward/record.uri?eid=2-s2.0-85107210418&amp;doi=10.3390%2fdrones5020042&amp;partnerID=40&amp;md5=3ec2017d3d25f6cd2ec9ae5f40a85c97" TargetMode="External"/><Relationship Id="rId518" Type="http://schemas.openxmlformats.org/officeDocument/2006/relationships/hyperlink" Target="https://www.scopus.com/inward/record.uri?eid=2-s2.0-85095794845&amp;partnerID=40&amp;md5=cdb3cef2436e549d2583c5c9e8a8e954" TargetMode="External"/><Relationship Id="rId725" Type="http://schemas.openxmlformats.org/officeDocument/2006/relationships/hyperlink" Target="https://www.scopus.com/inward/record.uri?eid=2-s2.0-84865590662&amp;partnerID=40&amp;md5=306a6b6df306106a31b2e52bc2e3e4d3" TargetMode="External"/><Relationship Id="rId115" Type="http://schemas.openxmlformats.org/officeDocument/2006/relationships/hyperlink" Target="https://www.scopus.com/inward/record.uri?eid=2-s2.0-85195366894&amp;doi=10.1109%2fTMC.2024.3409050&amp;partnerID=40&amp;md5=99a815e62b48686e1ef3a58dd690db78" TargetMode="External"/><Relationship Id="rId157" Type="http://schemas.openxmlformats.org/officeDocument/2006/relationships/hyperlink" Target="https://www.scopus.com/inward/record.uri?eid=2-s2.0-85187988073&amp;doi=10.1109%2fTCOMM.2024.3374356&amp;partnerID=40&amp;md5=4ff22d2c4932269f5076971b15e83931" TargetMode="External"/><Relationship Id="rId322" Type="http://schemas.openxmlformats.org/officeDocument/2006/relationships/hyperlink" Target="https://www.scopus.com/inward/record.uri?eid=2-s2.0-85128673872&amp;doi=10.1109%2fJSEN.2022.3168940&amp;partnerID=40&amp;md5=4d2fd3706fd33dd5073d948905578a17" TargetMode="External"/><Relationship Id="rId364" Type="http://schemas.openxmlformats.org/officeDocument/2006/relationships/hyperlink" Target="https://www.scopus.com/inward/record.uri?eid=2-s2.0-85119212562&amp;doi=10.1109%2fKIT52904.2021.9583746&amp;partnerID=40&amp;md5=9639b41151d990f0890773531f91b323" TargetMode="External"/><Relationship Id="rId61" Type="http://schemas.openxmlformats.org/officeDocument/2006/relationships/hyperlink" Target="https://www.scopus.com/inward/record.uri?eid=2-s2.0-85181566533&amp;doi=10.1109%2fTITS.2023.3339728&amp;partnerID=40&amp;md5=424a8abab1318b7d2dfb7fce4bd57057" TargetMode="External"/><Relationship Id="rId199" Type="http://schemas.openxmlformats.org/officeDocument/2006/relationships/hyperlink" Target="https://www.scopus.com/inward/record.uri?eid=2-s2.0-85174303239&amp;doi=10.1145%2f3582515.3609566&amp;partnerID=40&amp;md5=7adc278b57bea53e45f652bb861eb26e" TargetMode="External"/><Relationship Id="rId571" Type="http://schemas.openxmlformats.org/officeDocument/2006/relationships/hyperlink" Target="https://www.scopus.com/inward/record.uri?eid=2-s2.0-85066977160&amp;doi=10.1109%2fICASET.2019.8714539&amp;partnerID=40&amp;md5=77aeddc240eeb35c96c613585f85279f" TargetMode="External"/><Relationship Id="rId627" Type="http://schemas.openxmlformats.org/officeDocument/2006/relationships/hyperlink" Target="https://www.scopus.com/inward/record.uri?eid=2-s2.0-85039980317&amp;doi=10.1109%2fINTERCON.2017.8079647&amp;partnerID=40&amp;md5=019aa472bbdba5a622adf3dd79c09443" TargetMode="External"/><Relationship Id="rId669" Type="http://schemas.openxmlformats.org/officeDocument/2006/relationships/hyperlink" Target="https://www.scopus.com/inward/record.uri?eid=2-s2.0-85055554556&amp;doi=10.1109%2fICMAE.2018.8467686&amp;partnerID=40&amp;md5=d876d98a9891c654978378fb59912448" TargetMode="External"/><Relationship Id="rId19" Type="http://schemas.openxmlformats.org/officeDocument/2006/relationships/hyperlink" Target="https://www.scopus.com/inward/record.uri?eid=2-s2.0-85210298511&amp;doi=10.1109%2fACCESS.2024.3503587&amp;partnerID=40&amp;md5=adb708bc137d1c71da1901c726cafeb7" TargetMode="External"/><Relationship Id="rId224" Type="http://schemas.openxmlformats.org/officeDocument/2006/relationships/hyperlink" Target="https://www.scopus.com/inward/record.uri?eid=2-s2.0-85182734864&amp;doi=10.1109%2fICSC60084.2023.10350000&amp;partnerID=40&amp;md5=a975e69ebd71f9a96ac94e0c7f9e3a7a" TargetMode="External"/><Relationship Id="rId266" Type="http://schemas.openxmlformats.org/officeDocument/2006/relationships/hyperlink" Target="https://www.scopus.com/inward/record.uri?eid=2-s2.0-85163053025&amp;doi=10.1109%2fISDFS58141.2023.10131729&amp;partnerID=40&amp;md5=7e9f4d092fcdbaa207cb773a497082d7" TargetMode="External"/><Relationship Id="rId431" Type="http://schemas.openxmlformats.org/officeDocument/2006/relationships/hyperlink" Target="https://www.scopus.com/inward/record.uri?eid=2-s2.0-85112415558&amp;doi=10.1109%2fIDT52577.2021.9497540&amp;partnerID=40&amp;md5=a734b9a6b475adfa2b53e892231c9109" TargetMode="External"/><Relationship Id="rId473" Type="http://schemas.openxmlformats.org/officeDocument/2006/relationships/hyperlink" Target="https://www.scopus.com/inward/record.uri?eid=2-s2.0-85118806310&amp;doi=10.1145%2f3468218.3469049&amp;partnerID=40&amp;md5=1de1693a3b3837267768cefeaeaefe98" TargetMode="External"/><Relationship Id="rId529" Type="http://schemas.openxmlformats.org/officeDocument/2006/relationships/hyperlink" Target="https://www.scopus.com/inward/record.uri?eid=2-s2.0-85094964968&amp;doi=10.1109%2fICUAS48674.2020.9213903&amp;partnerID=40&amp;md5=fe14d3f9f92f4c6f7d73b19dd5d45385" TargetMode="External"/><Relationship Id="rId680" Type="http://schemas.openxmlformats.org/officeDocument/2006/relationships/hyperlink" Target="https://www.scopus.com/inward/record.uri?eid=2-s2.0-85066476937&amp;doi=10.1109%2fPCCC.2018.8711001&amp;partnerID=40&amp;md5=28dfade87b35c766892ba8abe0e68431" TargetMode="External"/><Relationship Id="rId30" Type="http://schemas.openxmlformats.org/officeDocument/2006/relationships/hyperlink" Target="https://www.scopus.com/inward/record.uri?eid=2-s2.0-85202346095&amp;doi=10.1109%2fITC-Egypt61547.2024.10620562&amp;partnerID=40&amp;md5=2dfc3ae90e9c42b394ccad2c20480063" TargetMode="External"/><Relationship Id="rId126" Type="http://schemas.openxmlformats.org/officeDocument/2006/relationships/hyperlink" Target="https://www.scopus.com/inward/record.uri?eid=2-s2.0-85188537002&amp;doi=10.1109%2fTCOMM.2024.3379417&amp;partnerID=40&amp;md5=dc0c3a5dd6175dd2e9f861d8c408542c" TargetMode="External"/><Relationship Id="rId168" Type="http://schemas.openxmlformats.org/officeDocument/2006/relationships/hyperlink" Target="https://www.scopus.com/inward/record.uri?eid=2-s2.0-85196056784&amp;doi=10.1109%2fTCE.2024.3412097&amp;partnerID=40&amp;md5=d7a0319be012472cc9bfc61a4e18d5a7" TargetMode="External"/><Relationship Id="rId333" Type="http://schemas.openxmlformats.org/officeDocument/2006/relationships/hyperlink" Target="https://www.scopus.com/inward/record.uri?eid=2-s2.0-85114857891&amp;doi=10.1007%2f978-3-030-75067-1_1&amp;partnerID=40&amp;md5=87d130c02cc69a61ccd188fc26cb00c6" TargetMode="External"/><Relationship Id="rId540" Type="http://schemas.openxmlformats.org/officeDocument/2006/relationships/hyperlink" Target="https://www.scopus.com/inward/record.uri?eid=2-s2.0-85068580501&amp;doi=10.1109%2fRADIOELEK.2019.8733507&amp;partnerID=40&amp;md5=20f091c6eedecfbfe9461943555a2661" TargetMode="External"/><Relationship Id="rId72" Type="http://schemas.openxmlformats.org/officeDocument/2006/relationships/hyperlink" Target="https://www.scopus.com/inward/record.uri?eid=2-s2.0-85205681227&amp;doi=10.1109%2fICIEA61579.2024.10665078&amp;partnerID=40&amp;md5=3a0bbac0cf234f28a41393686c7bf282" TargetMode="External"/><Relationship Id="rId375" Type="http://schemas.openxmlformats.org/officeDocument/2006/relationships/hyperlink" Target="https://www.scopus.com/inward/record.uri?eid=2-s2.0-85135243458&amp;doi=10.1109%2fICUFN55119.2022.9829584&amp;partnerID=40&amp;md5=a32a980cada278ae376bcac68fecdeff" TargetMode="External"/><Relationship Id="rId582" Type="http://schemas.openxmlformats.org/officeDocument/2006/relationships/hyperlink" Target="https://www.scopus.com/inward/record.uri?eid=2-s2.0-85072371557&amp;doi=10.1145%2f3337791&amp;partnerID=40&amp;md5=4672ed6199bb3a3f569702b23901d494" TargetMode="External"/><Relationship Id="rId638" Type="http://schemas.openxmlformats.org/officeDocument/2006/relationships/hyperlink" Target="https://www.scopus.com/inward/record.uri?eid=2-s2.0-85045383420&amp;partnerID=40&amp;md5=7e5cc2760107def8eaef2e769f9f3cfe" TargetMode="External"/><Relationship Id="rId3" Type="http://schemas.openxmlformats.org/officeDocument/2006/relationships/hyperlink" Target="https://www.scopus.com/inward/record.uri?eid=2-s2.0-85201595905&amp;partnerID=40&amp;md5=2cf1d4dfc5c4c6f559fbff91c9e0c7be" TargetMode="External"/><Relationship Id="rId235" Type="http://schemas.openxmlformats.org/officeDocument/2006/relationships/hyperlink" Target="https://www.scopus.com/inward/record.uri?eid=2-s2.0-85159611542&amp;partnerID=40&amp;md5=86ebb74b511b11aa812c72e97c3f098b" TargetMode="External"/><Relationship Id="rId277" Type="http://schemas.openxmlformats.org/officeDocument/2006/relationships/hyperlink" Target="https://www.scopus.com/inward/record.uri?eid=2-s2.0-85144143793&amp;doi=10.1186%2fs13638-022-02204-5&amp;partnerID=40&amp;md5=e0aabcb0404813f0791d5a74b793f3cc" TargetMode="External"/><Relationship Id="rId400" Type="http://schemas.openxmlformats.org/officeDocument/2006/relationships/hyperlink" Target="https://www.scopus.com/inward/record.uri?eid=2-s2.0-85136107587&amp;doi=10.1109%2fUR55393.2022.9826274&amp;partnerID=40&amp;md5=094e518912ed3aaba54b0a53efff4683" TargetMode="External"/><Relationship Id="rId442" Type="http://schemas.openxmlformats.org/officeDocument/2006/relationships/hyperlink" Target="https://www.scopus.com/inward/record.uri?eid=2-s2.0-85100838254&amp;doi=10.1088%2f1755-1315%2f632%2f2%2f022062&amp;partnerID=40&amp;md5=acfe00ebd2a886d5812886ed50a67e88" TargetMode="External"/><Relationship Id="rId484" Type="http://schemas.openxmlformats.org/officeDocument/2006/relationships/hyperlink" Target="https://www.scopus.com/inward/record.uri?eid=2-s2.0-85111355277&amp;doi=10.1007%2f978-3-030-77424-0_3&amp;partnerID=40&amp;md5=fa23f5cb97e8a3c47abf4841c8e878b9" TargetMode="External"/><Relationship Id="rId705" Type="http://schemas.openxmlformats.org/officeDocument/2006/relationships/hyperlink" Target="https://www.scopus.com/inward/record.uri?eid=2-s2.0-84936864657&amp;partnerID=40&amp;md5=21d1cc0721ab2cdcc53c7c8ee7846f00" TargetMode="External"/><Relationship Id="rId137" Type="http://schemas.openxmlformats.org/officeDocument/2006/relationships/hyperlink" Target="https://www.scopus.com/inward/record.uri?eid=2-s2.0-85193996098&amp;doi=10.1109%2fIOTM.001.2300024&amp;partnerID=40&amp;md5=952dc860be0b5f615fb2f2cf2c5efb4c" TargetMode="External"/><Relationship Id="rId302" Type="http://schemas.openxmlformats.org/officeDocument/2006/relationships/hyperlink" Target="https://www.scopus.com/inward/record.uri?eid=2-s2.0-85126325226&amp;doi=10.1109%2fMNET.102.2100337&amp;partnerID=40&amp;md5=adafaa9f7831da12bc929e3ba54f1098" TargetMode="External"/><Relationship Id="rId344" Type="http://schemas.openxmlformats.org/officeDocument/2006/relationships/hyperlink" Target="https://www.scopus.com/inward/record.uri?eid=2-s2.0-85133850385&amp;doi=10.1109%2fIEMTRONICS55184.2022.9795809&amp;partnerID=40&amp;md5=c052f354514a45765ce16a37fb0d7102" TargetMode="External"/><Relationship Id="rId691" Type="http://schemas.openxmlformats.org/officeDocument/2006/relationships/hyperlink" Target="https://www.scopus.com/inward/record.uri?eid=2-s2.0-85055086918&amp;partnerID=40&amp;md5=579c0bf2d7e9f04ef5427b41d23421a1" TargetMode="External"/><Relationship Id="rId41" Type="http://schemas.openxmlformats.org/officeDocument/2006/relationships/hyperlink" Target="https://www.scopus.com/inward/record.uri?eid=2-s2.0-85199491558&amp;partnerID=40&amp;md5=a79647c803a77f58a9d46d92c3d90ac4" TargetMode="External"/><Relationship Id="rId83" Type="http://schemas.openxmlformats.org/officeDocument/2006/relationships/hyperlink" Target="https://www.scopus.com/inward/record.uri?eid=2-s2.0-85202761774&amp;doi=10.1109%2fCONIT61985.2024.10626752&amp;partnerID=40&amp;md5=454d6fb6a6b347224c2fd7b68d3b7dbf" TargetMode="External"/><Relationship Id="rId179" Type="http://schemas.openxmlformats.org/officeDocument/2006/relationships/hyperlink" Target="https://www.scopus.com/inward/record.uri?eid=2-s2.0-85176932729&amp;partnerID=40&amp;md5=7b1f2bd890f51cdc5106401117c70b1f" TargetMode="External"/><Relationship Id="rId386" Type="http://schemas.openxmlformats.org/officeDocument/2006/relationships/hyperlink" Target="https://www.scopus.com/inward/record.uri?eid=2-s2.0-85143256198&amp;doi=10.1109%2fICTC55196.2022.9952400&amp;partnerID=40&amp;md5=788345469fdd1977f3f4808746d82753" TargetMode="External"/><Relationship Id="rId551" Type="http://schemas.openxmlformats.org/officeDocument/2006/relationships/hyperlink" Target="https://www.scopus.com/inward/record.uri?eid=2-s2.0-85087874605&amp;doi=10.1117%2f12.2563637&amp;partnerID=40&amp;md5=ceff1af6b9e112aea679a01baaa52cc6" TargetMode="External"/><Relationship Id="rId593" Type="http://schemas.openxmlformats.org/officeDocument/2006/relationships/hyperlink" Target="https://www.scopus.com/inward/record.uri?eid=2-s2.0-85084023955&amp;partnerID=40&amp;md5=9dad1292df3baab6fe12f06ca8c08d8d" TargetMode="External"/><Relationship Id="rId607" Type="http://schemas.openxmlformats.org/officeDocument/2006/relationships/hyperlink" Target="https://www.scopus.com/inward/record.uri?eid=2-s2.0-85025148059&amp;doi=10.1117%2f12.2262433&amp;partnerID=40&amp;md5=4ed046a27a5fa883fd0e36d0b668bc5f" TargetMode="External"/><Relationship Id="rId649" Type="http://schemas.openxmlformats.org/officeDocument/2006/relationships/hyperlink" Target="https://www.scopus.com/inward/record.uri?eid=2-s2.0-85044722896&amp;doi=10.1109%2fACCESS.2018.2820326&amp;partnerID=40&amp;md5=6cb27009050aee95dcf2f55ff216ab92" TargetMode="External"/><Relationship Id="rId190" Type="http://schemas.openxmlformats.org/officeDocument/2006/relationships/hyperlink" Target="https://www.scopus.com/inward/record.uri?eid=2-s2.0-85176959694&amp;partnerID=40&amp;md5=78bf5aaa655dd41a735b9dc0115460d4" TargetMode="External"/><Relationship Id="rId204" Type="http://schemas.openxmlformats.org/officeDocument/2006/relationships/hyperlink" Target="https://www.scopus.com/inward/record.uri?eid=2-s2.0-85168414364&amp;doi=10.1109%2fRAST57548.2023.10197868&amp;partnerID=40&amp;md5=bbf02baacda2bedc47133873ee6466b2" TargetMode="External"/><Relationship Id="rId246" Type="http://schemas.openxmlformats.org/officeDocument/2006/relationships/hyperlink" Target="https://www.scopus.com/inward/record.uri?eid=2-s2.0-85182391611&amp;doi=10.1109%2fMILCOM58377.2023.10356217&amp;partnerID=40&amp;md5=70b6d3e431c2b7c94884b5ab9037496c" TargetMode="External"/><Relationship Id="rId288" Type="http://schemas.openxmlformats.org/officeDocument/2006/relationships/hyperlink" Target="https://www.scopus.com/inward/record.uri?eid=2-s2.0-85172450411&amp;partnerID=40&amp;md5=514c93ef1979bd8668ff1530b229886a" TargetMode="External"/><Relationship Id="rId411" Type="http://schemas.openxmlformats.org/officeDocument/2006/relationships/hyperlink" Target="https://www.scopus.com/inward/record.uri?eid=2-s2.0-85106178133&amp;doi=10.1109%2fAIPR50011.2020.9425341&amp;partnerID=40&amp;md5=4181230aec14c8a85ef9a9031179ca30" TargetMode="External"/><Relationship Id="rId453" Type="http://schemas.openxmlformats.org/officeDocument/2006/relationships/hyperlink" Target="https://www.scopus.com/inward/record.uri?eid=2-s2.0-85206596386&amp;doi=10.1080%2f23742917.2020.1846307&amp;partnerID=40&amp;md5=472ffae4661284e1a5346943e286a803" TargetMode="External"/><Relationship Id="rId509" Type="http://schemas.openxmlformats.org/officeDocument/2006/relationships/hyperlink" Target="https://www.scopus.com/inward/record.uri?eid=2-s2.0-85081219263&amp;doi=10.1109%2fREDUAS47371.2019.8999690&amp;partnerID=40&amp;md5=b17af67f544d237f80c9f1b0ba80d9fd" TargetMode="External"/><Relationship Id="rId660" Type="http://schemas.openxmlformats.org/officeDocument/2006/relationships/hyperlink" Target="https://www.scopus.com/inward/record.uri?eid=2-s2.0-85017360332&amp;doi=10.1049%2fet.2017.0302&amp;partnerID=40&amp;md5=da39b9fc585449c08347bf60cdbe8107" TargetMode="External"/><Relationship Id="rId106" Type="http://schemas.openxmlformats.org/officeDocument/2006/relationships/hyperlink" Target="https://www.scopus.com/inward/record.uri?eid=2-s2.0-85184830393&amp;partnerID=40&amp;md5=1e838cf982e900ba57b2d5c8a100d856" TargetMode="External"/><Relationship Id="rId313" Type="http://schemas.openxmlformats.org/officeDocument/2006/relationships/hyperlink" Target="https://www.scopus.com/inward/record.uri?eid=2-s2.0-85130150772&amp;doi=10.1109%2fRADIOELEKTRONIKA54537.2022.9764904&amp;partnerID=40&amp;md5=54901f2990dbcaa609adc926ff231e49" TargetMode="External"/><Relationship Id="rId495" Type="http://schemas.openxmlformats.org/officeDocument/2006/relationships/hyperlink" Target="https://www.scopus.com/inward/record.uri?eid=2-s2.0-85125651559&amp;doi=10.1109%2fAICCSA53542.2021.9686826&amp;partnerID=40&amp;md5=3b3c46c9bc0cb7fb24c8410d22bee4da" TargetMode="External"/><Relationship Id="rId716" Type="http://schemas.openxmlformats.org/officeDocument/2006/relationships/hyperlink" Target="https://www.scopus.com/inward/record.uri?eid=2-s2.0-84896791434&amp;doi=10.1117%2f12.2044868&amp;partnerID=40&amp;md5=8e1ff2889760c5f7fa038057992e16fd" TargetMode="External"/><Relationship Id="rId10" Type="http://schemas.openxmlformats.org/officeDocument/2006/relationships/hyperlink" Target="https://www.scopus.com/inward/record.uri?eid=2-s2.0-85177032462&amp;doi=10.1109%2fTCOMM.2023.3330884&amp;partnerID=40&amp;md5=6f90332308c96404c39e8780bf774c73" TargetMode="External"/><Relationship Id="rId52" Type="http://schemas.openxmlformats.org/officeDocument/2006/relationships/hyperlink" Target="https://www.scopus.com/inward/record.uri?eid=2-s2.0-85210280023&amp;doi=10.1109%2fACCESS.2024.3505034&amp;partnerID=40&amp;md5=ede3f851d73e4cb30be33a38c086be4e" TargetMode="External"/><Relationship Id="rId94" Type="http://schemas.openxmlformats.org/officeDocument/2006/relationships/hyperlink" Target="https://www.scopus.com/inward/record.uri?eid=2-s2.0-85205075766&amp;doi=10.3390%2fdrones8090437&amp;partnerID=40&amp;md5=6a0c20989280a35fc1782abe610de469" TargetMode="External"/><Relationship Id="rId148" Type="http://schemas.openxmlformats.org/officeDocument/2006/relationships/hyperlink" Target="https://www.scopus.com/inward/record.uri?eid=2-s2.0-85185711422&amp;doi=10.1007%2f978-981-99-9021-4_12&amp;partnerID=40&amp;md5=3a4092e261ead16c04c13413d9cbfcc2" TargetMode="External"/><Relationship Id="rId355" Type="http://schemas.openxmlformats.org/officeDocument/2006/relationships/hyperlink" Target="https://www.scopus.com/inward/record.uri?eid=2-s2.0-85133955713&amp;doi=10.1109%2fIETC54973.2022.9796881&amp;partnerID=40&amp;md5=ea4a66153a99d3a91f79095da38985ae" TargetMode="External"/><Relationship Id="rId397" Type="http://schemas.openxmlformats.org/officeDocument/2006/relationships/hyperlink" Target="https://www.scopus.com/inward/record.uri?eid=2-s2.0-85132792664&amp;doi=10.3390%2fatmos13060983&amp;partnerID=40&amp;md5=947d6dc75b750bfa65e94c9399b33eb2" TargetMode="External"/><Relationship Id="rId520" Type="http://schemas.openxmlformats.org/officeDocument/2006/relationships/hyperlink" Target="https://www.scopus.com/inward/record.uri?eid=2-s2.0-85093686763&amp;doi=10.1109%2fCommNet49926.2020.9199639&amp;partnerID=40&amp;md5=0814fb12fdd5003812f38cbe6700210b" TargetMode="External"/><Relationship Id="rId562" Type="http://schemas.openxmlformats.org/officeDocument/2006/relationships/hyperlink" Target="https://www.scopus.com/inward/record.uri?eid=2-s2.0-85073056529&amp;doi=10.1109%2fICIEA.2019.8834161&amp;partnerID=40&amp;md5=69e1d266021400d5e198fce8bae2fb74" TargetMode="External"/><Relationship Id="rId618" Type="http://schemas.openxmlformats.org/officeDocument/2006/relationships/hyperlink" Target="https://www.scopus.com/inward/record.uri?eid=2-s2.0-85015149436&amp;doi=10.1109%2fAsianHOST.2016.7835557&amp;partnerID=40&amp;md5=6a9f78624eae21163ca0ab4ffb97fb72" TargetMode="External"/><Relationship Id="rId215" Type="http://schemas.openxmlformats.org/officeDocument/2006/relationships/hyperlink" Target="https://www.scopus.com/inward/record.uri?eid=2-s2.0-85173609572&amp;doi=10.1109%2fICDSNS58469.2023.10245583&amp;partnerID=40&amp;md5=d7cc3a8922590fa45451844d52e3e8e7" TargetMode="External"/><Relationship Id="rId257" Type="http://schemas.openxmlformats.org/officeDocument/2006/relationships/hyperlink" Target="https://www.scopus.com/inward/record.uri?eid=2-s2.0-85135752617&amp;doi=10.1109%2fJIOT.2022.3195320&amp;partnerID=40&amp;md5=0ed406dbdcf4986fc037c48286801da6" TargetMode="External"/><Relationship Id="rId422" Type="http://schemas.openxmlformats.org/officeDocument/2006/relationships/hyperlink" Target="https://www.scopus.com/inward/record.uri?eid=2-s2.0-85102029395&amp;doi=10.1007%2f978-3-030-63339-4_7&amp;partnerID=40&amp;md5=c3077d1c8e495151ef23b91622415000" TargetMode="External"/><Relationship Id="rId464" Type="http://schemas.openxmlformats.org/officeDocument/2006/relationships/hyperlink" Target="https://www.scopus.com/inward/record.uri?eid=2-s2.0-85158946994&amp;doi=10.1007%2f978-981-33-6726-5_3&amp;partnerID=40&amp;md5=0af52f175e90fbd383e2af26cc26facd" TargetMode="External"/><Relationship Id="rId299" Type="http://schemas.openxmlformats.org/officeDocument/2006/relationships/hyperlink" Target="https://www.scopus.com/inward/record.uri?eid=2-s2.0-85164283161&amp;doi=10.32604%2fcmc.2023.039363&amp;partnerID=40&amp;md5=bf50446db5b56ba4b51011c0e34059fb" TargetMode="External"/><Relationship Id="rId727" Type="http://schemas.openxmlformats.org/officeDocument/2006/relationships/hyperlink" Target="https://www.scopus.com/inward/record.uri?eid=2-s2.0-84922563798&amp;partnerID=40&amp;md5=c5ac5f8adf867327e60794d37d0b1f03" TargetMode="External"/><Relationship Id="rId63" Type="http://schemas.openxmlformats.org/officeDocument/2006/relationships/hyperlink" Target="https://www.scopus.com/inward/record.uri?eid=2-s2.0-85201801370&amp;doi=10.1109%2fICACITE60783.2024.10616508&amp;partnerID=40&amp;md5=3720b88490b3c164edfaf1363045853b" TargetMode="External"/><Relationship Id="rId159" Type="http://schemas.openxmlformats.org/officeDocument/2006/relationships/hyperlink" Target="https://www.scopus.com/inward/record.uri?eid=2-s2.0-85198391881&amp;doi=10.1109%2fJIOT.2024.3426511&amp;partnerID=40&amp;md5=18c157c801b00c2823f9bbe7e1fa0f1d" TargetMode="External"/><Relationship Id="rId366" Type="http://schemas.openxmlformats.org/officeDocument/2006/relationships/hyperlink" Target="https://www.scopus.com/inward/record.uri?eid=2-s2.0-85139891525&amp;doi=10.14722%2fndss.2022.23071&amp;partnerID=40&amp;md5=0107996de2f1d14854b3c3c3b6e8b785" TargetMode="External"/><Relationship Id="rId573" Type="http://schemas.openxmlformats.org/officeDocument/2006/relationships/hyperlink" Target="https://www.scopus.com/inward/record.uri?eid=2-s2.0-85118080976&amp;doi=10.1049%2fPBCE120F_ch10&amp;partnerID=40&amp;md5=63d8a68fa674566f9812ca92e1d9851c" TargetMode="External"/><Relationship Id="rId226" Type="http://schemas.openxmlformats.org/officeDocument/2006/relationships/hyperlink" Target="https://www.scopus.com/inward/record.uri?eid=2-s2.0-85165073653&amp;doi=10.1007%2f978-3-031-37120-2_7&amp;partnerID=40&amp;md5=972ac91d8ad4de38050584572f1fa2f6" TargetMode="External"/><Relationship Id="rId433" Type="http://schemas.openxmlformats.org/officeDocument/2006/relationships/hyperlink" Target="https://www.scopus.com/inward/record.uri?eid=2-s2.0-85105410976&amp;doi=10.1155%2f2021%2f5598690&amp;partnerID=40&amp;md5=6d12571e67b10c6773b9fdf74711a0c5" TargetMode="External"/><Relationship Id="rId640" Type="http://schemas.openxmlformats.org/officeDocument/2006/relationships/hyperlink" Target="https://www.scopus.com/inward/record.uri?eid=2-s2.0-85060642421&amp;doi=10.1109%2fDASC.2018.8569730&amp;partnerID=40&amp;md5=838d48675affcf5f50c28e0e720f5134" TargetMode="External"/><Relationship Id="rId74" Type="http://schemas.openxmlformats.org/officeDocument/2006/relationships/hyperlink" Target="https://www.scopus.com/inward/record.uri?eid=2-s2.0-85184324852&amp;doi=10.1109%2fTVT.2024.3360998&amp;partnerID=40&amp;md5=fdd4d57e75da137373fd83672661ec2c" TargetMode="External"/><Relationship Id="rId377" Type="http://schemas.openxmlformats.org/officeDocument/2006/relationships/hyperlink" Target="https://www.scopus.com/inward/record.uri?eid=2-s2.0-85144771982&amp;doi=10.1016%2fj.fecs.2022.100080&amp;partnerID=40&amp;md5=0b56af9dd61e652c92f37c176d84f7e3" TargetMode="External"/><Relationship Id="rId500" Type="http://schemas.openxmlformats.org/officeDocument/2006/relationships/hyperlink" Target="https://www.scopus.com/inward/record.uri?eid=2-s2.0-85097578501&amp;doi=10.1109%2fTVT.2020.3033060&amp;partnerID=40&amp;md5=d954bf9445dc05069331b285886b60de" TargetMode="External"/><Relationship Id="rId584" Type="http://schemas.openxmlformats.org/officeDocument/2006/relationships/hyperlink" Target="https://www.scopus.com/inward/record.uri?eid=2-s2.0-85081315844&amp;doi=10.1080%2f10962247.2020.1728423&amp;partnerID=40&amp;md5=3198d2f16f163af9c8cd00dd7eefd136" TargetMode="External"/><Relationship Id="rId5" Type="http://schemas.openxmlformats.org/officeDocument/2006/relationships/hyperlink" Target="https://www.scopus.com/inward/record.uri?eid=2-s2.0-85202451456&amp;doi=10.1109%2fICCWorkshops59551.2024.10615342&amp;partnerID=40&amp;md5=2ac03d64552535924c907875270a4dc8" TargetMode="External"/><Relationship Id="rId237" Type="http://schemas.openxmlformats.org/officeDocument/2006/relationships/hyperlink" Target="https://www.scopus.com/inward/record.uri?eid=2-s2.0-85186643129&amp;doi=10.1109%2fOCIT59427.2023.10430778&amp;partnerID=40&amp;md5=a98cc3c35454164c9af9a5eb09d81cb2" TargetMode="External"/><Relationship Id="rId444" Type="http://schemas.openxmlformats.org/officeDocument/2006/relationships/hyperlink" Target="https://www.scopus.com/inward/record.uri?eid=2-s2.0-85115180881&amp;doi=10.1109%2fTST52996.2021.00014&amp;partnerID=40&amp;md5=a599bc0e949c10c8fd8d2573d29a016d" TargetMode="External"/><Relationship Id="rId651" Type="http://schemas.openxmlformats.org/officeDocument/2006/relationships/hyperlink" Target="https://www.scopus.com/inward/record.uri?eid=2-s2.0-84991585603&amp;doi=10.1109%2fCYCON.2016.7529436&amp;partnerID=40&amp;md5=af46f2a916c5bb526fbdcdf64ab85881" TargetMode="External"/><Relationship Id="rId290" Type="http://schemas.openxmlformats.org/officeDocument/2006/relationships/hyperlink" Target="https://www.scopus.com/inward/record.uri?eid=2-s2.0-85167416422&amp;doi=10.1109%2fIMTIC58887.2023.10178552&amp;partnerID=40&amp;md5=1bc7fb86017b3d13502875a57f24300e" TargetMode="External"/><Relationship Id="rId304" Type="http://schemas.openxmlformats.org/officeDocument/2006/relationships/hyperlink" Target="https://www.scopus.com/inward/record.uri?eid=2-s2.0-85153511517&amp;doi=10.24264%2ficams-2022.I.11&amp;partnerID=40&amp;md5=b1d3525a66db7b8ebd1734ef9fb68348" TargetMode="External"/><Relationship Id="rId388" Type="http://schemas.openxmlformats.org/officeDocument/2006/relationships/hyperlink" Target="https://www.scopus.com/inward/record.uri?eid=2-s2.0-85147444972&amp;doi=10.1109%2fICCUBEA54992.2022.10011038&amp;partnerID=40&amp;md5=048845b199245b0b5d5ea23c276c8088" TargetMode="External"/><Relationship Id="rId511" Type="http://schemas.openxmlformats.org/officeDocument/2006/relationships/hyperlink" Target="https://www.scopus.com/inward/record.uri?eid=2-s2.0-85071882407&amp;doi=10.1109%2fICUAS.2019.8798072&amp;partnerID=40&amp;md5=418c20281ac0cf7ab438d659944b6862" TargetMode="External"/><Relationship Id="rId609" Type="http://schemas.openxmlformats.org/officeDocument/2006/relationships/hyperlink" Target="https://www.scopus.com/inward/record.uri?eid=2-s2.0-84947284365&amp;doi=10.1088%2f1742-6596%2f633%2f1%2f012053&amp;partnerID=40&amp;md5=1b345ffd50b66d9671a966ab628f1ac7" TargetMode="External"/><Relationship Id="rId85" Type="http://schemas.openxmlformats.org/officeDocument/2006/relationships/hyperlink" Target="https://www.scopus.com/inward/record.uri?eid=2-s2.0-85202350603&amp;doi=10.1109%2fINFOCOMWKSHPS61880.2024.10620746&amp;partnerID=40&amp;md5=bc8e16274fb3d577a675dada8a0f51e5" TargetMode="External"/><Relationship Id="rId150" Type="http://schemas.openxmlformats.org/officeDocument/2006/relationships/hyperlink" Target="https://www.scopus.com/inward/record.uri?eid=2-s2.0-85197090848&amp;doi=10.1109%2fACCESS.2024.3419800&amp;partnerID=40&amp;md5=3ec11c8bbb3984587b40514a30680184" TargetMode="External"/><Relationship Id="rId595" Type="http://schemas.openxmlformats.org/officeDocument/2006/relationships/hyperlink" Target="https://www.scopus.com/inward/record.uri?eid=2-s2.0-85113363931&amp;doi=10.1007%2f978-3-030-36308-6_46&amp;partnerID=40&amp;md5=4ac52437073dd70d116c98dec783fc76" TargetMode="External"/><Relationship Id="rId248" Type="http://schemas.openxmlformats.org/officeDocument/2006/relationships/hyperlink" Target="https://www.scopus.com/inward/record.uri?eid=2-s2.0-85149828020&amp;doi=10.1109%2fACCESS.2023.3253481&amp;partnerID=40&amp;md5=6855a2287b9c4b0ae1c37601be1e0477" TargetMode="External"/><Relationship Id="rId455" Type="http://schemas.openxmlformats.org/officeDocument/2006/relationships/hyperlink" Target="https://www.scopus.com/inward/record.uri?eid=2-s2.0-85100315082&amp;partnerID=40&amp;md5=2ff8200ae345e8071a628128934f2468" TargetMode="External"/><Relationship Id="rId662" Type="http://schemas.openxmlformats.org/officeDocument/2006/relationships/hyperlink" Target="https://www.scopus.com/inward/record.uri?eid=2-s2.0-85046727968&amp;doi=10.1109%2fVLSID.2018.97&amp;partnerID=40&amp;md5=9c3532e74b65e6d02ffd53d7d40f1ef5" TargetMode="External"/><Relationship Id="rId12" Type="http://schemas.openxmlformats.org/officeDocument/2006/relationships/hyperlink" Target="https://www.scopus.com/inward/record.uri?eid=2-s2.0-85203871690&amp;doi=10.3390%2fs24175618&amp;partnerID=40&amp;md5=2433f2c778c82a41d55170afbe1d6537" TargetMode="External"/><Relationship Id="rId108" Type="http://schemas.openxmlformats.org/officeDocument/2006/relationships/hyperlink" Target="https://www.scopus.com/inward/record.uri?eid=2-s2.0-85172734714&amp;doi=10.1088%2f1361-6501%2facf3da&amp;partnerID=40&amp;md5=e0f6584eedbefdf21efc526998d9c386" TargetMode="External"/><Relationship Id="rId315" Type="http://schemas.openxmlformats.org/officeDocument/2006/relationships/hyperlink" Target="https://www.scopus.com/inward/record.uri?eid=2-s2.0-85137727595&amp;doi=10.1088%2f1742-6596%2f2319%2f1%2f012001&amp;partnerID=40&amp;md5=14685d7381d61e52ad186bcc842b500d" TargetMode="External"/><Relationship Id="rId522" Type="http://schemas.openxmlformats.org/officeDocument/2006/relationships/hyperlink" Target="https://www.scopus.com/inward/record.uri?eid=2-s2.0-85097852697&amp;doi=10.34190%2fEAIR.20.026&amp;partnerID=40&amp;md5=6cfcd81736f05215540bc175d6e5653d" TargetMode="External"/><Relationship Id="rId96" Type="http://schemas.openxmlformats.org/officeDocument/2006/relationships/hyperlink" Target="https://www.scopus.com/inward/record.uri?eid=2-s2.0-85204309734&amp;doi=10.1109%2fWINCOM62286.2024.10656843&amp;partnerID=40&amp;md5=8e3c2151cdc206620fe0e0780cd87b4a" TargetMode="External"/><Relationship Id="rId161" Type="http://schemas.openxmlformats.org/officeDocument/2006/relationships/hyperlink" Target="https://www.scopus.com/inward/record.uri?eid=2-s2.0-85195370142&amp;doi=10.1016%2fj.procs.2024.05.100&amp;partnerID=40&amp;md5=fade43fb263ce504090edf00b7f2c892" TargetMode="External"/><Relationship Id="rId399" Type="http://schemas.openxmlformats.org/officeDocument/2006/relationships/hyperlink" Target="https://www.scopus.com/inward/record.uri?eid=2-s2.0-85141468806&amp;doi=10.1109%2fICSES55317.2022.9914070&amp;partnerID=40&amp;md5=a4cf5f46bf1af81cf5af0a97f8b394d9" TargetMode="External"/><Relationship Id="rId259" Type="http://schemas.openxmlformats.org/officeDocument/2006/relationships/hyperlink" Target="https://www.scopus.com/inward/record.uri?eid=2-s2.0-85174526618&amp;doi=10.1109%2fIC2E357697.2023.10262679&amp;partnerID=40&amp;md5=c3a728d63b81678fb4dc00b0d3594f87" TargetMode="External"/><Relationship Id="rId466" Type="http://schemas.openxmlformats.org/officeDocument/2006/relationships/hyperlink" Target="https://www.scopus.com/inward/record.uri?eid=2-s2.0-85081594416&amp;doi=10.1007%2fs11277-020-07212-6&amp;partnerID=40&amp;md5=3d0f29694d0ff6622d00811895473fd0" TargetMode="External"/><Relationship Id="rId673" Type="http://schemas.openxmlformats.org/officeDocument/2006/relationships/hyperlink" Target="https://www.scopus.com/inward/record.uri?eid=2-s2.0-85034025963&amp;doi=10.1109%2fICUAS.2017.7991429&amp;partnerID=40&amp;md5=80d9635ec38561e5a479e9d4c3cec98f" TargetMode="External"/><Relationship Id="rId23" Type="http://schemas.openxmlformats.org/officeDocument/2006/relationships/hyperlink" Target="https://www.scopus.com/inward/record.uri?eid=2-s2.0-85199668263&amp;doi=10.3390%2ffi16070250&amp;partnerID=40&amp;md5=da172daa57e7020632607b69caf26688" TargetMode="External"/><Relationship Id="rId119" Type="http://schemas.openxmlformats.org/officeDocument/2006/relationships/hyperlink" Target="https://www.scopus.com/inward/record.uri?eid=2-s2.0-85165540437&amp;doi=10.1016%2fj.sysarc.2023.102935&amp;partnerID=40&amp;md5=52ac92442f3f03b36e8a592252f396a8" TargetMode="External"/><Relationship Id="rId326" Type="http://schemas.openxmlformats.org/officeDocument/2006/relationships/hyperlink" Target="https://www.scopus.com/inward/record.uri?eid=2-s2.0-85137803729&amp;doi=10.1109%2fVTC2022-Spring54318.2022.9860816&amp;partnerID=40&amp;md5=7f6894e26816b6c5a7a748363b3cdbbd" TargetMode="External"/><Relationship Id="rId533" Type="http://schemas.openxmlformats.org/officeDocument/2006/relationships/hyperlink" Target="https://www.scopus.com/inward/record.uri?eid=2-s2.0-85078241120&amp;doi=10.1109%2fAPUAVD47061.2019.8943833&amp;partnerID=40&amp;md5=3aae80ff336454bd44fc5e5be6d4030a" TargetMode="External"/><Relationship Id="rId172" Type="http://schemas.openxmlformats.org/officeDocument/2006/relationships/hyperlink" Target="https://www.scopus.com/inward/record.uri?eid=2-s2.0-85160278370&amp;doi=10.3390%2fdrones7050313&amp;partnerID=40&amp;md5=33fa29dca7a83d713305733ee7afd297" TargetMode="External"/><Relationship Id="rId477" Type="http://schemas.openxmlformats.org/officeDocument/2006/relationships/hyperlink" Target="https://www.scopus.com/inward/record.uri?eid=2-s2.0-85100686436&amp;doi=10.1109%2fINMIC50486.2020.9318207&amp;partnerID=40&amp;md5=709ebe3dee9c80ac50f91dd0be258af4" TargetMode="External"/><Relationship Id="rId600" Type="http://schemas.openxmlformats.org/officeDocument/2006/relationships/hyperlink" Target="https://www.scopus.com/inward/record.uri?eid=2-s2.0-85097605165&amp;partnerID=40&amp;md5=b38799500b5a51dcdad48b2e7a2e18f5" TargetMode="External"/><Relationship Id="rId684" Type="http://schemas.openxmlformats.org/officeDocument/2006/relationships/hyperlink" Target="https://www.scopus.com/inward/record.uri?eid=2-s2.0-85040993357&amp;doi=10.1109%2fDASC.2017.8101986&amp;partnerID=40&amp;md5=9d883e53ec252e4d92a9a7f2036d860f" TargetMode="External"/><Relationship Id="rId337" Type="http://schemas.openxmlformats.org/officeDocument/2006/relationships/hyperlink" Target="https://www.scopus.com/inward/record.uri?eid=2-s2.0-85149942126&amp;doi=10.1145%2f3558819.3565182&amp;partnerID=40&amp;md5=29a3fc94d7bf12fb56eee337068c0d49" TargetMode="External"/><Relationship Id="rId34" Type="http://schemas.openxmlformats.org/officeDocument/2006/relationships/hyperlink" Target="https://www.scopus.com/inward/record.uri?eid=2-s2.0-85161566703&amp;doi=10.1109%2fTII.2023.3280325&amp;partnerID=40&amp;md5=043b80e3beae5c9cd14d89251928abb8" TargetMode="External"/><Relationship Id="rId544" Type="http://schemas.openxmlformats.org/officeDocument/2006/relationships/hyperlink" Target="https://www.scopus.com/inward/record.uri?eid=2-s2.0-85081259182&amp;doi=10.1109%2fREDUAS47371.2019.8999685&amp;partnerID=40&amp;md5=810df69bc2a255871b593dd6f41c1529" TargetMode="External"/><Relationship Id="rId183" Type="http://schemas.openxmlformats.org/officeDocument/2006/relationships/hyperlink" Target="https://www.scopus.com/inward/record.uri?eid=2-s2.0-85180734282&amp;partnerID=40&amp;md5=d7e11d8b1044f915bb9ad27f3daff08f" TargetMode="External"/><Relationship Id="rId390" Type="http://schemas.openxmlformats.org/officeDocument/2006/relationships/hyperlink" Target="https://www.scopus.com/inward/record.uri?eid=2-s2.0-85124475848&amp;doi=10.3390%2fs22041487&amp;partnerID=40&amp;md5=e537813919673ea5ee8c13dd9ec4e9af" TargetMode="External"/><Relationship Id="rId404" Type="http://schemas.openxmlformats.org/officeDocument/2006/relationships/hyperlink" Target="https://www.scopus.com/inward/record.uri?eid=2-s2.0-85123052703&amp;doi=10.23919%2fMIPRO52101.2021.9597065&amp;partnerID=40&amp;md5=93278aaa60c03c7a60646162fd14890c" TargetMode="External"/><Relationship Id="rId611" Type="http://schemas.openxmlformats.org/officeDocument/2006/relationships/hyperlink" Target="https://www.scopus.com/inward/record.uri?eid=2-s2.0-85085848397&amp;doi=10.2514%2f6.2017-0061&amp;partnerID=40&amp;md5=9ad94438cbb1640362b4c971f1400e1e" TargetMode="External"/><Relationship Id="rId250" Type="http://schemas.openxmlformats.org/officeDocument/2006/relationships/hyperlink" Target="https://www.scopus.com/inward/record.uri?eid=2-s2.0-85151440517&amp;doi=10.52549%2fijeei.v11i1.3932&amp;partnerID=40&amp;md5=9f0227341d165d4f976a06b666bb9352" TargetMode="External"/><Relationship Id="rId488" Type="http://schemas.openxmlformats.org/officeDocument/2006/relationships/hyperlink" Target="https://www.scopus.com/inward/record.uri?eid=2-s2.0-85097981574&amp;doi=10.1109%2fDASC50938.2020.9256780&amp;partnerID=40&amp;md5=61fe27094682789cc4cbd1e2967e210a" TargetMode="External"/><Relationship Id="rId695" Type="http://schemas.openxmlformats.org/officeDocument/2006/relationships/hyperlink" Target="https://www.scopus.com/inward/record.uri?eid=2-s2.0-85040232645&amp;doi=10.1109%2fCITSM.2017.8089316&amp;partnerID=40&amp;md5=0203dbf08839aa679b3733dacc32117c" TargetMode="External"/><Relationship Id="rId709" Type="http://schemas.openxmlformats.org/officeDocument/2006/relationships/hyperlink" Target="https://www.scopus.com/inward/record.uri?eid=2-s2.0-85085403603&amp;doi=10.2514%2f6.2014-1422&amp;partnerID=40&amp;md5=6115f90f1236b0b805394764c879cd28" TargetMode="External"/><Relationship Id="rId45" Type="http://schemas.openxmlformats.org/officeDocument/2006/relationships/hyperlink" Target="https://www.scopus.com/inward/record.uri?eid=2-s2.0-85200799285&amp;doi=10.1109%2fTWC.2024.3435017&amp;partnerID=40&amp;md5=0566c1b96da22ecc905c0bd0081617e4" TargetMode="External"/><Relationship Id="rId110" Type="http://schemas.openxmlformats.org/officeDocument/2006/relationships/hyperlink" Target="https://www.scopus.com/inward/record.uri?eid=2-s2.0-85191301127&amp;doi=10.1109%2fACCESS.2024.3392618&amp;partnerID=40&amp;md5=758f7294019b657dad337db90edac455" TargetMode="External"/><Relationship Id="rId348" Type="http://schemas.openxmlformats.org/officeDocument/2006/relationships/hyperlink" Target="https://www.scopus.com/inward/record.uri?eid=2-s2.0-85135403396&amp;doi=10.1145%2f3539493.3539584&amp;partnerID=40&amp;md5=082d8afd2145dd62a9a9c86ad7b3d263" TargetMode="External"/><Relationship Id="rId555" Type="http://schemas.openxmlformats.org/officeDocument/2006/relationships/hyperlink" Target="https://www.scopus.com/inward/record.uri?eid=2-s2.0-85092743339&amp;doi=10.1109%2fICRA40945.2020.9197071&amp;partnerID=40&amp;md5=8017925cf1e437e6c7a7ea0acbda6bb2" TargetMode="External"/><Relationship Id="rId194" Type="http://schemas.openxmlformats.org/officeDocument/2006/relationships/hyperlink" Target="https://www.scopus.com/inward/record.uri?eid=2-s2.0-85182377254&amp;doi=10.1109%2fACCESS.2024.3351216&amp;partnerID=40&amp;md5=3a98dde0b88f5971b490397858259ae3" TargetMode="External"/><Relationship Id="rId208" Type="http://schemas.openxmlformats.org/officeDocument/2006/relationships/hyperlink" Target="https://www.scopus.com/inward/record.uri?eid=2-s2.0-85163289689&amp;doi=10.1007%2f978-3-031-33614-0_12&amp;partnerID=40&amp;md5=aa9dda10657dd3b2755cadf92cd54ad3" TargetMode="External"/><Relationship Id="rId415" Type="http://schemas.openxmlformats.org/officeDocument/2006/relationships/hyperlink" Target="https://www.scopus.com/inward/record.uri?eid=2-s2.0-85099003222&amp;doi=10.1109%2fICTC49870.2020.9289387&amp;partnerID=40&amp;md5=e6e1930de752c57d3e2e3b98401bb802" TargetMode="External"/><Relationship Id="rId622" Type="http://schemas.openxmlformats.org/officeDocument/2006/relationships/hyperlink" Target="https://www.scopus.com/inward/record.uri?eid=2-s2.0-85034085817&amp;doi=10.1145%2f3117811.3131259&amp;partnerID=40&amp;md5=f4df6ea849fa3225b622a0d9c7cda09b" TargetMode="External"/><Relationship Id="rId261" Type="http://schemas.openxmlformats.org/officeDocument/2006/relationships/hyperlink" Target="https://www.scopus.com/inward/record.uri?eid=2-s2.0-85171791297&amp;doi=10.1109%2fCSR57506.2023.10224932&amp;partnerID=40&amp;md5=c7698e5b1108bf71ffe80006071c8b6e" TargetMode="External"/><Relationship Id="rId499" Type="http://schemas.openxmlformats.org/officeDocument/2006/relationships/hyperlink" Target="https://www.scopus.com/inward/record.uri?eid=2-s2.0-85114205880&amp;doi=10.1109%2fMECO52532.2021.9460295&amp;partnerID=40&amp;md5=7c8021cd121d15cf74b3114f715b4d52" TargetMode="External"/><Relationship Id="rId56" Type="http://schemas.openxmlformats.org/officeDocument/2006/relationships/hyperlink" Target="https://www.scopus.com/inward/record.uri?eid=2-s2.0-85191558904&amp;doi=10.3390%2fdrones8040164&amp;partnerID=40&amp;md5=75f8ed3f6080875de0f0852ae8ce3d0e" TargetMode="External"/><Relationship Id="rId359" Type="http://schemas.openxmlformats.org/officeDocument/2006/relationships/hyperlink" Target="https://www.scopus.com/inward/record.uri?eid=2-s2.0-85127119339&amp;doi=10.3390%2fs22072608&amp;partnerID=40&amp;md5=2a7868849420815ca33e90832bcabbab" TargetMode="External"/><Relationship Id="rId566" Type="http://schemas.openxmlformats.org/officeDocument/2006/relationships/hyperlink" Target="https://www.scopus.com/inward/record.uri?eid=2-s2.0-85074137306&amp;doi=10.1109%2fCITS.2019.8862148&amp;partnerID=40&amp;md5=1a64a17ffd01d9033d86aad83323a3fc" TargetMode="External"/><Relationship Id="rId121" Type="http://schemas.openxmlformats.org/officeDocument/2006/relationships/hyperlink" Target="https://www.scopus.com/inward/record.uri?eid=2-s2.0-85195375622&amp;doi=10.1109%2fJIOT.2024.3407767&amp;partnerID=40&amp;md5=84f1d01d5a49ac5bf1c6d7a7e7eb1b5d" TargetMode="External"/><Relationship Id="rId219" Type="http://schemas.openxmlformats.org/officeDocument/2006/relationships/hyperlink" Target="https://www.scopus.com/inward/record.uri?eid=2-s2.0-85172368420&amp;doi=10.2118%2f215547-MS&amp;partnerID=40&amp;md5=5ac3bed8034661f18aeeb7a1cdd7e54d" TargetMode="External"/><Relationship Id="rId426" Type="http://schemas.openxmlformats.org/officeDocument/2006/relationships/hyperlink" Target="https://www.scopus.com/inward/record.uri?eid=2-s2.0-85125293431&amp;doi=10.1109%2fLADC53747.2021.9672561&amp;partnerID=40&amp;md5=4521ba1b11d9db0819ea26c82504c2f4" TargetMode="External"/><Relationship Id="rId633" Type="http://schemas.openxmlformats.org/officeDocument/2006/relationships/hyperlink" Target="https://www.scopus.com/inward/record.uri?eid=2-s2.0-85063770316&amp;doi=10.2118%2f195090-ms&amp;partnerID=40&amp;md5=5fc165382ed34c01588bacc6780e110b" TargetMode="External"/><Relationship Id="rId67" Type="http://schemas.openxmlformats.org/officeDocument/2006/relationships/hyperlink" Target="https://www.scopus.com/inward/record.uri?eid=2-s2.0-85200241000&amp;doi=10.1109%2fTMC.2024.3432491&amp;partnerID=40&amp;md5=3771d3cf224d7e470e923f5cc810228a" TargetMode="External"/><Relationship Id="rId272" Type="http://schemas.openxmlformats.org/officeDocument/2006/relationships/hyperlink" Target="https://www.scopus.com/inward/record.uri?eid=2-s2.0-85187378909&amp;doi=10.1109%2fGLOBECOM54140.2023.10436751&amp;partnerID=40&amp;md5=c254a5cc8d25bee6e7aa61cb91107b64" TargetMode="External"/><Relationship Id="rId577" Type="http://schemas.openxmlformats.org/officeDocument/2006/relationships/hyperlink" Target="https://www.scopus.com/inward/record.uri?eid=2-s2.0-85084730709&amp;doi=10.1109%2fDASC43569.2019.9081684&amp;partnerID=40&amp;md5=2f24c7e671618124b5a3b3ddd479c9ac" TargetMode="External"/><Relationship Id="rId700" Type="http://schemas.openxmlformats.org/officeDocument/2006/relationships/hyperlink" Target="https://www.scopus.com/inward/record.uri?eid=2-s2.0-85038111558&amp;doi=10.1007%2f978-3-319-72359-4_37&amp;partnerID=40&amp;md5=067289935e53f8ccf27e3f93d9be13b3" TargetMode="External"/><Relationship Id="rId132" Type="http://schemas.openxmlformats.org/officeDocument/2006/relationships/hyperlink" Target="https://www.scopus.com/inward/record.uri?eid=2-s2.0-85186615548&amp;doi=10.1007%2fs12008-024-01750-0&amp;partnerID=40&amp;md5=c1d0126c2a2bdcfd353def366afdbed4" TargetMode="External"/><Relationship Id="rId437" Type="http://schemas.openxmlformats.org/officeDocument/2006/relationships/hyperlink" Target="https://www.scopus.com/inward/record.uri?eid=2-s2.0-85100756814&amp;doi=10.3390%2fapp11041412&amp;partnerID=40&amp;md5=2d0733753f7b53301228f46f3d6db466" TargetMode="External"/><Relationship Id="rId644" Type="http://schemas.openxmlformats.org/officeDocument/2006/relationships/hyperlink" Target="https://www.scopus.com/inward/record.uri?eid=2-s2.0-85029397371&amp;doi=10.5220%2f0006408500250034&amp;partnerID=40&amp;md5=e282ec1d15308a7580d146a98c0c6d2c" TargetMode="External"/><Relationship Id="rId283" Type="http://schemas.openxmlformats.org/officeDocument/2006/relationships/hyperlink" Target="https://www.scopus.com/inward/record.uri?eid=2-s2.0-85208975742&amp;doi=10.1109%2fICCST59048.2023.10726850&amp;partnerID=40&amp;md5=0930077e4b63d689df805320093c6d03" TargetMode="External"/><Relationship Id="rId490" Type="http://schemas.openxmlformats.org/officeDocument/2006/relationships/hyperlink" Target="https://www.scopus.com/inward/record.uri?eid=2-s2.0-85114553078&amp;doi=10.32604%2fcmc.2022.019419&amp;partnerID=40&amp;md5=73d60aaec89b422181fb9baaaeccdfce" TargetMode="External"/><Relationship Id="rId504" Type="http://schemas.openxmlformats.org/officeDocument/2006/relationships/hyperlink" Target="https://www.scopus.com/inward/record.uri?eid=2-s2.0-85078229665&amp;doi=10.1088%2f1757-899X%2f685%2f1%2f012023&amp;partnerID=40&amp;md5=d718af0387f70933b1f28d8ed545ae96" TargetMode="External"/><Relationship Id="rId711" Type="http://schemas.openxmlformats.org/officeDocument/2006/relationships/hyperlink" Target="https://www.scopus.com/inward/record.uri?eid=2-s2.0-84944531216&amp;doi=10.1007%2f978-90-481-9707-1_18&amp;partnerID=40&amp;md5=7c0490bfc60e2f94956400b97162e4f6" TargetMode="External"/><Relationship Id="rId78" Type="http://schemas.openxmlformats.org/officeDocument/2006/relationships/hyperlink" Target="https://www.scopus.com/inward/record.uri?eid=2-s2.0-85208075442&amp;doi=10.1109%2fIOTSMS62296.2024.10710297&amp;partnerID=40&amp;md5=76380e1984541f2b9d942cb04739f7d3" TargetMode="External"/><Relationship Id="rId143" Type="http://schemas.openxmlformats.org/officeDocument/2006/relationships/hyperlink" Target="https://www.scopus.com/inward/record.uri?eid=2-s2.0-85167841335&amp;doi=10.1109%2fTVT.2023.3302814&amp;partnerID=40&amp;md5=82d0b0642a61110163c0fd3499ce9543" TargetMode="External"/><Relationship Id="rId350" Type="http://schemas.openxmlformats.org/officeDocument/2006/relationships/hyperlink" Target="https://www.scopus.com/inward/record.uri?eid=2-s2.0-85141936865&amp;doi=10.1109%2fDASC55683.2022.9925879&amp;partnerID=40&amp;md5=81cc2c3cf8bd20941a77aa17b06394af" TargetMode="External"/><Relationship Id="rId588" Type="http://schemas.openxmlformats.org/officeDocument/2006/relationships/hyperlink" Target="https://www.scopus.com/inward/record.uri?eid=2-s2.0-85072836073&amp;doi=10.1109%2fEIT.2019.8833789&amp;partnerID=40&amp;md5=64aa033fa424456b91c3006dbe02e8e6" TargetMode="External"/><Relationship Id="rId9" Type="http://schemas.openxmlformats.org/officeDocument/2006/relationships/hyperlink" Target="https://www.scopus.com/inward/record.uri?eid=2-s2.0-85181572608&amp;doi=10.1109%2fTVT.2023.3347769&amp;partnerID=40&amp;md5=0ffc3036a4f824d4629aa556876b17a5" TargetMode="External"/><Relationship Id="rId210" Type="http://schemas.openxmlformats.org/officeDocument/2006/relationships/hyperlink" Target="https://www.scopus.com/inward/record.uri?eid=2-s2.0-85178017451&amp;doi=10.1109%2fOJVT.2023.3333676&amp;partnerID=40&amp;md5=f7e4703e8ed391c426800fd05d23875d" TargetMode="External"/><Relationship Id="rId448" Type="http://schemas.openxmlformats.org/officeDocument/2006/relationships/hyperlink" Target="https://www.scopus.com/inward/record.uri?eid=2-s2.0-85098002875&amp;doi=10.1109%2fDASC50938.2020.9256739&amp;partnerID=40&amp;md5=d790bd1a9030a0b875ac302764387875" TargetMode="External"/><Relationship Id="rId655" Type="http://schemas.openxmlformats.org/officeDocument/2006/relationships/hyperlink" Target="https://www.scopus.com/inward/record.uri?eid=2-s2.0-85015894803&amp;doi=10.1109%2fLAMC.2016.7851290&amp;partnerID=40&amp;md5=af5511e3e6b2a78419c1c5a56dbeae7b" TargetMode="External"/><Relationship Id="rId294" Type="http://schemas.openxmlformats.org/officeDocument/2006/relationships/hyperlink" Target="https://www.scopus.com/inward/record.uri?eid=2-s2.0-85186768829&amp;doi=10.1109%2fIKT62039.2023.10433029&amp;partnerID=40&amp;md5=3bd7f577527468723829179a5e1b1ad0" TargetMode="External"/><Relationship Id="rId308" Type="http://schemas.openxmlformats.org/officeDocument/2006/relationships/hyperlink" Target="https://www.scopus.com/inward/record.uri?eid=2-s2.0-85132439556&amp;doi=10.1016%2fj.vehcom.2022.100495&amp;partnerID=40&amp;md5=2f753cfa3c0c593f2b5290e40da06e61" TargetMode="External"/><Relationship Id="rId515" Type="http://schemas.openxmlformats.org/officeDocument/2006/relationships/hyperlink" Target="https://www.scopus.com/inward/record.uri?eid=2-s2.0-85092801353&amp;doi=10.2514%2f6.2020-2926&amp;partnerID=40&amp;md5=cd2ebe3fbb86c74314f96906b9474ea9" TargetMode="External"/><Relationship Id="rId722" Type="http://schemas.openxmlformats.org/officeDocument/2006/relationships/hyperlink" Target="https://www.scopus.com/inward/record.uri?eid=2-s2.0-84953291894&amp;doi=10.1017%2fCBO9781107478725.013&amp;partnerID=40&amp;md5=cf4b3e51216840b80b751c17546908fc" TargetMode="External"/><Relationship Id="rId89" Type="http://schemas.openxmlformats.org/officeDocument/2006/relationships/hyperlink" Target="https://www.scopus.com/inward/record.uri?eid=2-s2.0-85163707801&amp;doi=10.1109%2fTWC.2023.3287849&amp;partnerID=40&amp;md5=5e1c66b4fa41a6d2973152f473f4c809" TargetMode="External"/><Relationship Id="rId154" Type="http://schemas.openxmlformats.org/officeDocument/2006/relationships/hyperlink" Target="https://www.scopus.com/inward/record.uri?eid=2-s2.0-85176119366&amp;doi=10.22247%2fijcna%2f2023%2f223417&amp;partnerID=40&amp;md5=4b7fff63c974245f86601eb655016394" TargetMode="External"/><Relationship Id="rId361" Type="http://schemas.openxmlformats.org/officeDocument/2006/relationships/hyperlink" Target="https://www.scopus.com/inward/record.uri?eid=2-s2.0-85147668775&amp;doi=10.1109%2fIMCEC55388.2022.10020107&amp;partnerID=40&amp;md5=001f581fe8a0947fe171dd5bc1849561" TargetMode="External"/><Relationship Id="rId599" Type="http://schemas.openxmlformats.org/officeDocument/2006/relationships/hyperlink" Target="https://www.scopus.com/inward/record.uri?eid=2-s2.0-85085919844&amp;doi=10.1109%2fICII.2019.00011&amp;partnerID=40&amp;md5=772abadb1dc27647ea6fac049b3a992e" TargetMode="External"/><Relationship Id="rId459" Type="http://schemas.openxmlformats.org/officeDocument/2006/relationships/hyperlink" Target="https://www.scopus.com/inward/record.uri?eid=2-s2.0-85092191216&amp;doi=10.1002%2fett.4133&amp;partnerID=40&amp;md5=755f1dfd914c4ce35f86c498bebb6e69" TargetMode="External"/><Relationship Id="rId666" Type="http://schemas.openxmlformats.org/officeDocument/2006/relationships/hyperlink" Target="https://www.scopus.com/inward/record.uri?eid=2-s2.0-85025600706&amp;doi=10.1109%2fSIEDS.2017.7937749&amp;partnerID=40&amp;md5=31368f911abdad29da585d97ea078413" TargetMode="External"/><Relationship Id="rId16" Type="http://schemas.openxmlformats.org/officeDocument/2006/relationships/hyperlink" Target="https://www.scopus.com/inward/record.uri?eid=2-s2.0-85209943378&amp;doi=10.1109%2fICOSEC61587.2024.10722738&amp;partnerID=40&amp;md5=8e29ddee59542601e00e8cafbb626128" TargetMode="External"/><Relationship Id="rId221" Type="http://schemas.openxmlformats.org/officeDocument/2006/relationships/hyperlink" Target="https://www.scopus.com/inward/record.uri?eid=2-s2.0-85199874804&amp;doi=10.2514%2f6.2023-3401&amp;partnerID=40&amp;md5=d77e1fe3139deabe3809dd8b9dba4bc1" TargetMode="External"/><Relationship Id="rId319" Type="http://schemas.openxmlformats.org/officeDocument/2006/relationships/hyperlink" Target="https://www.scopus.com/inward/record.uri?eid=2-s2.0-85115443630&amp;doi=10.1109%2fICIEA51954.2021.9516363&amp;partnerID=40&amp;md5=4c420a2e2258008ebf93a554930e2756" TargetMode="External"/><Relationship Id="rId526" Type="http://schemas.openxmlformats.org/officeDocument/2006/relationships/hyperlink" Target="https://www.scopus.com/inward/record.uri?eid=2-s2.0-85084754034&amp;doi=10.1109%2fDASC43569.2019.9081734&amp;partnerID=40&amp;md5=26e6d94ccd300a592f83632526e55f28" TargetMode="External"/><Relationship Id="rId733" Type="http://schemas.openxmlformats.org/officeDocument/2006/relationships/printerSettings" Target="../printerSettings/printerSettings2.bin"/><Relationship Id="rId165" Type="http://schemas.openxmlformats.org/officeDocument/2006/relationships/hyperlink" Target="https://www.scopus.com/inward/record.uri?eid=2-s2.0-85190336976&amp;doi=10.1109%2fACCESS.2024.3387728&amp;partnerID=40&amp;md5=ee42258dbcd233a790a7d3f8d6f6fe59" TargetMode="External"/><Relationship Id="rId372" Type="http://schemas.openxmlformats.org/officeDocument/2006/relationships/hyperlink" Target="https://www.scopus.com/inward/record.uri?eid=2-s2.0-85131809178&amp;doi=10.4271%2f2022-26-0016&amp;partnerID=40&amp;md5=84ea81426680e9ddd7b6bf2a9599bfff" TargetMode="External"/><Relationship Id="rId677" Type="http://schemas.openxmlformats.org/officeDocument/2006/relationships/hyperlink" Target="https://www.scopus.com/inward/record.uri?eid=2-s2.0-85041014490&amp;doi=10.1109%2fDASC.2017.8102118&amp;partnerID=40&amp;md5=5878d862580dca0ff6cdf964586ac05d" TargetMode="External"/><Relationship Id="rId232" Type="http://schemas.openxmlformats.org/officeDocument/2006/relationships/hyperlink" Target="https://www.scopus.com/inward/record.uri?eid=2-s2.0-85145684225&amp;doi=10.1016%2fj.vehcom.2022.100552&amp;partnerID=40&amp;md5=638694b01fa466bc076125044d9da43b" TargetMode="External"/><Relationship Id="rId27" Type="http://schemas.openxmlformats.org/officeDocument/2006/relationships/hyperlink" Target="https://www.scopus.com/inward/record.uri?eid=2-s2.0-85201749349&amp;doi=10.1109%2fTCE.2024.3448541&amp;partnerID=40&amp;md5=0b431abd960751925d8700b085eda983" TargetMode="External"/><Relationship Id="rId537" Type="http://schemas.openxmlformats.org/officeDocument/2006/relationships/hyperlink" Target="https://www.scopus.com/inward/record.uri?eid=2-s2.0-85060510907&amp;doi=10.3390%2fs19030478&amp;partnerID=40&amp;md5=3dd2d23ba550defddf38dc7997cbc800" TargetMode="External"/><Relationship Id="rId80" Type="http://schemas.openxmlformats.org/officeDocument/2006/relationships/hyperlink" Target="https://www.scopus.com/inward/record.uri?eid=2-s2.0-85201577894&amp;partnerID=40&amp;md5=02d3410fc148daa2e09e829ee063cdbe" TargetMode="External"/><Relationship Id="rId176" Type="http://schemas.openxmlformats.org/officeDocument/2006/relationships/hyperlink" Target="https://www.scopus.com/inward/record.uri?eid=2-s2.0-85187383875&amp;doi=10.1109%2fTGCN.2024.3373886&amp;partnerID=40&amp;md5=06de4171cf5f5c3b84e5e18921666b1e" TargetMode="External"/><Relationship Id="rId383" Type="http://schemas.openxmlformats.org/officeDocument/2006/relationships/hyperlink" Target="https://www.scopus.com/inward/record.uri?eid=2-s2.0-85114866437&amp;doi=10.1007%2f978-3-030-75067-1_18&amp;partnerID=40&amp;md5=66cbced08c17853f74425daf0b5ebde4" TargetMode="External"/><Relationship Id="rId590" Type="http://schemas.openxmlformats.org/officeDocument/2006/relationships/hyperlink" Target="https://www.scopus.com/inward/record.uri?eid=2-s2.0-85083944118&amp;doi=10.2514%2f6.2019-1459&amp;partnerID=40&amp;md5=1b1aaad962fff98b7bef68b636bcd61c" TargetMode="External"/><Relationship Id="rId604" Type="http://schemas.openxmlformats.org/officeDocument/2006/relationships/hyperlink" Target="https://www.scopus.com/inward/record.uri?eid=2-s2.0-85056184922&amp;doi=10.1109%2fACCESS.2018.2879758&amp;partnerID=40&amp;md5=c85c0c5a0dc20ee3e0ce7e242888ce2b" TargetMode="External"/><Relationship Id="rId243" Type="http://schemas.openxmlformats.org/officeDocument/2006/relationships/hyperlink" Target="https://www.scopus.com/inward/record.uri?eid=2-s2.0-85169020310&amp;doi=10.1007%2f978-3-031-36118-0_53&amp;partnerID=40&amp;md5=900e55cfb659785f68ed408847ad004e" TargetMode="External"/><Relationship Id="rId450" Type="http://schemas.openxmlformats.org/officeDocument/2006/relationships/hyperlink" Target="https://www.scopus.com/inward/record.uri?eid=2-s2.0-85124170806&amp;doi=10.1109%2fMILCOM52596.2021.9653036&amp;partnerID=40&amp;md5=577931f4e9b13b42eba20dafd34b1c32" TargetMode="External"/><Relationship Id="rId688" Type="http://schemas.openxmlformats.org/officeDocument/2006/relationships/hyperlink" Target="https://www.scopus.com/inward/record.uri?eid=2-s2.0-85049194988&amp;doi=10.1117%2f12.2306298&amp;partnerID=40&amp;md5=0ec4f73f50fdc9bb127615eb3428e27f" TargetMode="External"/><Relationship Id="rId38" Type="http://schemas.openxmlformats.org/officeDocument/2006/relationships/hyperlink" Target="https://www.scopus.com/inward/record.uri?eid=2-s2.0-85206446209&amp;partnerID=40&amp;md5=bf0ec7a31e9d9fbae40831a362d732a3" TargetMode="External"/><Relationship Id="rId103" Type="http://schemas.openxmlformats.org/officeDocument/2006/relationships/hyperlink" Target="https://www.scopus.com/inward/record.uri?eid=2-s2.0-85190721460&amp;doi=10.24425%2face.2024.148913&amp;partnerID=40&amp;md5=b67871728ea422077a0134648e47184e" TargetMode="External"/><Relationship Id="rId310" Type="http://schemas.openxmlformats.org/officeDocument/2006/relationships/hyperlink" Target="https://www.scopus.com/inward/record.uri?eid=2-s2.0-85147328550&amp;doi=10.1109%2fMILCOM55135.2022.10017584&amp;partnerID=40&amp;md5=36c94ad208dcdf0627593a98faeb864e" TargetMode="External"/><Relationship Id="rId548" Type="http://schemas.openxmlformats.org/officeDocument/2006/relationships/hyperlink" Target="https://www.scopus.com/inward/record.uri?eid=2-s2.0-85075129228&amp;doi=10.35940%2fijitee.A4684.119119&amp;partnerID=40&amp;md5=31a73672dbbc629373dd70998cd92018" TargetMode="External"/><Relationship Id="rId91" Type="http://schemas.openxmlformats.org/officeDocument/2006/relationships/hyperlink" Target="https://www.scopus.com/inward/record.uri?eid=2-s2.0-85206454529&amp;doi=10.1109%2fCVPRW63382.2024.00728&amp;partnerID=40&amp;md5=37fda3a32fc5392cfed027cf3fba306b" TargetMode="External"/><Relationship Id="rId187" Type="http://schemas.openxmlformats.org/officeDocument/2006/relationships/hyperlink" Target="https://www.scopus.com/inward/record.uri?eid=2-s2.0-85184334782&amp;doi=10.1109%2fACCESS.2024.3359700&amp;partnerID=40&amp;md5=3f5b7b37dfd9e95a0012bb8640e66de7" TargetMode="External"/><Relationship Id="rId394" Type="http://schemas.openxmlformats.org/officeDocument/2006/relationships/hyperlink" Target="https://www.scopus.com/inward/record.uri?eid=2-s2.0-85137360422&amp;doi=10.1109%2fNAVITEC53682.2022.9847557&amp;partnerID=40&amp;md5=d92f560c35e0374833b0df84c656a24f" TargetMode="External"/><Relationship Id="rId408" Type="http://schemas.openxmlformats.org/officeDocument/2006/relationships/hyperlink" Target="https://www.scopus.com/inward/record.uri?eid=2-s2.0-85124144983&amp;doi=10.1109%2fMILCOM52596.2021.9652900&amp;partnerID=40&amp;md5=50534ed4e62491197f5f3d512c193489" TargetMode="External"/><Relationship Id="rId615" Type="http://schemas.openxmlformats.org/officeDocument/2006/relationships/hyperlink" Target="https://www.scopus.com/inward/record.uri?eid=2-s2.0-84989945827&amp;partnerID=40&amp;md5=0dab6cb51afd0994a2577a28ef68b2af" TargetMode="External"/><Relationship Id="rId254" Type="http://schemas.openxmlformats.org/officeDocument/2006/relationships/hyperlink" Target="https://www.scopus.com/inward/record.uri?eid=2-s2.0-85185837078&amp;doi=10.1109%2fSSD58187.2023.10411184&amp;partnerID=40&amp;md5=0ca46a1075faceb30ff98de1d87a48cf" TargetMode="External"/><Relationship Id="rId699" Type="http://schemas.openxmlformats.org/officeDocument/2006/relationships/hyperlink" Target="https://www.scopus.com/inward/record.uri?eid=2-s2.0-85047601060&amp;doi=10.1109%2fRED-UAS.2017.8101647&amp;partnerID=40&amp;md5=4c485f60833b29e0316b253ff7125e29" TargetMode="External"/><Relationship Id="rId49" Type="http://schemas.openxmlformats.org/officeDocument/2006/relationships/hyperlink" Target="https://www.scopus.com/inward/record.uri?eid=2-s2.0-85173026426&amp;doi=10.1109%2fTVT.2023.3320176&amp;partnerID=40&amp;md5=c2a2fbf457ff2753632cbae2c9d06eab" TargetMode="External"/><Relationship Id="rId114" Type="http://schemas.openxmlformats.org/officeDocument/2006/relationships/hyperlink" Target="https://www.scopus.com/inward/record.uri?eid=2-s2.0-85189137440&amp;doi=10.7840%2fkics.2023.48.8.984&amp;partnerID=40&amp;md5=0dd061371d446cda506062144ddb880b" TargetMode="External"/><Relationship Id="rId461" Type="http://schemas.openxmlformats.org/officeDocument/2006/relationships/hyperlink" Target="https://www.scopus.com/inward/record.uri?eid=2-s2.0-85110911750&amp;doi=10.1109%2fTITS.2020.3019246&amp;partnerID=40&amp;md5=5870d52ff5b9e3c9909857d94e0e3fab" TargetMode="External"/><Relationship Id="rId559" Type="http://schemas.openxmlformats.org/officeDocument/2006/relationships/hyperlink" Target="https://www.scopus.com/inward/record.uri?eid=2-s2.0-85068567362&amp;doi=10.1109%2fCOMTECH.2019.8737800&amp;partnerID=40&amp;md5=1e0b04c549ee154570b7074a856e4259" TargetMode="External"/><Relationship Id="rId198" Type="http://schemas.openxmlformats.org/officeDocument/2006/relationships/hyperlink" Target="https://www.scopus.com/inward/record.uri?eid=2-s2.0-85193223341&amp;doi=10.1109%2fMNET.2024.3399751&amp;partnerID=40&amp;md5=c661e9af326260bd87035813a95b0e0f" TargetMode="External"/><Relationship Id="rId321" Type="http://schemas.openxmlformats.org/officeDocument/2006/relationships/hyperlink" Target="https://www.scopus.com/inward/record.uri?eid=2-s2.0-85123792804&amp;doi=10.1049%2fcps2.12027&amp;partnerID=40&amp;md5=b528438b4014e3476dc46e8e251cb3df" TargetMode="External"/><Relationship Id="rId419" Type="http://schemas.openxmlformats.org/officeDocument/2006/relationships/hyperlink" Target="https://www.scopus.com/inward/record.uri?eid=2-s2.0-85103778874&amp;doi=10.1109%2fACCESS.2021.3070491&amp;partnerID=40&amp;md5=be4fd52c96f49845b6098d508a6263ab" TargetMode="External"/><Relationship Id="rId626" Type="http://schemas.openxmlformats.org/officeDocument/2006/relationships/hyperlink" Target="https://www.scopus.com/inward/record.uri?eid=2-s2.0-85049363174&amp;doi=10.1007%2f978-3-319-94496-8_7&amp;partnerID=40&amp;md5=1dc5e0364f624de1726210dd9448f033" TargetMode="External"/><Relationship Id="rId265" Type="http://schemas.openxmlformats.org/officeDocument/2006/relationships/hyperlink" Target="https://www.scopus.com/inward/record.uri?eid=2-s2.0-85199040346&amp;doi=10.2514%2f6.2023-1343&amp;partnerID=40&amp;md5=408b2c8e2d7ac337666ca091c1018263" TargetMode="External"/><Relationship Id="rId472" Type="http://schemas.openxmlformats.org/officeDocument/2006/relationships/hyperlink" Target="https://www.scopus.com/inward/record.uri?eid=2-s2.0-85103180314&amp;doi=10.1109%2fACCESS.2021.3066778&amp;partnerID=40&amp;md5=e8525772e1607798a546de7ef7c58cc6" TargetMode="External"/><Relationship Id="rId125" Type="http://schemas.openxmlformats.org/officeDocument/2006/relationships/hyperlink" Target="https://www.scopus.com/inward/record.uri?eid=2-s2.0-85162264067&amp;doi=10.1520%2fJTE20220394&amp;partnerID=40&amp;md5=05c98aa9bd2a540f2c0626b190d0cc72" TargetMode="External"/><Relationship Id="rId332" Type="http://schemas.openxmlformats.org/officeDocument/2006/relationships/hyperlink" Target="https://www.scopus.com/inward/record.uri?eid=2-s2.0-85127210838&amp;doi=10.1145%2f3485272&amp;partnerID=40&amp;md5=c488c9ff2cb749069d1ff3a2c0d73afc" TargetMode="External"/><Relationship Id="rId637" Type="http://schemas.openxmlformats.org/officeDocument/2006/relationships/hyperlink" Target="https://www.scopus.com/inward/record.uri?eid=2-s2.0-85067097313&amp;doi=10.1109%2fACCESS.2019.2911526&amp;partnerID=40&amp;md5=c81c4f72e3af9d0ae5b7af3b1f07e10a" TargetMode="External"/><Relationship Id="rId276" Type="http://schemas.openxmlformats.org/officeDocument/2006/relationships/hyperlink" Target="https://www.scopus.com/inward/record.uri?eid=2-s2.0-85153797448&amp;doi=10.1109%2fACCESS.2023.3269294&amp;partnerID=40&amp;md5=d6d8b5c9a2784fa32b3000deadf94795" TargetMode="External"/><Relationship Id="rId483" Type="http://schemas.openxmlformats.org/officeDocument/2006/relationships/hyperlink" Target="https://www.scopus.com/inward/record.uri?eid=2-s2.0-85104082190&amp;doi=10.1109%2fMAES.2020.3043138&amp;partnerID=40&amp;md5=e9e392778ac74a73bd66441e9aa13edb" TargetMode="External"/><Relationship Id="rId690" Type="http://schemas.openxmlformats.org/officeDocument/2006/relationships/hyperlink" Target="https://www.scopus.com/inward/record.uri?eid=2-s2.0-85061097345&amp;doi=10.1145%2f3289390&amp;partnerID=40&amp;md5=ba2d0da3d77a24c76b6e76e318c6a6a7" TargetMode="External"/><Relationship Id="rId704" Type="http://schemas.openxmlformats.org/officeDocument/2006/relationships/hyperlink" Target="https://www.scopus.com/inward/record.uri?eid=2-s2.0-84857024680&amp;doi=10.1117%2f12.902990&amp;partnerID=40&amp;md5=82bd3c570feb17c585c65d51120caf19" TargetMode="External"/><Relationship Id="rId40" Type="http://schemas.openxmlformats.org/officeDocument/2006/relationships/hyperlink" Target="https://www.scopus.com/inward/record.uri?eid=2-s2.0-85186492164&amp;doi=10.1016%2fj.prime.2024.100471&amp;partnerID=40&amp;md5=12738f48a9413d4489cd426571f3ae72" TargetMode="External"/><Relationship Id="rId136" Type="http://schemas.openxmlformats.org/officeDocument/2006/relationships/hyperlink" Target="https://www.scopus.com/inward/record.uri?eid=2-s2.0-85197145030&amp;doi=10.1109%2fICASI60819.2024.10547961&amp;partnerID=40&amp;md5=56999f2c121187a4c7b507de5ce2a720" TargetMode="External"/><Relationship Id="rId343" Type="http://schemas.openxmlformats.org/officeDocument/2006/relationships/hyperlink" Target="https://www.scopus.com/inward/record.uri?eid=2-s2.0-85133522893&amp;doi=10.3390%2ffi14070205&amp;partnerID=40&amp;md5=ef36d03bd9cdbd6220269bce9d7e8c7a" TargetMode="External"/><Relationship Id="rId550" Type="http://schemas.openxmlformats.org/officeDocument/2006/relationships/hyperlink" Target="https://www.scopus.com/inward/record.uri?eid=2-s2.0-85091889700&amp;doi=10.18494%2fSAM.2020.2783&amp;partnerID=40&amp;md5=0ade21dc382a495a9517d2486a618708" TargetMode="External"/><Relationship Id="rId203" Type="http://schemas.openxmlformats.org/officeDocument/2006/relationships/hyperlink" Target="https://www.scopus.com/inward/record.uri?eid=2-s2.0-85189564680&amp;doi=10.1109%2fCHILECON60335.2023.10418703&amp;partnerID=40&amp;md5=8fe0ba16c80e1ca5193e57e15f77e10c" TargetMode="External"/><Relationship Id="rId648" Type="http://schemas.openxmlformats.org/officeDocument/2006/relationships/hyperlink" Target="https://www.scopus.com/inward/record.uri?eid=2-s2.0-85049195331&amp;partnerID=40&amp;md5=3ac4c12fe20f7ccb118973cf29effbc8" TargetMode="External"/><Relationship Id="rId287" Type="http://schemas.openxmlformats.org/officeDocument/2006/relationships/hyperlink" Target="https://www.scopus.com/inward/record.uri?eid=2-s2.0-85177595250&amp;doi=10.1109%2fCNS59707.2023.10289004&amp;partnerID=40&amp;md5=ffb6b812663b4a389ab1b8abc3ecc062" TargetMode="External"/><Relationship Id="rId410" Type="http://schemas.openxmlformats.org/officeDocument/2006/relationships/hyperlink" Target="https://www.scopus.com/inward/record.uri?eid=2-s2.0-85107236676&amp;doi=10.1117%2f12.2582376&amp;partnerID=40&amp;md5=2d69ba8ac042846e770793af05c1a40a" TargetMode="External"/><Relationship Id="rId494" Type="http://schemas.openxmlformats.org/officeDocument/2006/relationships/hyperlink" Target="https://www.scopus.com/inward/record.uri?eid=2-s2.0-85125616229&amp;doi=10.1109%2fIWCMC51323.2021.9498879&amp;partnerID=40&amp;md5=b748cbf9736cb5287100c005c14687da" TargetMode="External"/><Relationship Id="rId508" Type="http://schemas.openxmlformats.org/officeDocument/2006/relationships/hyperlink" Target="https://www.scopus.com/inward/record.uri?eid=2-s2.0-85076566291&amp;doi=10.1016%2fj.comcom.2019.12.004&amp;partnerID=40&amp;md5=a554ac8551cf2ff7e14890fea1a4bf5a" TargetMode="External"/><Relationship Id="rId715" Type="http://schemas.openxmlformats.org/officeDocument/2006/relationships/hyperlink" Target="https://www.scopus.com/inward/record.uri?eid=2-s2.0-84943261156&amp;doi=10.4043%2f25812-ms&amp;partnerID=40&amp;md5=78ac969d5b852f699dc74c9e68db7fc6" TargetMode="External"/><Relationship Id="rId147" Type="http://schemas.openxmlformats.org/officeDocument/2006/relationships/hyperlink" Target="https://www.scopus.com/inward/record.uri?eid=2-s2.0-85149859492&amp;doi=10.1109%2fTVT.2023.3253894&amp;partnerID=40&amp;md5=d9e51f4e598f6b7893e8a3031e490da3" TargetMode="External"/><Relationship Id="rId354" Type="http://schemas.openxmlformats.org/officeDocument/2006/relationships/hyperlink" Target="https://www.scopus.com/inward/record.uri?eid=2-s2.0-85124757139&amp;doi=10.3390%2fapp12041990&amp;partnerID=40&amp;md5=53ee0fe933c4d32dbe1aa2669cd4c96a"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1C920-F5E6-46F2-A9B9-1E97191D0A9D}">
  <dimension ref="A1:V12"/>
  <sheetViews>
    <sheetView tabSelected="1" workbookViewId="0">
      <selection activeCell="B21" sqref="B21"/>
    </sheetView>
  </sheetViews>
  <sheetFormatPr defaultRowHeight="15" x14ac:dyDescent="0.25"/>
  <cols>
    <col min="1" max="1" width="9.140625" style="8"/>
    <col min="2" max="2" width="102.42578125" style="2" customWidth="1"/>
    <col min="3" max="5" width="11.85546875" style="8" customWidth="1"/>
    <col min="7" max="7" width="15.7109375" customWidth="1"/>
    <col min="10" max="10" width="13.42578125" customWidth="1"/>
    <col min="14" max="14" width="107.85546875" customWidth="1"/>
    <col min="15" max="15" width="22.7109375" customWidth="1"/>
    <col min="16" max="16" width="19.5703125" customWidth="1"/>
    <col min="17" max="17" width="18" customWidth="1"/>
    <col min="21" max="21" width="14.7109375" customWidth="1"/>
    <col min="22" max="22" width="14.42578125" customWidth="1"/>
  </cols>
  <sheetData>
    <row r="1" spans="1:22" x14ac:dyDescent="0.25">
      <c r="A1" s="1" t="s">
        <v>4971</v>
      </c>
      <c r="B1" s="1" t="s">
        <v>4972</v>
      </c>
      <c r="C1" s="1" t="s">
        <v>4973</v>
      </c>
      <c r="D1" s="31" t="s">
        <v>4974</v>
      </c>
      <c r="E1" s="66" t="s">
        <v>4975</v>
      </c>
      <c r="G1" s="1" t="s">
        <v>4976</v>
      </c>
      <c r="H1" s="11" t="s">
        <v>4977</v>
      </c>
      <c r="I1" s="12" t="s">
        <v>4978</v>
      </c>
      <c r="J1" s="29" t="s">
        <v>4979</v>
      </c>
      <c r="M1" s="1" t="s">
        <v>4971</v>
      </c>
      <c r="N1" s="1" t="s">
        <v>4972</v>
      </c>
      <c r="O1" s="1" t="s">
        <v>4980</v>
      </c>
      <c r="P1" s="31" t="s">
        <v>4977</v>
      </c>
      <c r="Q1" s="31" t="s">
        <v>4981</v>
      </c>
      <c r="R1" s="69" t="s">
        <v>4982</v>
      </c>
      <c r="S1" s="41"/>
      <c r="U1" s="38" t="s">
        <v>4983</v>
      </c>
      <c r="V1" s="38" t="s">
        <v>4984</v>
      </c>
    </row>
    <row r="2" spans="1:22" ht="35.1" customHeight="1" thickBot="1" x14ac:dyDescent="0.3">
      <c r="A2" s="17">
        <v>1</v>
      </c>
      <c r="B2" s="16" t="s">
        <v>4985</v>
      </c>
      <c r="C2" s="17">
        <f>COUNTIF(Selected_papers!B:B,"1")</f>
        <v>152</v>
      </c>
      <c r="D2" s="32">
        <f>COUNTIFS(Selected_papers!A:A, "Y",Selected_papers!B:B, 1)</f>
        <v>134</v>
      </c>
      <c r="E2" s="67"/>
      <c r="G2" s="36">
        <f>COUNTIF(Selected_papers!C:C,"Y")+COUNTIF(Selected_papers!C:C,"N")</f>
        <v>736</v>
      </c>
      <c r="H2" s="15">
        <f>COUNTIF(Selected_papers!C:C,"N")</f>
        <v>487</v>
      </c>
      <c r="I2" s="17">
        <f>COUNTIF(Selected_papers!C:C,"Y")</f>
        <v>249</v>
      </c>
      <c r="J2" s="28">
        <f>COUNTIF(Selected_papers!A:A,"Y")</f>
        <v>224</v>
      </c>
      <c r="M2" s="17">
        <v>1</v>
      </c>
      <c r="N2" s="16" t="s">
        <v>4985</v>
      </c>
      <c r="O2" s="17">
        <f>D2</f>
        <v>134</v>
      </c>
      <c r="P2" s="33" t="e">
        <f>COUNTIFS(#REF!, "Y",#REF!, 1)</f>
        <v>#REF!</v>
      </c>
      <c r="Q2" s="28" t="e">
        <f>O2-P2</f>
        <v>#REF!</v>
      </c>
      <c r="R2" s="70"/>
      <c r="S2" s="41"/>
      <c r="U2" s="42">
        <f>SUM(O2:O12)</f>
        <v>224</v>
      </c>
      <c r="V2" s="43" t="e">
        <f>SUM(Q2:Q4)</f>
        <v>#REF!</v>
      </c>
    </row>
    <row r="3" spans="1:22" ht="35.1" customHeight="1" thickBot="1" x14ac:dyDescent="0.3">
      <c r="A3" s="17">
        <v>2</v>
      </c>
      <c r="B3" s="16" t="s">
        <v>4986</v>
      </c>
      <c r="C3" s="17">
        <f>COUNTIF(Selected_papers!B:B,"2")</f>
        <v>67</v>
      </c>
      <c r="D3" s="32">
        <f>COUNTIFS(Selected_papers!A:A, "Y",Selected_papers!B:B, 2)</f>
        <v>60</v>
      </c>
      <c r="E3" s="67"/>
      <c r="G3" s="37" t="s">
        <v>4987</v>
      </c>
      <c r="H3" s="72" t="s">
        <v>4975</v>
      </c>
      <c r="I3" s="73"/>
      <c r="J3" s="37" t="s">
        <v>4988</v>
      </c>
      <c r="M3" s="17">
        <v>2</v>
      </c>
      <c r="N3" s="16" t="s">
        <v>4986</v>
      </c>
      <c r="O3" s="17">
        <f t="shared" ref="O3:O4" si="0">D3</f>
        <v>60</v>
      </c>
      <c r="P3" s="33" t="e">
        <f>COUNTIFS(#REF!, "Y",#REF!, 2)</f>
        <v>#REF!</v>
      </c>
      <c r="Q3" s="28" t="e">
        <f>O3-P3</f>
        <v>#REF!</v>
      </c>
      <c r="R3" s="70"/>
      <c r="S3" s="41"/>
    </row>
    <row r="4" spans="1:22" ht="35.1" customHeight="1" thickBot="1" x14ac:dyDescent="0.3">
      <c r="A4" s="19">
        <v>3</v>
      </c>
      <c r="B4" s="26" t="s">
        <v>4989</v>
      </c>
      <c r="C4" s="23">
        <f>COUNTIF(Selected_papers!B:B,"3")</f>
        <v>30</v>
      </c>
      <c r="D4" s="32">
        <f>COUNTIFS(Selected_papers!A:A, "Y",Selected_papers!B:B, 3)</f>
        <v>30</v>
      </c>
      <c r="E4" s="67"/>
      <c r="J4" t="s">
        <v>4990</v>
      </c>
      <c r="M4" s="17">
        <v>3</v>
      </c>
      <c r="N4" s="26" t="s">
        <v>4989</v>
      </c>
      <c r="O4" s="23">
        <f t="shared" si="0"/>
        <v>30</v>
      </c>
      <c r="P4" s="39" t="e">
        <f>COUNTIFS(#REF!, "Y",#REF!, 3)</f>
        <v>#REF!</v>
      </c>
      <c r="Q4" s="40" t="e">
        <f>O4-P4</f>
        <v>#REF!</v>
      </c>
      <c r="R4" s="70"/>
      <c r="S4" s="41"/>
    </row>
    <row r="5" spans="1:22" ht="35.1" customHeight="1" x14ac:dyDescent="0.25">
      <c r="A5" s="18" t="s">
        <v>19</v>
      </c>
      <c r="B5" s="25" t="s">
        <v>4991</v>
      </c>
      <c r="C5" s="15">
        <f>COUNTIF(Selected_papers!B:B,"N0")</f>
        <v>211</v>
      </c>
      <c r="D5" s="33" t="s">
        <v>4992</v>
      </c>
      <c r="E5" s="67"/>
      <c r="R5" s="70"/>
      <c r="S5" s="41"/>
    </row>
    <row r="6" spans="1:22" ht="35.1" customHeight="1" x14ac:dyDescent="0.25">
      <c r="A6" s="18" t="s">
        <v>52</v>
      </c>
      <c r="B6" s="16" t="s">
        <v>4993</v>
      </c>
      <c r="C6" s="18">
        <f>COUNTIF(Selected_papers!B:B,"N1")</f>
        <v>64</v>
      </c>
      <c r="D6" s="33" t="s">
        <v>4992</v>
      </c>
      <c r="E6" s="67"/>
      <c r="R6" s="70"/>
      <c r="S6" s="41"/>
    </row>
    <row r="7" spans="1:22" ht="35.1" customHeight="1" x14ac:dyDescent="0.25">
      <c r="A7" s="15" t="s">
        <v>100</v>
      </c>
      <c r="B7" s="16" t="s">
        <v>4994</v>
      </c>
      <c r="C7" s="15">
        <f>COUNTIF(Selected_papers!B:B,"N2")</f>
        <v>143</v>
      </c>
      <c r="D7" s="33" t="s">
        <v>4992</v>
      </c>
      <c r="E7" s="67"/>
      <c r="R7" s="70"/>
      <c r="S7" s="41"/>
    </row>
    <row r="8" spans="1:22" ht="35.1" customHeight="1" x14ac:dyDescent="0.25">
      <c r="A8" s="15" t="s">
        <v>29</v>
      </c>
      <c r="B8" s="16" t="s">
        <v>4995</v>
      </c>
      <c r="C8" s="15">
        <f>COUNTIF(Selected_papers!B:B,"N3")</f>
        <v>20</v>
      </c>
      <c r="D8" s="33" t="s">
        <v>4992</v>
      </c>
      <c r="E8" s="67"/>
      <c r="R8" s="70"/>
      <c r="S8" s="41"/>
    </row>
    <row r="9" spans="1:22" ht="35.1" customHeight="1" x14ac:dyDescent="0.25">
      <c r="A9" s="15" t="s">
        <v>1398</v>
      </c>
      <c r="B9" s="16" t="s">
        <v>4996</v>
      </c>
      <c r="C9" s="15">
        <f>COUNTIF(Selected_papers!B:B,"N4")</f>
        <v>18</v>
      </c>
      <c r="D9" s="33" t="s">
        <v>4992</v>
      </c>
      <c r="E9" s="67"/>
      <c r="R9" s="70"/>
      <c r="S9" s="41"/>
    </row>
    <row r="10" spans="1:22" x14ac:dyDescent="0.25">
      <c r="A10" s="30" t="s">
        <v>74</v>
      </c>
      <c r="B10" s="2" t="s">
        <v>4997</v>
      </c>
      <c r="C10" s="30">
        <f>COUNTIF(Selected_papers!B:B,"D1")</f>
        <v>31</v>
      </c>
      <c r="D10" s="34" t="s">
        <v>4992</v>
      </c>
      <c r="E10" s="67"/>
      <c r="R10" s="70"/>
      <c r="S10" s="41"/>
    </row>
    <row r="11" spans="1:22" ht="35.1" customHeight="1" x14ac:dyDescent="0.25">
      <c r="A11" s="20" t="s">
        <v>4998</v>
      </c>
      <c r="B11" s="16" t="s">
        <v>4999</v>
      </c>
      <c r="C11" s="24"/>
      <c r="D11" s="35" t="s">
        <v>4992</v>
      </c>
      <c r="E11" s="67"/>
      <c r="R11" s="70"/>
      <c r="S11" s="41"/>
    </row>
    <row r="12" spans="1:22" ht="15.75" thickBot="1" x14ac:dyDescent="0.3">
      <c r="A12" s="21"/>
      <c r="B12" s="22"/>
      <c r="C12" s="14">
        <f>SUM(C2:C11)</f>
        <v>736</v>
      </c>
      <c r="D12" s="32">
        <f>SUM(D2:D4)</f>
        <v>224</v>
      </c>
      <c r="E12" s="68"/>
      <c r="R12" s="71"/>
      <c r="S12" s="41"/>
    </row>
  </sheetData>
  <mergeCells count="3">
    <mergeCell ref="E1:E12"/>
    <mergeCell ref="R1:R12"/>
    <mergeCell ref="H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A22AD-E790-422A-87A3-3CBFF97BE7B0}">
  <dimension ref="A1:Q764"/>
  <sheetViews>
    <sheetView topLeftCell="A40" zoomScale="85" zoomScaleNormal="85" workbookViewId="0">
      <selection activeCell="B22" sqref="B22"/>
    </sheetView>
  </sheetViews>
  <sheetFormatPr defaultRowHeight="15" x14ac:dyDescent="0.25"/>
  <cols>
    <col min="1" max="4" width="81.140625" bestFit="1" customWidth="1"/>
    <col min="5" max="5" width="7.28515625" bestFit="1" customWidth="1"/>
    <col min="6" max="6" width="81.140625" bestFit="1" customWidth="1"/>
    <col min="7" max="7" width="15.7109375" bestFit="1" customWidth="1"/>
    <col min="8" max="8" width="15.28515625" bestFit="1" customWidth="1"/>
    <col min="9" max="9" width="14.7109375" bestFit="1" customWidth="1"/>
    <col min="10" max="10" width="12" bestFit="1" customWidth="1"/>
    <col min="11" max="11" width="11.42578125" bestFit="1" customWidth="1"/>
    <col min="12" max="12" width="13" bestFit="1" customWidth="1"/>
    <col min="13" max="13" width="71.5703125" bestFit="1" customWidth="1"/>
    <col min="14" max="16" width="81.140625" bestFit="1" customWidth="1"/>
    <col min="17" max="17" width="18.140625" bestFit="1" customWidth="1"/>
  </cols>
  <sheetData>
    <row r="1" spans="1:17" x14ac:dyDescent="0.25">
      <c r="A1" t="s">
        <v>4</v>
      </c>
      <c r="B1" t="s">
        <v>5033</v>
      </c>
      <c r="C1" t="s">
        <v>5034</v>
      </c>
      <c r="D1" t="s">
        <v>5</v>
      </c>
      <c r="E1" t="s">
        <v>5035</v>
      </c>
      <c r="F1" t="s">
        <v>5036</v>
      </c>
      <c r="G1" t="s">
        <v>5037</v>
      </c>
      <c r="H1" t="s">
        <v>5038</v>
      </c>
      <c r="I1" t="s">
        <v>5039</v>
      </c>
      <c r="J1" t="s">
        <v>5040</v>
      </c>
      <c r="K1" t="s">
        <v>5041</v>
      </c>
      <c r="L1" t="s">
        <v>5042</v>
      </c>
      <c r="M1" t="s">
        <v>9</v>
      </c>
      <c r="N1" t="s">
        <v>5043</v>
      </c>
      <c r="O1" t="s">
        <v>6</v>
      </c>
      <c r="P1" t="s">
        <v>5044</v>
      </c>
      <c r="Q1" t="s">
        <v>5045</v>
      </c>
    </row>
    <row r="2" spans="1:17" x14ac:dyDescent="0.25">
      <c r="A2" t="s">
        <v>5046</v>
      </c>
      <c r="B2" t="s">
        <v>5047</v>
      </c>
      <c r="C2" t="s">
        <v>5048</v>
      </c>
      <c r="D2" t="s">
        <v>14</v>
      </c>
      <c r="E2">
        <v>2024</v>
      </c>
      <c r="F2" t="s">
        <v>5049</v>
      </c>
      <c r="G2" t="s">
        <v>5050</v>
      </c>
      <c r="H2" t="s">
        <v>5051</v>
      </c>
      <c r="I2" t="s">
        <v>5052</v>
      </c>
      <c r="M2" t="s">
        <v>17</v>
      </c>
      <c r="N2" t="s">
        <v>18</v>
      </c>
      <c r="O2" t="s">
        <v>15</v>
      </c>
      <c r="P2" t="s">
        <v>5053</v>
      </c>
      <c r="Q2" t="s">
        <v>5054</v>
      </c>
    </row>
    <row r="3" spans="1:17" x14ac:dyDescent="0.25">
      <c r="A3" t="s">
        <v>5055</v>
      </c>
      <c r="B3" t="s">
        <v>5056</v>
      </c>
      <c r="C3" t="s">
        <v>5057</v>
      </c>
      <c r="D3" t="s">
        <v>780</v>
      </c>
      <c r="E3">
        <v>2024</v>
      </c>
      <c r="F3" t="s">
        <v>5058</v>
      </c>
      <c r="G3" t="s">
        <v>5050</v>
      </c>
      <c r="H3" t="s">
        <v>5059</v>
      </c>
      <c r="I3" t="s">
        <v>5060</v>
      </c>
      <c r="M3" t="s">
        <v>783</v>
      </c>
      <c r="N3" t="s">
        <v>784</v>
      </c>
      <c r="O3" t="s">
        <v>781</v>
      </c>
      <c r="P3" t="s">
        <v>782</v>
      </c>
      <c r="Q3" t="s">
        <v>5061</v>
      </c>
    </row>
    <row r="4" spans="1:17" x14ac:dyDescent="0.25">
      <c r="A4" t="s">
        <v>5062</v>
      </c>
      <c r="B4" t="s">
        <v>5063</v>
      </c>
      <c r="C4" t="s">
        <v>5064</v>
      </c>
      <c r="D4" t="s">
        <v>1541</v>
      </c>
      <c r="E4">
        <v>2024</v>
      </c>
      <c r="F4" t="s">
        <v>1541</v>
      </c>
      <c r="G4" t="s">
        <v>5059</v>
      </c>
      <c r="H4" t="s">
        <v>5059</v>
      </c>
      <c r="I4" t="s">
        <v>5059</v>
      </c>
      <c r="J4">
        <v>1</v>
      </c>
      <c r="K4">
        <v>266</v>
      </c>
      <c r="L4">
        <v>265</v>
      </c>
      <c r="M4" t="s">
        <v>5059</v>
      </c>
      <c r="N4" t="s">
        <v>1543</v>
      </c>
      <c r="O4" t="s">
        <v>1542</v>
      </c>
      <c r="P4" t="s">
        <v>5059</v>
      </c>
      <c r="Q4" t="s">
        <v>5065</v>
      </c>
    </row>
    <row r="5" spans="1:17" x14ac:dyDescent="0.25">
      <c r="A5" t="s">
        <v>5066</v>
      </c>
      <c r="B5" t="s">
        <v>5067</v>
      </c>
      <c r="C5" t="s">
        <v>5068</v>
      </c>
      <c r="D5" t="s">
        <v>2295</v>
      </c>
      <c r="E5">
        <v>2024</v>
      </c>
      <c r="F5" t="s">
        <v>5069</v>
      </c>
      <c r="G5" t="s">
        <v>5070</v>
      </c>
      <c r="H5" t="s">
        <v>5071</v>
      </c>
      <c r="I5" t="s">
        <v>5072</v>
      </c>
      <c r="J5">
        <v>5770</v>
      </c>
      <c r="K5">
        <v>5785</v>
      </c>
      <c r="L5">
        <v>15</v>
      </c>
      <c r="M5" t="s">
        <v>2298</v>
      </c>
      <c r="N5" t="s">
        <v>2299</v>
      </c>
      <c r="O5" t="s">
        <v>2296</v>
      </c>
      <c r="P5" t="s">
        <v>5073</v>
      </c>
      <c r="Q5" t="s">
        <v>5074</v>
      </c>
    </row>
    <row r="6" spans="1:17" x14ac:dyDescent="0.25">
      <c r="A6" t="s">
        <v>5075</v>
      </c>
      <c r="B6" t="s">
        <v>5076</v>
      </c>
      <c r="C6" t="s">
        <v>5077</v>
      </c>
      <c r="D6" t="s">
        <v>5078</v>
      </c>
      <c r="E6">
        <v>2024</v>
      </c>
      <c r="F6" t="s">
        <v>4157</v>
      </c>
      <c r="G6" t="s">
        <v>5079</v>
      </c>
      <c r="H6" t="s">
        <v>5059</v>
      </c>
      <c r="I6" t="s">
        <v>5080</v>
      </c>
      <c r="M6" t="s">
        <v>5081</v>
      </c>
      <c r="N6" t="s">
        <v>5082</v>
      </c>
      <c r="O6" t="s">
        <v>5083</v>
      </c>
      <c r="P6" t="s">
        <v>5084</v>
      </c>
      <c r="Q6" t="s">
        <v>5085</v>
      </c>
    </row>
    <row r="7" spans="1:17" x14ac:dyDescent="0.25">
      <c r="A7" t="s">
        <v>5086</v>
      </c>
      <c r="B7" t="s">
        <v>5087</v>
      </c>
      <c r="C7" t="s">
        <v>5088</v>
      </c>
      <c r="D7" t="s">
        <v>5089</v>
      </c>
      <c r="E7">
        <v>2024</v>
      </c>
      <c r="F7" t="s">
        <v>5090</v>
      </c>
      <c r="G7" t="s">
        <v>5091</v>
      </c>
      <c r="H7" t="s">
        <v>5059</v>
      </c>
      <c r="I7" t="s">
        <v>5092</v>
      </c>
      <c r="M7" t="s">
        <v>5093</v>
      </c>
      <c r="N7" t="s">
        <v>5094</v>
      </c>
      <c r="O7" t="s">
        <v>5095</v>
      </c>
      <c r="P7" t="s">
        <v>5096</v>
      </c>
      <c r="Q7" t="s">
        <v>5097</v>
      </c>
    </row>
    <row r="8" spans="1:17" x14ac:dyDescent="0.25">
      <c r="A8" t="s">
        <v>5098</v>
      </c>
      <c r="B8" t="s">
        <v>5099</v>
      </c>
      <c r="C8" t="s">
        <v>5100</v>
      </c>
      <c r="D8" t="s">
        <v>3800</v>
      </c>
      <c r="E8">
        <v>2024</v>
      </c>
      <c r="F8" t="s">
        <v>5101</v>
      </c>
      <c r="G8" t="s">
        <v>5102</v>
      </c>
      <c r="H8" t="s">
        <v>5103</v>
      </c>
      <c r="I8" t="s">
        <v>5059</v>
      </c>
      <c r="J8">
        <v>363</v>
      </c>
      <c r="K8">
        <v>373</v>
      </c>
      <c r="L8">
        <v>10</v>
      </c>
      <c r="M8" t="s">
        <v>3803</v>
      </c>
      <c r="N8" t="s">
        <v>3804</v>
      </c>
      <c r="O8" t="s">
        <v>3801</v>
      </c>
      <c r="P8" t="s">
        <v>5104</v>
      </c>
      <c r="Q8" t="s">
        <v>5105</v>
      </c>
    </row>
    <row r="9" spans="1:17" x14ac:dyDescent="0.25">
      <c r="A9" t="s">
        <v>5106</v>
      </c>
      <c r="B9" t="s">
        <v>5107</v>
      </c>
      <c r="C9" t="s">
        <v>5108</v>
      </c>
      <c r="D9" t="s">
        <v>4821</v>
      </c>
      <c r="E9">
        <v>2024</v>
      </c>
      <c r="F9" t="s">
        <v>5109</v>
      </c>
      <c r="G9" t="s">
        <v>5110</v>
      </c>
      <c r="H9" t="s">
        <v>5059</v>
      </c>
      <c r="I9" t="s">
        <v>5111</v>
      </c>
      <c r="M9" t="s">
        <v>4824</v>
      </c>
      <c r="N9" t="s">
        <v>4825</v>
      </c>
      <c r="O9" t="s">
        <v>4822</v>
      </c>
      <c r="P9" t="s">
        <v>5112</v>
      </c>
      <c r="Q9" t="s">
        <v>5113</v>
      </c>
    </row>
    <row r="10" spans="1:17" x14ac:dyDescent="0.25">
      <c r="A10" t="s">
        <v>5114</v>
      </c>
      <c r="B10" t="s">
        <v>5115</v>
      </c>
      <c r="C10" t="s">
        <v>5116</v>
      </c>
      <c r="D10" t="s">
        <v>4896</v>
      </c>
      <c r="E10">
        <v>2024</v>
      </c>
      <c r="F10" t="s">
        <v>5117</v>
      </c>
      <c r="G10" t="s">
        <v>5118</v>
      </c>
      <c r="H10" t="s">
        <v>5071</v>
      </c>
      <c r="I10" t="s">
        <v>5059</v>
      </c>
      <c r="J10">
        <v>7276</v>
      </c>
      <c r="K10">
        <v>7286</v>
      </c>
      <c r="L10">
        <v>10</v>
      </c>
      <c r="M10" t="s">
        <v>4899</v>
      </c>
      <c r="N10" t="s">
        <v>4900</v>
      </c>
      <c r="O10" t="s">
        <v>4897</v>
      </c>
      <c r="P10" t="s">
        <v>5119</v>
      </c>
      <c r="Q10" t="s">
        <v>5120</v>
      </c>
    </row>
    <row r="11" spans="1:17" x14ac:dyDescent="0.25">
      <c r="A11" t="s">
        <v>5121</v>
      </c>
      <c r="B11" t="s">
        <v>5122</v>
      </c>
      <c r="C11" t="s">
        <v>5123</v>
      </c>
      <c r="D11" t="s">
        <v>5124</v>
      </c>
      <c r="E11">
        <v>2024</v>
      </c>
      <c r="F11" t="s">
        <v>5124</v>
      </c>
      <c r="G11" t="s">
        <v>5059</v>
      </c>
      <c r="H11" t="s">
        <v>5059</v>
      </c>
      <c r="I11" t="s">
        <v>5059</v>
      </c>
      <c r="J11">
        <v>1</v>
      </c>
      <c r="K11">
        <v>653</v>
      </c>
      <c r="L11">
        <v>652</v>
      </c>
      <c r="M11" t="s">
        <v>5125</v>
      </c>
      <c r="N11" t="s">
        <v>5126</v>
      </c>
      <c r="O11" t="s">
        <v>5127</v>
      </c>
      <c r="P11" t="s">
        <v>5059</v>
      </c>
      <c r="Q11" t="s">
        <v>5128</v>
      </c>
    </row>
    <row r="12" spans="1:17" x14ac:dyDescent="0.25">
      <c r="A12" t="s">
        <v>5129</v>
      </c>
      <c r="B12" t="s">
        <v>5130</v>
      </c>
      <c r="C12" t="s">
        <v>5131</v>
      </c>
      <c r="D12" t="s">
        <v>23</v>
      </c>
      <c r="E12">
        <v>2024</v>
      </c>
      <c r="F12" t="s">
        <v>5132</v>
      </c>
      <c r="G12" t="s">
        <v>5133</v>
      </c>
      <c r="H12" t="s">
        <v>5051</v>
      </c>
      <c r="I12" t="s">
        <v>5059</v>
      </c>
      <c r="J12">
        <v>1641</v>
      </c>
      <c r="K12">
        <v>1652</v>
      </c>
      <c r="L12">
        <v>11</v>
      </c>
      <c r="M12" t="s">
        <v>27</v>
      </c>
      <c r="N12" t="s">
        <v>28</v>
      </c>
      <c r="O12" t="s">
        <v>24</v>
      </c>
      <c r="P12" t="s">
        <v>5134</v>
      </c>
      <c r="Q12" t="s">
        <v>5135</v>
      </c>
    </row>
    <row r="13" spans="1:17" x14ac:dyDescent="0.25">
      <c r="A13" t="s">
        <v>5136</v>
      </c>
      <c r="B13" t="s">
        <v>5137</v>
      </c>
      <c r="C13" t="s">
        <v>5138</v>
      </c>
      <c r="D13" t="s">
        <v>5139</v>
      </c>
      <c r="E13">
        <v>2024</v>
      </c>
      <c r="F13" t="s">
        <v>5140</v>
      </c>
      <c r="G13" t="s">
        <v>5059</v>
      </c>
      <c r="H13" t="s">
        <v>5059</v>
      </c>
      <c r="I13" t="s">
        <v>5059</v>
      </c>
      <c r="J13">
        <v>252</v>
      </c>
      <c r="K13">
        <v>255</v>
      </c>
      <c r="L13">
        <v>3</v>
      </c>
      <c r="M13" t="s">
        <v>5141</v>
      </c>
      <c r="N13" t="s">
        <v>5142</v>
      </c>
      <c r="O13" t="s">
        <v>5143</v>
      </c>
      <c r="P13" t="s">
        <v>5144</v>
      </c>
      <c r="Q13" t="s">
        <v>5145</v>
      </c>
    </row>
    <row r="14" spans="1:17" x14ac:dyDescent="0.25">
      <c r="A14" t="s">
        <v>5146</v>
      </c>
      <c r="B14" t="s">
        <v>5147</v>
      </c>
      <c r="C14" t="s">
        <v>5148</v>
      </c>
      <c r="D14" t="s">
        <v>103</v>
      </c>
      <c r="E14">
        <v>2024</v>
      </c>
      <c r="F14" t="s">
        <v>5149</v>
      </c>
      <c r="G14" t="s">
        <v>5059</v>
      </c>
      <c r="H14" t="s">
        <v>5059</v>
      </c>
      <c r="I14" t="s">
        <v>5059</v>
      </c>
      <c r="M14" t="s">
        <v>106</v>
      </c>
      <c r="N14" t="s">
        <v>107</v>
      </c>
      <c r="O14" t="s">
        <v>104</v>
      </c>
      <c r="P14" t="s">
        <v>5150</v>
      </c>
      <c r="Q14" t="s">
        <v>5151</v>
      </c>
    </row>
    <row r="15" spans="1:17" x14ac:dyDescent="0.25">
      <c r="A15" t="s">
        <v>5152</v>
      </c>
      <c r="B15" t="s">
        <v>5153</v>
      </c>
      <c r="C15" t="s">
        <v>5154</v>
      </c>
      <c r="D15" t="s">
        <v>180</v>
      </c>
      <c r="E15">
        <v>2024</v>
      </c>
      <c r="F15" t="s">
        <v>5155</v>
      </c>
      <c r="G15" t="s">
        <v>5156</v>
      </c>
      <c r="H15" t="s">
        <v>5157</v>
      </c>
      <c r="I15" t="s">
        <v>5158</v>
      </c>
      <c r="M15" t="s">
        <v>183</v>
      </c>
      <c r="N15" t="s">
        <v>184</v>
      </c>
      <c r="O15" t="s">
        <v>181</v>
      </c>
      <c r="P15" t="s">
        <v>5159</v>
      </c>
      <c r="Q15" t="s">
        <v>5160</v>
      </c>
    </row>
    <row r="16" spans="1:17" x14ac:dyDescent="0.25">
      <c r="A16" t="s">
        <v>5161</v>
      </c>
      <c r="B16" t="s">
        <v>5162</v>
      </c>
      <c r="C16" t="s">
        <v>5163</v>
      </c>
      <c r="D16" t="s">
        <v>256</v>
      </c>
      <c r="E16">
        <v>2024</v>
      </c>
      <c r="F16" t="s">
        <v>5164</v>
      </c>
      <c r="G16" t="s">
        <v>5165</v>
      </c>
      <c r="H16" t="s">
        <v>5071</v>
      </c>
      <c r="I16" t="s">
        <v>5166</v>
      </c>
      <c r="M16" t="s">
        <v>259</v>
      </c>
      <c r="N16" t="s">
        <v>260</v>
      </c>
      <c r="O16" t="s">
        <v>257</v>
      </c>
      <c r="P16" t="s">
        <v>5167</v>
      </c>
      <c r="Q16" t="s">
        <v>5168</v>
      </c>
    </row>
    <row r="17" spans="1:17" x14ac:dyDescent="0.25">
      <c r="A17" t="s">
        <v>5169</v>
      </c>
      <c r="B17" t="s">
        <v>5170</v>
      </c>
      <c r="C17" t="s">
        <v>5171</v>
      </c>
      <c r="D17" t="s">
        <v>484</v>
      </c>
      <c r="E17">
        <v>2024</v>
      </c>
      <c r="F17" t="s">
        <v>5172</v>
      </c>
      <c r="G17" t="s">
        <v>5059</v>
      </c>
      <c r="H17" t="s">
        <v>5059</v>
      </c>
      <c r="I17" t="s">
        <v>5059</v>
      </c>
      <c r="J17">
        <v>666</v>
      </c>
      <c r="K17">
        <v>672</v>
      </c>
      <c r="L17">
        <v>6</v>
      </c>
      <c r="M17" t="s">
        <v>487</v>
      </c>
      <c r="N17" t="s">
        <v>488</v>
      </c>
      <c r="O17" t="s">
        <v>485</v>
      </c>
      <c r="P17" t="s">
        <v>5173</v>
      </c>
      <c r="Q17" t="s">
        <v>5174</v>
      </c>
    </row>
    <row r="18" spans="1:17" x14ac:dyDescent="0.25">
      <c r="A18" t="s">
        <v>5175</v>
      </c>
      <c r="B18" t="s">
        <v>5176</v>
      </c>
      <c r="C18" t="s">
        <v>5177</v>
      </c>
      <c r="D18" t="s">
        <v>635</v>
      </c>
      <c r="E18">
        <v>2024</v>
      </c>
      <c r="F18" t="s">
        <v>5178</v>
      </c>
      <c r="G18" t="s">
        <v>5179</v>
      </c>
      <c r="H18" t="s">
        <v>5180</v>
      </c>
      <c r="I18" t="s">
        <v>5059</v>
      </c>
      <c r="J18">
        <v>126</v>
      </c>
      <c r="K18">
        <v>131</v>
      </c>
      <c r="L18">
        <v>5</v>
      </c>
      <c r="M18" t="s">
        <v>638</v>
      </c>
      <c r="N18" t="s">
        <v>639</v>
      </c>
      <c r="O18" t="s">
        <v>636</v>
      </c>
      <c r="P18" t="s">
        <v>5181</v>
      </c>
      <c r="Q18" t="s">
        <v>5182</v>
      </c>
    </row>
    <row r="19" spans="1:17" x14ac:dyDescent="0.25">
      <c r="A19" t="s">
        <v>5183</v>
      </c>
      <c r="B19" t="s">
        <v>5184</v>
      </c>
      <c r="C19" t="s">
        <v>5185</v>
      </c>
      <c r="D19" t="s">
        <v>707</v>
      </c>
      <c r="E19">
        <v>2024</v>
      </c>
      <c r="F19" t="s">
        <v>5186</v>
      </c>
      <c r="G19" t="s">
        <v>5091</v>
      </c>
      <c r="H19" t="s">
        <v>5059</v>
      </c>
      <c r="I19" t="s">
        <v>5059</v>
      </c>
      <c r="J19">
        <v>176033</v>
      </c>
      <c r="K19">
        <v>176056</v>
      </c>
      <c r="L19">
        <v>23</v>
      </c>
      <c r="M19" t="s">
        <v>710</v>
      </c>
      <c r="N19" t="s">
        <v>711</v>
      </c>
      <c r="O19" t="s">
        <v>5187</v>
      </c>
      <c r="P19" t="s">
        <v>5188</v>
      </c>
      <c r="Q19" t="s">
        <v>5189</v>
      </c>
    </row>
    <row r="20" spans="1:17" x14ac:dyDescent="0.25">
      <c r="A20" t="s">
        <v>5190</v>
      </c>
      <c r="B20" t="s">
        <v>5191</v>
      </c>
      <c r="C20" t="s">
        <v>5192</v>
      </c>
      <c r="D20" t="s">
        <v>787</v>
      </c>
      <c r="E20">
        <v>2024</v>
      </c>
      <c r="F20" t="s">
        <v>5193</v>
      </c>
      <c r="G20" t="s">
        <v>5194</v>
      </c>
      <c r="H20" t="s">
        <v>5195</v>
      </c>
      <c r="I20" t="s">
        <v>5059</v>
      </c>
      <c r="J20">
        <v>9609</v>
      </c>
      <c r="K20">
        <v>9639</v>
      </c>
      <c r="L20">
        <v>30</v>
      </c>
      <c r="M20" t="s">
        <v>790</v>
      </c>
      <c r="N20" t="s">
        <v>791</v>
      </c>
      <c r="O20" t="s">
        <v>788</v>
      </c>
      <c r="P20" t="s">
        <v>5196</v>
      </c>
      <c r="Q20" t="s">
        <v>5197</v>
      </c>
    </row>
    <row r="21" spans="1:17" x14ac:dyDescent="0.25">
      <c r="A21" t="s">
        <v>5198</v>
      </c>
      <c r="B21" t="s">
        <v>5199</v>
      </c>
      <c r="C21" t="s">
        <v>5200</v>
      </c>
      <c r="D21" t="s">
        <v>864</v>
      </c>
      <c r="E21">
        <v>2024</v>
      </c>
      <c r="F21" t="s">
        <v>5201</v>
      </c>
      <c r="G21" t="s">
        <v>5157</v>
      </c>
      <c r="H21" t="s">
        <v>5202</v>
      </c>
      <c r="I21" t="s">
        <v>5091</v>
      </c>
      <c r="M21" t="s">
        <v>867</v>
      </c>
      <c r="N21" t="s">
        <v>868</v>
      </c>
      <c r="O21" t="s">
        <v>865</v>
      </c>
      <c r="P21" t="s">
        <v>866</v>
      </c>
      <c r="Q21" t="s">
        <v>5203</v>
      </c>
    </row>
    <row r="22" spans="1:17" x14ac:dyDescent="0.25">
      <c r="A22" t="s">
        <v>5204</v>
      </c>
      <c r="B22" t="s">
        <v>5205</v>
      </c>
      <c r="C22" t="s">
        <v>5206</v>
      </c>
      <c r="D22" t="s">
        <v>941</v>
      </c>
      <c r="E22">
        <v>2024</v>
      </c>
      <c r="F22" t="s">
        <v>5207</v>
      </c>
      <c r="G22" t="s">
        <v>5071</v>
      </c>
      <c r="H22" t="s">
        <v>5071</v>
      </c>
      <c r="I22" t="s">
        <v>5208</v>
      </c>
      <c r="M22" t="s">
        <v>944</v>
      </c>
      <c r="N22" t="s">
        <v>945</v>
      </c>
      <c r="O22" t="s">
        <v>942</v>
      </c>
      <c r="P22" t="s">
        <v>943</v>
      </c>
      <c r="Q22" t="s">
        <v>5209</v>
      </c>
    </row>
    <row r="23" spans="1:17" x14ac:dyDescent="0.25">
      <c r="A23" t="s">
        <v>5210</v>
      </c>
      <c r="B23" t="s">
        <v>5211</v>
      </c>
      <c r="C23" t="s">
        <v>5212</v>
      </c>
      <c r="D23" t="s">
        <v>5213</v>
      </c>
      <c r="E23">
        <v>2024</v>
      </c>
      <c r="F23" t="s">
        <v>5214</v>
      </c>
      <c r="G23" t="s">
        <v>5215</v>
      </c>
      <c r="H23" t="s">
        <v>5059</v>
      </c>
      <c r="I23" t="s">
        <v>5059</v>
      </c>
      <c r="J23">
        <v>451</v>
      </c>
      <c r="K23">
        <v>460</v>
      </c>
      <c r="L23">
        <v>9</v>
      </c>
      <c r="M23" t="s">
        <v>5216</v>
      </c>
      <c r="N23" t="s">
        <v>5217</v>
      </c>
      <c r="O23" t="s">
        <v>5218</v>
      </c>
      <c r="P23" t="s">
        <v>5219</v>
      </c>
      <c r="Q23" t="s">
        <v>5220</v>
      </c>
    </row>
    <row r="24" spans="1:17" x14ac:dyDescent="0.25">
      <c r="A24" t="s">
        <v>5221</v>
      </c>
      <c r="B24" t="s">
        <v>5222</v>
      </c>
      <c r="C24" t="s">
        <v>5223</v>
      </c>
      <c r="D24" t="s">
        <v>1014</v>
      </c>
      <c r="E24">
        <v>2024</v>
      </c>
      <c r="F24" t="s">
        <v>5224</v>
      </c>
      <c r="G24" t="s">
        <v>5225</v>
      </c>
      <c r="H24" t="s">
        <v>5195</v>
      </c>
      <c r="I24" t="s">
        <v>5226</v>
      </c>
      <c r="M24" t="s">
        <v>1017</v>
      </c>
      <c r="N24" t="s">
        <v>1018</v>
      </c>
      <c r="O24" t="s">
        <v>1015</v>
      </c>
      <c r="P24" t="s">
        <v>5227</v>
      </c>
      <c r="Q24" t="s">
        <v>5228</v>
      </c>
    </row>
    <row r="25" spans="1:17" x14ac:dyDescent="0.25">
      <c r="A25" t="s">
        <v>5229</v>
      </c>
      <c r="B25" t="s">
        <v>5230</v>
      </c>
      <c r="C25" t="s">
        <v>5231</v>
      </c>
      <c r="D25" t="s">
        <v>1090</v>
      </c>
      <c r="E25">
        <v>2024</v>
      </c>
      <c r="F25" t="s">
        <v>5232</v>
      </c>
      <c r="G25" t="s">
        <v>5059</v>
      </c>
      <c r="H25" t="s">
        <v>5059</v>
      </c>
      <c r="I25" t="s">
        <v>5059</v>
      </c>
      <c r="J25">
        <v>125</v>
      </c>
      <c r="K25">
        <v>162</v>
      </c>
      <c r="L25">
        <v>37</v>
      </c>
      <c r="M25" t="s">
        <v>1092</v>
      </c>
      <c r="N25" t="s">
        <v>1093</v>
      </c>
      <c r="O25" t="s">
        <v>1091</v>
      </c>
      <c r="P25" t="s">
        <v>5059</v>
      </c>
      <c r="Q25" t="s">
        <v>5233</v>
      </c>
    </row>
    <row r="26" spans="1:17" x14ac:dyDescent="0.25">
      <c r="A26" t="s">
        <v>5234</v>
      </c>
      <c r="B26" t="s">
        <v>5235</v>
      </c>
      <c r="C26" t="s">
        <v>5236</v>
      </c>
      <c r="D26" t="s">
        <v>1166</v>
      </c>
      <c r="E26">
        <v>2024</v>
      </c>
      <c r="F26" t="s">
        <v>5237</v>
      </c>
      <c r="G26" t="s">
        <v>5238</v>
      </c>
      <c r="H26" t="s">
        <v>5239</v>
      </c>
      <c r="I26" t="s">
        <v>5059</v>
      </c>
      <c r="J26">
        <v>2827</v>
      </c>
      <c r="K26">
        <v>2855</v>
      </c>
      <c r="L26">
        <v>28</v>
      </c>
      <c r="M26" t="s">
        <v>1169</v>
      </c>
      <c r="N26" t="s">
        <v>1170</v>
      </c>
      <c r="O26" t="s">
        <v>1167</v>
      </c>
      <c r="P26" t="s">
        <v>5240</v>
      </c>
      <c r="Q26" t="s">
        <v>5241</v>
      </c>
    </row>
    <row r="27" spans="1:17" x14ac:dyDescent="0.25">
      <c r="A27" t="s">
        <v>5242</v>
      </c>
      <c r="B27" t="s">
        <v>5243</v>
      </c>
      <c r="C27" t="s">
        <v>5244</v>
      </c>
      <c r="D27" t="s">
        <v>1700</v>
      </c>
      <c r="E27">
        <v>2024</v>
      </c>
      <c r="F27" t="s">
        <v>5245</v>
      </c>
      <c r="G27" t="s">
        <v>5246</v>
      </c>
      <c r="H27" t="s">
        <v>5157</v>
      </c>
      <c r="I27" t="s">
        <v>5247</v>
      </c>
      <c r="M27" t="s">
        <v>1703</v>
      </c>
      <c r="N27" t="s">
        <v>1704</v>
      </c>
      <c r="O27" t="s">
        <v>1701</v>
      </c>
      <c r="P27" t="s">
        <v>5248</v>
      </c>
      <c r="Q27" t="s">
        <v>5249</v>
      </c>
    </row>
    <row r="28" spans="1:17" x14ac:dyDescent="0.25">
      <c r="A28" t="s">
        <v>5250</v>
      </c>
      <c r="B28" t="s">
        <v>5251</v>
      </c>
      <c r="C28" t="s">
        <v>5252</v>
      </c>
      <c r="D28" t="s">
        <v>5253</v>
      </c>
      <c r="E28">
        <v>2024</v>
      </c>
      <c r="F28" t="s">
        <v>5254</v>
      </c>
      <c r="G28" t="s">
        <v>5059</v>
      </c>
      <c r="H28" t="s">
        <v>5059</v>
      </c>
      <c r="I28" t="s">
        <v>5059</v>
      </c>
      <c r="J28">
        <v>69</v>
      </c>
      <c r="K28">
        <v>74</v>
      </c>
      <c r="L28">
        <v>5</v>
      </c>
      <c r="M28" t="s">
        <v>5255</v>
      </c>
      <c r="N28" t="s">
        <v>5256</v>
      </c>
      <c r="O28" t="s">
        <v>5257</v>
      </c>
      <c r="P28" t="s">
        <v>5258</v>
      </c>
      <c r="Q28" t="s">
        <v>5259</v>
      </c>
    </row>
    <row r="29" spans="1:17" x14ac:dyDescent="0.25">
      <c r="A29" t="s">
        <v>5260</v>
      </c>
      <c r="B29" t="s">
        <v>5261</v>
      </c>
      <c r="C29" t="s">
        <v>5262</v>
      </c>
      <c r="D29" t="s">
        <v>1776</v>
      </c>
      <c r="E29">
        <v>2024</v>
      </c>
      <c r="F29" t="s">
        <v>5263</v>
      </c>
      <c r="G29" t="s">
        <v>5264</v>
      </c>
      <c r="H29" t="s">
        <v>5103</v>
      </c>
      <c r="I29" t="s">
        <v>5059</v>
      </c>
      <c r="J29">
        <v>2540</v>
      </c>
      <c r="K29">
        <v>2550</v>
      </c>
      <c r="L29">
        <v>10</v>
      </c>
      <c r="M29" t="s">
        <v>1779</v>
      </c>
      <c r="N29" t="s">
        <v>1780</v>
      </c>
      <c r="O29" t="s">
        <v>1777</v>
      </c>
      <c r="P29" t="s">
        <v>5265</v>
      </c>
      <c r="Q29" t="s">
        <v>5266</v>
      </c>
    </row>
    <row r="30" spans="1:17" x14ac:dyDescent="0.25">
      <c r="A30" t="s">
        <v>5267</v>
      </c>
      <c r="B30" t="s">
        <v>5268</v>
      </c>
      <c r="C30" t="s">
        <v>5269</v>
      </c>
      <c r="D30" t="s">
        <v>5270</v>
      </c>
      <c r="E30">
        <v>2024</v>
      </c>
      <c r="F30" t="s">
        <v>5271</v>
      </c>
      <c r="G30" t="s">
        <v>5059</v>
      </c>
      <c r="H30" t="s">
        <v>5059</v>
      </c>
      <c r="I30" t="s">
        <v>5059</v>
      </c>
      <c r="M30" t="s">
        <v>5272</v>
      </c>
      <c r="N30" t="s">
        <v>5273</v>
      </c>
      <c r="O30" t="s">
        <v>5274</v>
      </c>
      <c r="P30" t="s">
        <v>5275</v>
      </c>
      <c r="Q30" t="s">
        <v>5276</v>
      </c>
    </row>
    <row r="31" spans="1:17" x14ac:dyDescent="0.25">
      <c r="A31" t="s">
        <v>5277</v>
      </c>
      <c r="B31" t="s">
        <v>5278</v>
      </c>
      <c r="C31" t="s">
        <v>5279</v>
      </c>
      <c r="D31" t="s">
        <v>1853</v>
      </c>
      <c r="E31">
        <v>2024</v>
      </c>
      <c r="F31" t="s">
        <v>5263</v>
      </c>
      <c r="G31" t="s">
        <v>5264</v>
      </c>
      <c r="H31" t="s">
        <v>5103</v>
      </c>
      <c r="I31" t="s">
        <v>5059</v>
      </c>
      <c r="J31">
        <v>1069</v>
      </c>
      <c r="K31">
        <v>1080</v>
      </c>
      <c r="L31">
        <v>11</v>
      </c>
      <c r="M31" t="s">
        <v>1856</v>
      </c>
      <c r="N31" t="s">
        <v>1857</v>
      </c>
      <c r="O31" t="s">
        <v>1854</v>
      </c>
      <c r="P31" t="s">
        <v>5280</v>
      </c>
      <c r="Q31" t="s">
        <v>5281</v>
      </c>
    </row>
    <row r="32" spans="1:17" x14ac:dyDescent="0.25">
      <c r="A32" t="s">
        <v>5282</v>
      </c>
      <c r="B32" t="s">
        <v>5283</v>
      </c>
      <c r="C32" t="s">
        <v>5284</v>
      </c>
      <c r="D32" t="s">
        <v>1926</v>
      </c>
      <c r="E32">
        <v>2024</v>
      </c>
      <c r="F32" t="s">
        <v>5285</v>
      </c>
      <c r="G32" t="s">
        <v>5165</v>
      </c>
      <c r="H32" t="s">
        <v>5195</v>
      </c>
      <c r="I32" t="s">
        <v>5059</v>
      </c>
      <c r="J32">
        <v>1150</v>
      </c>
      <c r="K32">
        <v>1157</v>
      </c>
      <c r="L32">
        <v>7</v>
      </c>
      <c r="M32" t="s">
        <v>1929</v>
      </c>
      <c r="N32" t="s">
        <v>1930</v>
      </c>
      <c r="O32" t="s">
        <v>1927</v>
      </c>
      <c r="P32" t="s">
        <v>1928</v>
      </c>
      <c r="Q32" t="s">
        <v>5286</v>
      </c>
    </row>
    <row r="33" spans="1:17" x14ac:dyDescent="0.25">
      <c r="A33" t="s">
        <v>5287</v>
      </c>
      <c r="B33" t="s">
        <v>5288</v>
      </c>
      <c r="C33" t="s">
        <v>5289</v>
      </c>
      <c r="D33" t="s">
        <v>2003</v>
      </c>
      <c r="E33">
        <v>2024</v>
      </c>
      <c r="F33" t="s">
        <v>5290</v>
      </c>
      <c r="G33" t="s">
        <v>5291</v>
      </c>
      <c r="H33" t="s">
        <v>5051</v>
      </c>
      <c r="I33" t="s">
        <v>5292</v>
      </c>
      <c r="M33" t="s">
        <v>2005</v>
      </c>
      <c r="N33" t="s">
        <v>2006</v>
      </c>
      <c r="O33" t="s">
        <v>2004</v>
      </c>
      <c r="P33" t="s">
        <v>5059</v>
      </c>
      <c r="Q33" t="s">
        <v>5293</v>
      </c>
    </row>
    <row r="34" spans="1:17" x14ac:dyDescent="0.25">
      <c r="A34" t="s">
        <v>5294</v>
      </c>
      <c r="B34" t="s">
        <v>5295</v>
      </c>
      <c r="C34" t="s">
        <v>5296</v>
      </c>
      <c r="D34" t="s">
        <v>2077</v>
      </c>
      <c r="E34">
        <v>2024</v>
      </c>
      <c r="F34" t="s">
        <v>5297</v>
      </c>
      <c r="G34" t="s">
        <v>5059</v>
      </c>
      <c r="H34" t="s">
        <v>5059</v>
      </c>
      <c r="I34" t="s">
        <v>5059</v>
      </c>
      <c r="J34">
        <v>676</v>
      </c>
      <c r="K34">
        <v>681</v>
      </c>
      <c r="L34">
        <v>5</v>
      </c>
      <c r="M34" t="s">
        <v>2080</v>
      </c>
      <c r="N34" t="s">
        <v>2081</v>
      </c>
      <c r="O34" t="s">
        <v>2078</v>
      </c>
      <c r="P34" t="s">
        <v>5298</v>
      </c>
      <c r="Q34" t="s">
        <v>5299</v>
      </c>
    </row>
    <row r="35" spans="1:17" x14ac:dyDescent="0.25">
      <c r="A35" t="s">
        <v>5300</v>
      </c>
      <c r="B35" t="s">
        <v>5301</v>
      </c>
      <c r="C35" t="s">
        <v>5302</v>
      </c>
      <c r="D35" t="s">
        <v>2150</v>
      </c>
      <c r="E35">
        <v>2024</v>
      </c>
      <c r="F35" t="s">
        <v>5303</v>
      </c>
      <c r="G35" t="s">
        <v>5304</v>
      </c>
      <c r="H35" t="s">
        <v>5238</v>
      </c>
      <c r="I35" t="s">
        <v>5059</v>
      </c>
      <c r="J35">
        <v>6697</v>
      </c>
      <c r="K35">
        <v>6709</v>
      </c>
      <c r="L35">
        <v>12</v>
      </c>
      <c r="M35" t="s">
        <v>5059</v>
      </c>
      <c r="N35" t="s">
        <v>2153</v>
      </c>
      <c r="O35" t="s">
        <v>2151</v>
      </c>
      <c r="P35" t="s">
        <v>2152</v>
      </c>
      <c r="Q35" t="s">
        <v>5305</v>
      </c>
    </row>
    <row r="36" spans="1:17" x14ac:dyDescent="0.25">
      <c r="A36" t="s">
        <v>5306</v>
      </c>
      <c r="B36" t="s">
        <v>5307</v>
      </c>
      <c r="C36" t="s">
        <v>5308</v>
      </c>
      <c r="D36" t="s">
        <v>4765</v>
      </c>
      <c r="E36">
        <v>2024</v>
      </c>
      <c r="F36" t="s">
        <v>5309</v>
      </c>
      <c r="G36" t="s">
        <v>5059</v>
      </c>
      <c r="H36" t="s">
        <v>5059</v>
      </c>
      <c r="I36" t="s">
        <v>5059</v>
      </c>
      <c r="J36">
        <v>459</v>
      </c>
      <c r="K36">
        <v>463</v>
      </c>
      <c r="L36">
        <v>4</v>
      </c>
      <c r="M36" t="s">
        <v>4767</v>
      </c>
      <c r="N36" t="s">
        <v>5310</v>
      </c>
      <c r="O36" t="s">
        <v>5311</v>
      </c>
      <c r="P36" t="s">
        <v>5312</v>
      </c>
      <c r="Q36" t="s">
        <v>5313</v>
      </c>
    </row>
    <row r="37" spans="1:17" x14ac:dyDescent="0.25">
      <c r="A37" t="s">
        <v>5314</v>
      </c>
      <c r="B37" t="s">
        <v>5315</v>
      </c>
      <c r="C37" t="s">
        <v>5316</v>
      </c>
      <c r="D37" t="s">
        <v>2221</v>
      </c>
      <c r="E37">
        <v>2024</v>
      </c>
      <c r="F37" t="s">
        <v>5317</v>
      </c>
      <c r="G37" t="s">
        <v>5071</v>
      </c>
      <c r="H37" t="s">
        <v>5059</v>
      </c>
      <c r="I37" t="s">
        <v>5059</v>
      </c>
      <c r="J37">
        <v>6849</v>
      </c>
      <c r="K37">
        <v>6871</v>
      </c>
      <c r="L37">
        <v>22</v>
      </c>
      <c r="M37" t="s">
        <v>2224</v>
      </c>
      <c r="N37" t="s">
        <v>2225</v>
      </c>
      <c r="O37" t="s">
        <v>2222</v>
      </c>
      <c r="P37" t="s">
        <v>5318</v>
      </c>
      <c r="Q37" t="s">
        <v>5319</v>
      </c>
    </row>
    <row r="38" spans="1:17" x14ac:dyDescent="0.25">
      <c r="A38" t="s">
        <v>5320</v>
      </c>
      <c r="B38" t="s">
        <v>5321</v>
      </c>
      <c r="C38" t="s">
        <v>5322</v>
      </c>
      <c r="D38" t="s">
        <v>2302</v>
      </c>
      <c r="E38">
        <v>2024</v>
      </c>
      <c r="F38" t="s">
        <v>5323</v>
      </c>
      <c r="G38" t="s">
        <v>5195</v>
      </c>
      <c r="H38" t="s">
        <v>5059</v>
      </c>
      <c r="I38" t="s">
        <v>5324</v>
      </c>
      <c r="M38" t="s">
        <v>2305</v>
      </c>
      <c r="N38" t="s">
        <v>2306</v>
      </c>
      <c r="O38" t="s">
        <v>2303</v>
      </c>
      <c r="P38" t="s">
        <v>2304</v>
      </c>
      <c r="Q38" t="s">
        <v>5325</v>
      </c>
    </row>
    <row r="39" spans="1:17" x14ac:dyDescent="0.25">
      <c r="A39" t="s">
        <v>5326</v>
      </c>
      <c r="B39" t="s">
        <v>5327</v>
      </c>
      <c r="C39" t="s">
        <v>5328</v>
      </c>
      <c r="D39" t="s">
        <v>2449</v>
      </c>
      <c r="E39">
        <v>2024</v>
      </c>
      <c r="F39" t="s">
        <v>5329</v>
      </c>
      <c r="G39" t="s">
        <v>5330</v>
      </c>
      <c r="H39" t="s">
        <v>5059</v>
      </c>
      <c r="I39" t="s">
        <v>5331</v>
      </c>
      <c r="M39" t="s">
        <v>2452</v>
      </c>
      <c r="N39" t="s">
        <v>2453</v>
      </c>
      <c r="O39" t="s">
        <v>2450</v>
      </c>
      <c r="P39" t="s">
        <v>2451</v>
      </c>
      <c r="Q39" t="s">
        <v>5332</v>
      </c>
    </row>
    <row r="40" spans="1:17" x14ac:dyDescent="0.25">
      <c r="A40" t="s">
        <v>5333</v>
      </c>
      <c r="B40" t="s">
        <v>5334</v>
      </c>
      <c r="C40" t="s">
        <v>5335</v>
      </c>
      <c r="D40" t="s">
        <v>2524</v>
      </c>
      <c r="E40">
        <v>2024</v>
      </c>
      <c r="F40" t="s">
        <v>5336</v>
      </c>
      <c r="G40" t="s">
        <v>5337</v>
      </c>
      <c r="H40" t="s">
        <v>5059</v>
      </c>
      <c r="I40" t="s">
        <v>5338</v>
      </c>
      <c r="M40" t="s">
        <v>2527</v>
      </c>
      <c r="N40" t="s">
        <v>2528</v>
      </c>
      <c r="O40" t="s">
        <v>2525</v>
      </c>
      <c r="P40" t="s">
        <v>5339</v>
      </c>
      <c r="Q40" t="s">
        <v>5340</v>
      </c>
    </row>
    <row r="41" spans="1:17" x14ac:dyDescent="0.25">
      <c r="A41" t="s">
        <v>5341</v>
      </c>
      <c r="B41" t="s">
        <v>5342</v>
      </c>
      <c r="C41" t="s">
        <v>5343</v>
      </c>
      <c r="D41" t="s">
        <v>5344</v>
      </c>
      <c r="E41">
        <v>2024</v>
      </c>
      <c r="F41" t="s">
        <v>5345</v>
      </c>
      <c r="G41" t="s">
        <v>5165</v>
      </c>
      <c r="H41" t="s">
        <v>5091</v>
      </c>
      <c r="I41" t="s">
        <v>5346</v>
      </c>
      <c r="M41" t="s">
        <v>5347</v>
      </c>
      <c r="N41" t="s">
        <v>5348</v>
      </c>
      <c r="O41" t="s">
        <v>5349</v>
      </c>
      <c r="P41" t="s">
        <v>5350</v>
      </c>
      <c r="Q41" t="s">
        <v>5351</v>
      </c>
    </row>
    <row r="42" spans="1:17" x14ac:dyDescent="0.25">
      <c r="A42" t="s">
        <v>5352</v>
      </c>
      <c r="B42" t="s">
        <v>5353</v>
      </c>
      <c r="C42" t="s">
        <v>5354</v>
      </c>
      <c r="D42" t="s">
        <v>2600</v>
      </c>
      <c r="E42">
        <v>2024</v>
      </c>
      <c r="F42" t="s">
        <v>5049</v>
      </c>
      <c r="G42" t="s">
        <v>5050</v>
      </c>
      <c r="H42" t="s">
        <v>5102</v>
      </c>
      <c r="I42" t="s">
        <v>5355</v>
      </c>
      <c r="M42" t="s">
        <v>2603</v>
      </c>
      <c r="N42" t="s">
        <v>2604</v>
      </c>
      <c r="O42" t="s">
        <v>2601</v>
      </c>
      <c r="P42" t="s">
        <v>5356</v>
      </c>
      <c r="Q42" t="s">
        <v>5357</v>
      </c>
    </row>
    <row r="43" spans="1:17" x14ac:dyDescent="0.25">
      <c r="A43" t="s">
        <v>5358</v>
      </c>
      <c r="B43" t="s">
        <v>5359</v>
      </c>
      <c r="C43" t="s">
        <v>5360</v>
      </c>
      <c r="D43" t="s">
        <v>2750</v>
      </c>
      <c r="E43">
        <v>2024</v>
      </c>
      <c r="F43" t="s">
        <v>5117</v>
      </c>
      <c r="G43" t="s">
        <v>5118</v>
      </c>
      <c r="H43" t="s">
        <v>5180</v>
      </c>
      <c r="I43" t="s">
        <v>5059</v>
      </c>
      <c r="J43">
        <v>5849</v>
      </c>
      <c r="K43">
        <v>5860</v>
      </c>
      <c r="L43">
        <v>11</v>
      </c>
      <c r="M43" t="s">
        <v>2753</v>
      </c>
      <c r="N43" t="s">
        <v>2754</v>
      </c>
      <c r="O43" t="s">
        <v>2751</v>
      </c>
      <c r="P43" t="s">
        <v>5361</v>
      </c>
      <c r="Q43" t="s">
        <v>5362</v>
      </c>
    </row>
    <row r="44" spans="1:17" x14ac:dyDescent="0.25">
      <c r="A44" t="s">
        <v>5363</v>
      </c>
      <c r="B44" t="s">
        <v>5364</v>
      </c>
      <c r="C44" t="s">
        <v>5365</v>
      </c>
      <c r="D44" t="s">
        <v>2824</v>
      </c>
      <c r="E44">
        <v>2024</v>
      </c>
      <c r="F44" t="s">
        <v>5366</v>
      </c>
      <c r="G44" t="s">
        <v>5238</v>
      </c>
      <c r="H44" t="s">
        <v>5367</v>
      </c>
      <c r="I44" t="s">
        <v>5059</v>
      </c>
      <c r="J44">
        <v>953</v>
      </c>
      <c r="K44">
        <v>964</v>
      </c>
      <c r="L44">
        <v>11</v>
      </c>
      <c r="M44" t="s">
        <v>2827</v>
      </c>
      <c r="N44" t="s">
        <v>2828</v>
      </c>
      <c r="O44" t="s">
        <v>2825</v>
      </c>
      <c r="P44" t="s">
        <v>5368</v>
      </c>
      <c r="Q44" t="s">
        <v>5369</v>
      </c>
    </row>
    <row r="45" spans="1:17" x14ac:dyDescent="0.25">
      <c r="A45" t="s">
        <v>5370</v>
      </c>
      <c r="B45" t="s">
        <v>5371</v>
      </c>
      <c r="C45" t="s">
        <v>5372</v>
      </c>
      <c r="D45" t="s">
        <v>2899</v>
      </c>
      <c r="E45">
        <v>2024</v>
      </c>
      <c r="F45" t="s">
        <v>5245</v>
      </c>
      <c r="G45" t="s">
        <v>5246</v>
      </c>
      <c r="H45" t="s">
        <v>5291</v>
      </c>
      <c r="I45" t="s">
        <v>5373</v>
      </c>
      <c r="M45" t="s">
        <v>2902</v>
      </c>
      <c r="N45" t="s">
        <v>2903</v>
      </c>
      <c r="O45" t="s">
        <v>2900</v>
      </c>
      <c r="P45" t="s">
        <v>2901</v>
      </c>
      <c r="Q45" t="s">
        <v>5374</v>
      </c>
    </row>
    <row r="46" spans="1:17" x14ac:dyDescent="0.25">
      <c r="A46" t="s">
        <v>5375</v>
      </c>
      <c r="B46" t="s">
        <v>5376</v>
      </c>
      <c r="C46" t="s">
        <v>5377</v>
      </c>
      <c r="D46" t="s">
        <v>2970</v>
      </c>
      <c r="E46">
        <v>2024</v>
      </c>
      <c r="F46" t="s">
        <v>5117</v>
      </c>
      <c r="G46" t="s">
        <v>5118</v>
      </c>
      <c r="H46" t="s">
        <v>5103</v>
      </c>
      <c r="I46" t="s">
        <v>5059</v>
      </c>
      <c r="J46">
        <v>2320</v>
      </c>
      <c r="K46">
        <v>2331</v>
      </c>
      <c r="L46">
        <v>11</v>
      </c>
      <c r="M46" t="s">
        <v>2973</v>
      </c>
      <c r="N46" t="s">
        <v>2974</v>
      </c>
      <c r="O46" t="s">
        <v>2971</v>
      </c>
      <c r="P46" t="s">
        <v>5378</v>
      </c>
      <c r="Q46" t="s">
        <v>5379</v>
      </c>
    </row>
    <row r="47" spans="1:17" x14ac:dyDescent="0.25">
      <c r="A47" t="s">
        <v>5380</v>
      </c>
      <c r="B47" t="s">
        <v>5381</v>
      </c>
      <c r="C47" t="s">
        <v>5382</v>
      </c>
      <c r="D47" t="s">
        <v>3053</v>
      </c>
      <c r="E47">
        <v>2024</v>
      </c>
      <c r="F47" t="s">
        <v>5383</v>
      </c>
      <c r="G47" t="s">
        <v>5384</v>
      </c>
      <c r="H47" t="s">
        <v>5059</v>
      </c>
      <c r="I47" t="s">
        <v>5385</v>
      </c>
      <c r="M47" t="s">
        <v>3056</v>
      </c>
      <c r="N47" t="s">
        <v>3057</v>
      </c>
      <c r="O47" t="s">
        <v>3054</v>
      </c>
      <c r="P47" t="s">
        <v>5386</v>
      </c>
      <c r="Q47" t="s">
        <v>5387</v>
      </c>
    </row>
    <row r="48" spans="1:17" x14ac:dyDescent="0.25">
      <c r="A48" t="s">
        <v>5388</v>
      </c>
      <c r="B48" t="s">
        <v>5389</v>
      </c>
      <c r="C48" t="s">
        <v>5390</v>
      </c>
      <c r="D48" t="s">
        <v>3202</v>
      </c>
      <c r="E48">
        <v>2024</v>
      </c>
      <c r="F48" t="s">
        <v>5186</v>
      </c>
      <c r="G48" t="s">
        <v>5091</v>
      </c>
      <c r="H48" t="s">
        <v>5059</v>
      </c>
      <c r="I48" t="s">
        <v>5059</v>
      </c>
      <c r="J48">
        <v>177236</v>
      </c>
      <c r="K48">
        <v>177276</v>
      </c>
      <c r="L48">
        <v>40</v>
      </c>
      <c r="M48" t="s">
        <v>3205</v>
      </c>
      <c r="N48" t="s">
        <v>3206</v>
      </c>
      <c r="O48" t="s">
        <v>3203</v>
      </c>
      <c r="P48" t="s">
        <v>5391</v>
      </c>
      <c r="Q48" t="s">
        <v>5392</v>
      </c>
    </row>
    <row r="49" spans="1:17" x14ac:dyDescent="0.25">
      <c r="A49" t="s">
        <v>5393</v>
      </c>
      <c r="B49" t="s">
        <v>5394</v>
      </c>
      <c r="C49" t="s">
        <v>5395</v>
      </c>
      <c r="D49" t="s">
        <v>3277</v>
      </c>
      <c r="E49">
        <v>2024</v>
      </c>
      <c r="F49" t="s">
        <v>5396</v>
      </c>
      <c r="G49" t="s">
        <v>5225</v>
      </c>
      <c r="H49" t="s">
        <v>5157</v>
      </c>
      <c r="I49" t="s">
        <v>5397</v>
      </c>
      <c r="M49" t="s">
        <v>3280</v>
      </c>
      <c r="N49" t="s">
        <v>3281</v>
      </c>
      <c r="O49" t="s">
        <v>3278</v>
      </c>
      <c r="P49" t="s">
        <v>5398</v>
      </c>
      <c r="Q49" t="s">
        <v>5399</v>
      </c>
    </row>
    <row r="50" spans="1:17" x14ac:dyDescent="0.25">
      <c r="A50" t="s">
        <v>5400</v>
      </c>
      <c r="B50" t="s">
        <v>5401</v>
      </c>
      <c r="C50" t="s">
        <v>5402</v>
      </c>
      <c r="D50" t="s">
        <v>3353</v>
      </c>
      <c r="E50">
        <v>2024</v>
      </c>
      <c r="F50" t="s">
        <v>5403</v>
      </c>
      <c r="G50" t="s">
        <v>5059</v>
      </c>
      <c r="H50" t="s">
        <v>5059</v>
      </c>
      <c r="I50" t="s">
        <v>5059</v>
      </c>
      <c r="M50" t="s">
        <v>3356</v>
      </c>
      <c r="N50" t="s">
        <v>3357</v>
      </c>
      <c r="O50" t="s">
        <v>3354</v>
      </c>
      <c r="P50" t="s">
        <v>5404</v>
      </c>
      <c r="Q50" t="s">
        <v>5405</v>
      </c>
    </row>
    <row r="51" spans="1:17" x14ac:dyDescent="0.25">
      <c r="A51" t="s">
        <v>5406</v>
      </c>
      <c r="B51" t="s">
        <v>5407</v>
      </c>
      <c r="C51" t="s">
        <v>5408</v>
      </c>
      <c r="D51" t="s">
        <v>3425</v>
      </c>
      <c r="E51">
        <v>2024</v>
      </c>
      <c r="F51" t="s">
        <v>5409</v>
      </c>
      <c r="G51" t="s">
        <v>5410</v>
      </c>
      <c r="H51" t="s">
        <v>5059</v>
      </c>
      <c r="I51" t="s">
        <v>5411</v>
      </c>
      <c r="M51" t="s">
        <v>3428</v>
      </c>
      <c r="N51" t="s">
        <v>3429</v>
      </c>
      <c r="O51" t="s">
        <v>3426</v>
      </c>
      <c r="P51" t="s">
        <v>5412</v>
      </c>
      <c r="Q51" t="s">
        <v>5413</v>
      </c>
    </row>
    <row r="52" spans="1:17" x14ac:dyDescent="0.25">
      <c r="A52" t="s">
        <v>5414</v>
      </c>
      <c r="B52" t="s">
        <v>5415</v>
      </c>
      <c r="C52" t="s">
        <v>5416</v>
      </c>
      <c r="D52" t="s">
        <v>3502</v>
      </c>
      <c r="E52">
        <v>2024</v>
      </c>
      <c r="F52" t="s">
        <v>5049</v>
      </c>
      <c r="G52" t="s">
        <v>5050</v>
      </c>
      <c r="H52" t="s">
        <v>5180</v>
      </c>
      <c r="I52" t="s">
        <v>5417</v>
      </c>
      <c r="M52" t="s">
        <v>3505</v>
      </c>
      <c r="N52" t="s">
        <v>3506</v>
      </c>
      <c r="O52" t="s">
        <v>3503</v>
      </c>
      <c r="P52" t="s">
        <v>5418</v>
      </c>
      <c r="Q52" t="s">
        <v>5419</v>
      </c>
    </row>
    <row r="53" spans="1:17" x14ac:dyDescent="0.25">
      <c r="A53" t="s">
        <v>5420</v>
      </c>
      <c r="B53" t="s">
        <v>5421</v>
      </c>
      <c r="C53" t="s">
        <v>5422</v>
      </c>
      <c r="D53" t="s">
        <v>5423</v>
      </c>
      <c r="E53">
        <v>2024</v>
      </c>
      <c r="F53" t="s">
        <v>5424</v>
      </c>
      <c r="G53" t="s">
        <v>5059</v>
      </c>
      <c r="H53" t="s">
        <v>5059</v>
      </c>
      <c r="I53" t="s">
        <v>5059</v>
      </c>
      <c r="M53" t="s">
        <v>5425</v>
      </c>
      <c r="N53" t="s">
        <v>5426</v>
      </c>
      <c r="O53" t="s">
        <v>5427</v>
      </c>
      <c r="P53" t="s">
        <v>5428</v>
      </c>
      <c r="Q53" t="s">
        <v>5429</v>
      </c>
    </row>
    <row r="54" spans="1:17" x14ac:dyDescent="0.25">
      <c r="A54" t="s">
        <v>5430</v>
      </c>
      <c r="B54" t="s">
        <v>5431</v>
      </c>
      <c r="C54" t="s">
        <v>5432</v>
      </c>
      <c r="D54" t="s">
        <v>5433</v>
      </c>
      <c r="E54">
        <v>2024</v>
      </c>
      <c r="F54" t="s">
        <v>5124</v>
      </c>
      <c r="G54" t="s">
        <v>5059</v>
      </c>
      <c r="H54" t="s">
        <v>5059</v>
      </c>
      <c r="I54" t="s">
        <v>5059</v>
      </c>
      <c r="J54">
        <v>313</v>
      </c>
      <c r="K54">
        <v>354</v>
      </c>
      <c r="L54">
        <v>41</v>
      </c>
      <c r="M54" t="s">
        <v>5434</v>
      </c>
      <c r="N54" t="s">
        <v>5435</v>
      </c>
      <c r="O54" t="s">
        <v>5436</v>
      </c>
      <c r="P54" t="s">
        <v>5437</v>
      </c>
      <c r="Q54" t="s">
        <v>5438</v>
      </c>
    </row>
    <row r="55" spans="1:17" x14ac:dyDescent="0.25">
      <c r="A55" t="s">
        <v>5439</v>
      </c>
      <c r="B55" t="s">
        <v>5440</v>
      </c>
      <c r="C55" t="s">
        <v>5441</v>
      </c>
      <c r="D55" t="s">
        <v>5442</v>
      </c>
      <c r="E55">
        <v>2024</v>
      </c>
      <c r="F55" t="s">
        <v>5049</v>
      </c>
      <c r="G55" t="s">
        <v>5050</v>
      </c>
      <c r="H55" t="s">
        <v>5091</v>
      </c>
      <c r="I55" t="s">
        <v>5443</v>
      </c>
      <c r="M55" t="s">
        <v>5444</v>
      </c>
      <c r="N55" t="s">
        <v>5445</v>
      </c>
      <c r="O55" t="s">
        <v>5446</v>
      </c>
      <c r="P55" t="s">
        <v>5447</v>
      </c>
      <c r="Q55" t="s">
        <v>5448</v>
      </c>
    </row>
    <row r="56" spans="1:17" x14ac:dyDescent="0.25">
      <c r="A56" t="s">
        <v>5449</v>
      </c>
      <c r="B56" t="s">
        <v>5450</v>
      </c>
      <c r="C56" t="s">
        <v>5451</v>
      </c>
      <c r="D56" t="s">
        <v>5452</v>
      </c>
      <c r="E56">
        <v>2024</v>
      </c>
      <c r="F56" t="s">
        <v>5453</v>
      </c>
      <c r="G56" t="s">
        <v>5059</v>
      </c>
      <c r="H56" t="s">
        <v>5059</v>
      </c>
      <c r="I56" t="s">
        <v>5059</v>
      </c>
      <c r="M56" t="s">
        <v>5454</v>
      </c>
      <c r="N56" t="s">
        <v>5455</v>
      </c>
      <c r="O56" t="s">
        <v>5456</v>
      </c>
      <c r="P56" t="s">
        <v>5457</v>
      </c>
      <c r="Q56" t="s">
        <v>5458</v>
      </c>
    </row>
    <row r="57" spans="1:17" x14ac:dyDescent="0.25">
      <c r="A57" t="s">
        <v>5459</v>
      </c>
      <c r="B57" t="s">
        <v>5460</v>
      </c>
      <c r="C57" t="s">
        <v>5461</v>
      </c>
      <c r="D57" t="s">
        <v>4770</v>
      </c>
      <c r="E57">
        <v>2024</v>
      </c>
      <c r="F57" t="s">
        <v>5462</v>
      </c>
      <c r="G57" t="s">
        <v>5156</v>
      </c>
      <c r="H57" t="s">
        <v>5180</v>
      </c>
      <c r="I57" t="s">
        <v>5463</v>
      </c>
      <c r="M57" t="s">
        <v>5464</v>
      </c>
      <c r="N57" t="s">
        <v>5465</v>
      </c>
      <c r="O57" t="s">
        <v>5466</v>
      </c>
      <c r="P57" t="s">
        <v>5467</v>
      </c>
      <c r="Q57" t="s">
        <v>5468</v>
      </c>
    </row>
    <row r="58" spans="1:17" x14ac:dyDescent="0.25">
      <c r="A58" t="s">
        <v>5469</v>
      </c>
      <c r="B58" t="s">
        <v>5470</v>
      </c>
      <c r="C58" t="s">
        <v>5471</v>
      </c>
      <c r="D58" t="s">
        <v>3882</v>
      </c>
      <c r="E58">
        <v>2024</v>
      </c>
      <c r="F58" t="s">
        <v>5472</v>
      </c>
      <c r="G58" t="s">
        <v>5473</v>
      </c>
      <c r="H58" t="s">
        <v>5367</v>
      </c>
      <c r="I58" t="s">
        <v>5059</v>
      </c>
      <c r="J58">
        <v>6106</v>
      </c>
      <c r="K58">
        <v>6117</v>
      </c>
      <c r="L58">
        <v>11</v>
      </c>
      <c r="M58" t="s">
        <v>3885</v>
      </c>
      <c r="N58" t="s">
        <v>3886</v>
      </c>
      <c r="O58" t="s">
        <v>3883</v>
      </c>
      <c r="P58" t="s">
        <v>5474</v>
      </c>
      <c r="Q58" t="s">
        <v>5475</v>
      </c>
    </row>
    <row r="59" spans="1:17" x14ac:dyDescent="0.25">
      <c r="A59" t="s">
        <v>5476</v>
      </c>
      <c r="B59" t="s">
        <v>5477</v>
      </c>
      <c r="C59" t="s">
        <v>5478</v>
      </c>
      <c r="D59" t="s">
        <v>3957</v>
      </c>
      <c r="E59">
        <v>2024</v>
      </c>
      <c r="F59" t="s">
        <v>5479</v>
      </c>
      <c r="G59" t="s">
        <v>5367</v>
      </c>
      <c r="H59" t="s">
        <v>5059</v>
      </c>
      <c r="I59" t="s">
        <v>5480</v>
      </c>
      <c r="M59" t="s">
        <v>3960</v>
      </c>
      <c r="N59" t="s">
        <v>3961</v>
      </c>
      <c r="O59" t="s">
        <v>3958</v>
      </c>
      <c r="P59" t="s">
        <v>5481</v>
      </c>
      <c r="Q59" t="s">
        <v>5482</v>
      </c>
    </row>
    <row r="60" spans="1:17" x14ac:dyDescent="0.25">
      <c r="A60" t="s">
        <v>5483</v>
      </c>
      <c r="B60" t="s">
        <v>5484</v>
      </c>
      <c r="C60" t="s">
        <v>5485</v>
      </c>
      <c r="D60" t="s">
        <v>5486</v>
      </c>
      <c r="E60">
        <v>2024</v>
      </c>
      <c r="F60" t="s">
        <v>5487</v>
      </c>
      <c r="G60" t="s">
        <v>5059</v>
      </c>
      <c r="H60" t="s">
        <v>5059</v>
      </c>
      <c r="I60" t="s">
        <v>5059</v>
      </c>
      <c r="M60" t="s">
        <v>5488</v>
      </c>
      <c r="N60" t="s">
        <v>5489</v>
      </c>
      <c r="O60" t="s">
        <v>5490</v>
      </c>
      <c r="P60" t="s">
        <v>5491</v>
      </c>
      <c r="Q60" t="s">
        <v>5492</v>
      </c>
    </row>
    <row r="61" spans="1:17" x14ac:dyDescent="0.25">
      <c r="A61" t="s">
        <v>5493</v>
      </c>
      <c r="B61" t="s">
        <v>5494</v>
      </c>
      <c r="C61" t="s">
        <v>5495</v>
      </c>
      <c r="D61" t="s">
        <v>5496</v>
      </c>
      <c r="E61">
        <v>2024</v>
      </c>
      <c r="F61" t="s">
        <v>5497</v>
      </c>
      <c r="G61" t="s">
        <v>5102</v>
      </c>
      <c r="H61" t="s">
        <v>5180</v>
      </c>
      <c r="I61" t="s">
        <v>5059</v>
      </c>
      <c r="J61">
        <v>1282</v>
      </c>
      <c r="K61">
        <v>1289</v>
      </c>
      <c r="L61">
        <v>7</v>
      </c>
      <c r="M61" t="s">
        <v>5498</v>
      </c>
      <c r="N61" t="s">
        <v>5499</v>
      </c>
      <c r="O61" t="s">
        <v>5500</v>
      </c>
      <c r="P61" t="s">
        <v>5501</v>
      </c>
      <c r="Q61" t="s">
        <v>5502</v>
      </c>
    </row>
    <row r="62" spans="1:17" x14ac:dyDescent="0.25">
      <c r="A62" t="s">
        <v>5503</v>
      </c>
      <c r="B62" t="s">
        <v>5504</v>
      </c>
      <c r="C62" t="s">
        <v>5505</v>
      </c>
      <c r="D62" t="s">
        <v>4095</v>
      </c>
      <c r="E62">
        <v>2024</v>
      </c>
      <c r="F62" t="s">
        <v>5506</v>
      </c>
      <c r="G62" t="s">
        <v>5059</v>
      </c>
      <c r="H62" t="s">
        <v>5507</v>
      </c>
      <c r="I62" t="s">
        <v>5059</v>
      </c>
      <c r="M62" t="s">
        <v>4098</v>
      </c>
      <c r="N62" t="s">
        <v>4099</v>
      </c>
      <c r="O62" t="s">
        <v>4096</v>
      </c>
      <c r="P62" t="s">
        <v>5508</v>
      </c>
      <c r="Q62" t="s">
        <v>5509</v>
      </c>
    </row>
    <row r="63" spans="1:17" x14ac:dyDescent="0.25">
      <c r="A63" t="s">
        <v>5510</v>
      </c>
      <c r="B63" t="s">
        <v>5511</v>
      </c>
      <c r="C63" t="s">
        <v>5512</v>
      </c>
      <c r="D63" t="s">
        <v>5513</v>
      </c>
      <c r="E63">
        <v>2024</v>
      </c>
      <c r="F63" t="s">
        <v>5049</v>
      </c>
      <c r="G63" t="s">
        <v>5050</v>
      </c>
      <c r="H63" t="s">
        <v>5091</v>
      </c>
      <c r="I63" t="s">
        <v>5514</v>
      </c>
      <c r="M63" t="s">
        <v>5515</v>
      </c>
      <c r="N63" t="s">
        <v>5516</v>
      </c>
      <c r="O63" t="s">
        <v>5517</v>
      </c>
      <c r="P63" t="s">
        <v>5518</v>
      </c>
      <c r="Q63" t="s">
        <v>5519</v>
      </c>
    </row>
    <row r="64" spans="1:17" x14ac:dyDescent="0.25">
      <c r="A64" t="s">
        <v>5520</v>
      </c>
      <c r="B64" t="s">
        <v>5521</v>
      </c>
      <c r="C64" t="s">
        <v>5522</v>
      </c>
      <c r="D64" t="s">
        <v>4773</v>
      </c>
      <c r="E64">
        <v>2024</v>
      </c>
      <c r="F64" t="s">
        <v>5523</v>
      </c>
      <c r="G64" t="s">
        <v>5524</v>
      </c>
      <c r="H64" t="s">
        <v>5059</v>
      </c>
      <c r="I64" t="s">
        <v>5525</v>
      </c>
      <c r="M64" t="s">
        <v>5526</v>
      </c>
      <c r="N64" t="s">
        <v>5527</v>
      </c>
      <c r="O64" t="s">
        <v>5528</v>
      </c>
      <c r="P64" t="s">
        <v>5529</v>
      </c>
      <c r="Q64" t="s">
        <v>5530</v>
      </c>
    </row>
    <row r="65" spans="1:17" x14ac:dyDescent="0.25">
      <c r="A65" t="s">
        <v>5531</v>
      </c>
      <c r="B65" t="s">
        <v>5532</v>
      </c>
      <c r="C65" t="s">
        <v>5533</v>
      </c>
      <c r="D65" t="s">
        <v>4169</v>
      </c>
      <c r="E65">
        <v>2024</v>
      </c>
      <c r="F65" t="s">
        <v>5534</v>
      </c>
      <c r="G65" t="s">
        <v>5535</v>
      </c>
      <c r="H65" t="s">
        <v>5059</v>
      </c>
      <c r="I65" t="s">
        <v>5059</v>
      </c>
      <c r="J65">
        <v>551</v>
      </c>
      <c r="K65">
        <v>573</v>
      </c>
      <c r="L65">
        <v>22</v>
      </c>
      <c r="M65" t="s">
        <v>4172</v>
      </c>
      <c r="N65" t="s">
        <v>4173</v>
      </c>
      <c r="O65" t="s">
        <v>4170</v>
      </c>
      <c r="P65" t="s">
        <v>5536</v>
      </c>
      <c r="Q65" t="s">
        <v>5537</v>
      </c>
    </row>
    <row r="66" spans="1:17" x14ac:dyDescent="0.25">
      <c r="A66" t="s">
        <v>5538</v>
      </c>
      <c r="B66" t="s">
        <v>5539</v>
      </c>
      <c r="C66" t="s">
        <v>5540</v>
      </c>
      <c r="D66" t="s">
        <v>5541</v>
      </c>
      <c r="E66">
        <v>2024</v>
      </c>
      <c r="F66" t="s">
        <v>5186</v>
      </c>
      <c r="G66" t="s">
        <v>5091</v>
      </c>
      <c r="H66" t="s">
        <v>5059</v>
      </c>
      <c r="I66" t="s">
        <v>5059</v>
      </c>
      <c r="J66">
        <v>171166</v>
      </c>
      <c r="K66">
        <v>171184</v>
      </c>
      <c r="L66">
        <v>18</v>
      </c>
      <c r="M66" t="s">
        <v>4247</v>
      </c>
      <c r="N66" t="s">
        <v>4248</v>
      </c>
      <c r="O66" t="s">
        <v>5542</v>
      </c>
      <c r="P66" t="s">
        <v>5543</v>
      </c>
      <c r="Q66" t="s">
        <v>5544</v>
      </c>
    </row>
    <row r="67" spans="1:17" x14ac:dyDescent="0.25">
      <c r="A67" t="s">
        <v>5545</v>
      </c>
      <c r="B67" t="s">
        <v>5546</v>
      </c>
      <c r="C67" t="s">
        <v>5547</v>
      </c>
      <c r="D67" t="s">
        <v>4776</v>
      </c>
      <c r="E67">
        <v>2024</v>
      </c>
      <c r="F67" t="s">
        <v>5548</v>
      </c>
      <c r="G67" t="s">
        <v>5549</v>
      </c>
      <c r="H67" t="s">
        <v>5549</v>
      </c>
      <c r="I67" t="s">
        <v>5384</v>
      </c>
      <c r="M67" t="s">
        <v>5550</v>
      </c>
      <c r="N67" t="s">
        <v>5551</v>
      </c>
      <c r="O67" t="s">
        <v>5552</v>
      </c>
      <c r="P67" t="s">
        <v>5553</v>
      </c>
      <c r="Q67" t="s">
        <v>5554</v>
      </c>
    </row>
    <row r="68" spans="1:17" x14ac:dyDescent="0.25">
      <c r="A68" t="s">
        <v>5555</v>
      </c>
      <c r="B68" t="s">
        <v>5556</v>
      </c>
      <c r="C68" t="s">
        <v>5557</v>
      </c>
      <c r="D68" t="s">
        <v>5558</v>
      </c>
      <c r="E68">
        <v>2024</v>
      </c>
      <c r="F68" t="s">
        <v>5559</v>
      </c>
      <c r="G68" t="s">
        <v>5059</v>
      </c>
      <c r="H68" t="s">
        <v>5059</v>
      </c>
      <c r="I68" t="s">
        <v>5059</v>
      </c>
      <c r="J68">
        <v>159</v>
      </c>
      <c r="K68">
        <v>164</v>
      </c>
      <c r="L68">
        <v>5</v>
      </c>
      <c r="M68" t="s">
        <v>5560</v>
      </c>
      <c r="N68" t="s">
        <v>5561</v>
      </c>
      <c r="O68" t="s">
        <v>5562</v>
      </c>
      <c r="P68" t="s">
        <v>5563</v>
      </c>
      <c r="Q68" t="s">
        <v>5564</v>
      </c>
    </row>
    <row r="69" spans="1:17" x14ac:dyDescent="0.25">
      <c r="A69" t="s">
        <v>5565</v>
      </c>
      <c r="B69" t="s">
        <v>5566</v>
      </c>
      <c r="C69" t="s">
        <v>5567</v>
      </c>
      <c r="D69" t="s">
        <v>4390</v>
      </c>
      <c r="E69">
        <v>2024</v>
      </c>
      <c r="F69" t="s">
        <v>5568</v>
      </c>
      <c r="G69" t="s">
        <v>5569</v>
      </c>
      <c r="H69" t="s">
        <v>5059</v>
      </c>
      <c r="I69" t="s">
        <v>5570</v>
      </c>
      <c r="M69" t="s">
        <v>4393</v>
      </c>
      <c r="N69" t="s">
        <v>4394</v>
      </c>
      <c r="O69" t="s">
        <v>4391</v>
      </c>
      <c r="P69" t="s">
        <v>5571</v>
      </c>
      <c r="Q69" t="s">
        <v>5572</v>
      </c>
    </row>
    <row r="70" spans="1:17" x14ac:dyDescent="0.25">
      <c r="A70" t="s">
        <v>5573</v>
      </c>
      <c r="B70" t="s">
        <v>5574</v>
      </c>
      <c r="C70" t="s">
        <v>5575</v>
      </c>
      <c r="D70" t="s">
        <v>5576</v>
      </c>
      <c r="E70">
        <v>2024</v>
      </c>
      <c r="F70" t="s">
        <v>5124</v>
      </c>
      <c r="G70" t="s">
        <v>5059</v>
      </c>
      <c r="H70" t="s">
        <v>5059</v>
      </c>
      <c r="I70" t="s">
        <v>5059</v>
      </c>
      <c r="J70">
        <v>429</v>
      </c>
      <c r="K70">
        <v>476</v>
      </c>
      <c r="L70">
        <v>47</v>
      </c>
      <c r="M70" t="s">
        <v>5577</v>
      </c>
      <c r="N70" t="s">
        <v>5578</v>
      </c>
      <c r="O70" t="s">
        <v>5579</v>
      </c>
      <c r="P70" t="s">
        <v>5580</v>
      </c>
      <c r="Q70" t="s">
        <v>5581</v>
      </c>
    </row>
    <row r="71" spans="1:17" x14ac:dyDescent="0.25">
      <c r="A71" t="s">
        <v>5582</v>
      </c>
      <c r="B71" t="s">
        <v>5583</v>
      </c>
      <c r="C71" t="s">
        <v>5584</v>
      </c>
      <c r="D71" t="s">
        <v>4543</v>
      </c>
      <c r="E71">
        <v>2024</v>
      </c>
      <c r="F71" t="s">
        <v>5585</v>
      </c>
      <c r="G71" t="s">
        <v>5059</v>
      </c>
      <c r="H71" t="s">
        <v>5059</v>
      </c>
      <c r="I71" t="s">
        <v>5059</v>
      </c>
      <c r="J71">
        <v>211</v>
      </c>
      <c r="K71">
        <v>238</v>
      </c>
      <c r="L71">
        <v>27</v>
      </c>
      <c r="M71" t="s">
        <v>5059</v>
      </c>
      <c r="N71" t="s">
        <v>4546</v>
      </c>
      <c r="O71" t="s">
        <v>4544</v>
      </c>
      <c r="P71" t="s">
        <v>4545</v>
      </c>
      <c r="Q71" t="s">
        <v>5586</v>
      </c>
    </row>
    <row r="72" spans="1:17" x14ac:dyDescent="0.25">
      <c r="A72" t="s">
        <v>5587</v>
      </c>
      <c r="B72" t="s">
        <v>5588</v>
      </c>
      <c r="C72" t="s">
        <v>5589</v>
      </c>
      <c r="D72" t="s">
        <v>5590</v>
      </c>
      <c r="E72">
        <v>2024</v>
      </c>
      <c r="F72" t="s">
        <v>5591</v>
      </c>
      <c r="G72" t="s">
        <v>5059</v>
      </c>
      <c r="H72" t="s">
        <v>5507</v>
      </c>
      <c r="I72" t="s">
        <v>5059</v>
      </c>
      <c r="J72">
        <v>380</v>
      </c>
      <c r="K72">
        <v>384</v>
      </c>
      <c r="L72">
        <v>4</v>
      </c>
      <c r="M72" t="s">
        <v>5592</v>
      </c>
      <c r="N72" t="s">
        <v>5593</v>
      </c>
      <c r="O72" t="s">
        <v>5594</v>
      </c>
      <c r="P72" t="s">
        <v>5595</v>
      </c>
      <c r="Q72" t="s">
        <v>5596</v>
      </c>
    </row>
    <row r="73" spans="1:17" x14ac:dyDescent="0.25">
      <c r="A73" t="s">
        <v>5597</v>
      </c>
      <c r="B73" t="s">
        <v>5598</v>
      </c>
      <c r="C73" t="s">
        <v>5599</v>
      </c>
      <c r="D73" t="s">
        <v>4611</v>
      </c>
      <c r="E73">
        <v>2024</v>
      </c>
      <c r="F73" t="s">
        <v>5600</v>
      </c>
      <c r="G73" t="s">
        <v>5601</v>
      </c>
      <c r="H73" t="s">
        <v>5549</v>
      </c>
      <c r="I73" t="s">
        <v>5059</v>
      </c>
      <c r="J73">
        <v>6675</v>
      </c>
      <c r="K73">
        <v>6695</v>
      </c>
      <c r="L73">
        <v>20</v>
      </c>
      <c r="M73" t="s">
        <v>4614</v>
      </c>
      <c r="N73" t="s">
        <v>4615</v>
      </c>
      <c r="O73" t="s">
        <v>4612</v>
      </c>
      <c r="P73" t="s">
        <v>5602</v>
      </c>
      <c r="Q73" t="s">
        <v>5603</v>
      </c>
    </row>
    <row r="74" spans="1:17" x14ac:dyDescent="0.25">
      <c r="A74" t="s">
        <v>5604</v>
      </c>
      <c r="B74" t="s">
        <v>5605</v>
      </c>
      <c r="C74" t="s">
        <v>5606</v>
      </c>
      <c r="D74" t="s">
        <v>4746</v>
      </c>
      <c r="E74">
        <v>2024</v>
      </c>
      <c r="F74" t="s">
        <v>5607</v>
      </c>
      <c r="G74" t="s">
        <v>5059</v>
      </c>
      <c r="H74" t="s">
        <v>5059</v>
      </c>
      <c r="I74" t="s">
        <v>5059</v>
      </c>
      <c r="J74">
        <v>1</v>
      </c>
      <c r="K74">
        <v>573</v>
      </c>
      <c r="L74">
        <v>572</v>
      </c>
      <c r="M74" t="s">
        <v>4748</v>
      </c>
      <c r="N74" t="s">
        <v>4749</v>
      </c>
      <c r="O74" t="s">
        <v>4747</v>
      </c>
      <c r="P74" t="s">
        <v>5059</v>
      </c>
      <c r="Q74" t="s">
        <v>5608</v>
      </c>
    </row>
    <row r="75" spans="1:17" x14ac:dyDescent="0.25">
      <c r="A75" t="s">
        <v>5609</v>
      </c>
      <c r="B75" t="s">
        <v>5610</v>
      </c>
      <c r="C75" t="s">
        <v>5611</v>
      </c>
      <c r="D75" t="s">
        <v>4779</v>
      </c>
      <c r="E75">
        <v>2024</v>
      </c>
      <c r="F75" t="s">
        <v>5117</v>
      </c>
      <c r="G75" t="s">
        <v>5118</v>
      </c>
      <c r="H75" t="s">
        <v>5367</v>
      </c>
      <c r="I75" t="s">
        <v>5059</v>
      </c>
      <c r="J75">
        <v>9159</v>
      </c>
      <c r="K75">
        <v>9164</v>
      </c>
      <c r="L75">
        <v>5</v>
      </c>
      <c r="M75" t="s">
        <v>4782</v>
      </c>
      <c r="N75" t="s">
        <v>4783</v>
      </c>
      <c r="O75" t="s">
        <v>4780</v>
      </c>
      <c r="P75" t="s">
        <v>5612</v>
      </c>
      <c r="Q75" t="s">
        <v>5613</v>
      </c>
    </row>
    <row r="76" spans="1:17" x14ac:dyDescent="0.25">
      <c r="A76" t="s">
        <v>5614</v>
      </c>
      <c r="B76" t="s">
        <v>5615</v>
      </c>
      <c r="C76" t="s">
        <v>5616</v>
      </c>
      <c r="D76" t="s">
        <v>4786</v>
      </c>
      <c r="E76">
        <v>2024</v>
      </c>
      <c r="F76" t="s">
        <v>5617</v>
      </c>
      <c r="G76" t="s">
        <v>5246</v>
      </c>
      <c r="H76" t="s">
        <v>5202</v>
      </c>
      <c r="I76" t="s">
        <v>5618</v>
      </c>
      <c r="M76" t="s">
        <v>4789</v>
      </c>
      <c r="N76" t="s">
        <v>4790</v>
      </c>
      <c r="O76" t="s">
        <v>4787</v>
      </c>
      <c r="P76" t="s">
        <v>5619</v>
      </c>
      <c r="Q76" t="s">
        <v>5620</v>
      </c>
    </row>
    <row r="77" spans="1:17" x14ac:dyDescent="0.25">
      <c r="A77" t="s">
        <v>5621</v>
      </c>
      <c r="B77" t="s">
        <v>5622</v>
      </c>
      <c r="C77" t="s">
        <v>5623</v>
      </c>
      <c r="D77" t="s">
        <v>4793</v>
      </c>
      <c r="E77">
        <v>2024</v>
      </c>
      <c r="F77" t="s">
        <v>5624</v>
      </c>
      <c r="G77" t="s">
        <v>5059</v>
      </c>
      <c r="H77" t="s">
        <v>5059</v>
      </c>
      <c r="I77" t="s">
        <v>5059</v>
      </c>
      <c r="J77">
        <v>912</v>
      </c>
      <c r="K77">
        <v>924</v>
      </c>
      <c r="L77">
        <v>12</v>
      </c>
      <c r="M77" t="s">
        <v>4796</v>
      </c>
      <c r="N77" t="s">
        <v>4797</v>
      </c>
      <c r="O77" t="s">
        <v>4794</v>
      </c>
      <c r="P77" t="s">
        <v>5625</v>
      </c>
      <c r="Q77" t="s">
        <v>5626</v>
      </c>
    </row>
    <row r="78" spans="1:17" x14ac:dyDescent="0.25">
      <c r="A78" t="s">
        <v>5627</v>
      </c>
      <c r="B78" t="s">
        <v>5628</v>
      </c>
      <c r="C78" t="s">
        <v>5629</v>
      </c>
      <c r="D78" t="s">
        <v>4800</v>
      </c>
      <c r="E78">
        <v>2024</v>
      </c>
      <c r="F78" t="s">
        <v>4157</v>
      </c>
      <c r="G78" t="s">
        <v>5630</v>
      </c>
      <c r="H78" t="s">
        <v>5059</v>
      </c>
      <c r="I78" t="s">
        <v>5631</v>
      </c>
      <c r="M78" t="s">
        <v>4803</v>
      </c>
      <c r="N78" t="s">
        <v>4804</v>
      </c>
      <c r="O78" t="s">
        <v>4801</v>
      </c>
      <c r="P78" t="s">
        <v>5632</v>
      </c>
      <c r="Q78" t="s">
        <v>5633</v>
      </c>
    </row>
    <row r="79" spans="1:17" x14ac:dyDescent="0.25">
      <c r="A79" t="s">
        <v>5634</v>
      </c>
      <c r="B79" t="s">
        <v>5635</v>
      </c>
      <c r="C79" t="s">
        <v>5636</v>
      </c>
      <c r="D79" t="s">
        <v>4807</v>
      </c>
      <c r="E79">
        <v>2024</v>
      </c>
      <c r="F79" t="s">
        <v>5637</v>
      </c>
      <c r="G79" t="s">
        <v>5059</v>
      </c>
      <c r="H79" t="s">
        <v>5059</v>
      </c>
      <c r="I79" t="s">
        <v>5059</v>
      </c>
      <c r="J79">
        <v>58</v>
      </c>
      <c r="K79">
        <v>65</v>
      </c>
      <c r="L79">
        <v>7</v>
      </c>
      <c r="M79" t="s">
        <v>4810</v>
      </c>
      <c r="N79" t="s">
        <v>4811</v>
      </c>
      <c r="O79" t="s">
        <v>4808</v>
      </c>
      <c r="P79" t="s">
        <v>5638</v>
      </c>
      <c r="Q79" t="s">
        <v>5639</v>
      </c>
    </row>
    <row r="80" spans="1:17" x14ac:dyDescent="0.25">
      <c r="A80" t="s">
        <v>5640</v>
      </c>
      <c r="B80" t="s">
        <v>5641</v>
      </c>
      <c r="C80" t="s">
        <v>5642</v>
      </c>
      <c r="D80" t="s">
        <v>5643</v>
      </c>
      <c r="E80">
        <v>2024</v>
      </c>
      <c r="F80" t="s">
        <v>5644</v>
      </c>
      <c r="G80" t="s">
        <v>5059</v>
      </c>
      <c r="H80" t="s">
        <v>5059</v>
      </c>
      <c r="I80" t="s">
        <v>5059</v>
      </c>
      <c r="M80" t="s">
        <v>5645</v>
      </c>
      <c r="N80" t="s">
        <v>5646</v>
      </c>
      <c r="O80" t="s">
        <v>5647</v>
      </c>
      <c r="P80" t="s">
        <v>5648</v>
      </c>
      <c r="Q80" t="s">
        <v>5649</v>
      </c>
    </row>
    <row r="81" spans="1:17" x14ac:dyDescent="0.25">
      <c r="A81" t="s">
        <v>5650</v>
      </c>
      <c r="B81" t="s">
        <v>5651</v>
      </c>
      <c r="C81" t="s">
        <v>5652</v>
      </c>
      <c r="D81" t="s">
        <v>5653</v>
      </c>
      <c r="E81">
        <v>2024</v>
      </c>
      <c r="F81" t="s">
        <v>5654</v>
      </c>
      <c r="G81" t="s">
        <v>5059</v>
      </c>
      <c r="H81" t="s">
        <v>5059</v>
      </c>
      <c r="I81" t="s">
        <v>5059</v>
      </c>
      <c r="M81" t="s">
        <v>5655</v>
      </c>
      <c r="N81" t="s">
        <v>5656</v>
      </c>
      <c r="O81" t="s">
        <v>5657</v>
      </c>
      <c r="P81" t="s">
        <v>5658</v>
      </c>
      <c r="Q81" t="s">
        <v>5659</v>
      </c>
    </row>
    <row r="82" spans="1:17" x14ac:dyDescent="0.25">
      <c r="A82" t="s">
        <v>5660</v>
      </c>
      <c r="B82" t="s">
        <v>5661</v>
      </c>
      <c r="C82" t="s">
        <v>5662</v>
      </c>
      <c r="D82" t="s">
        <v>4814</v>
      </c>
      <c r="E82">
        <v>2024</v>
      </c>
      <c r="F82" t="s">
        <v>5663</v>
      </c>
      <c r="G82" t="s">
        <v>5664</v>
      </c>
      <c r="H82" t="s">
        <v>5059</v>
      </c>
      <c r="I82" t="s">
        <v>5665</v>
      </c>
      <c r="M82" t="s">
        <v>4817</v>
      </c>
      <c r="N82" t="s">
        <v>4818</v>
      </c>
      <c r="O82" t="s">
        <v>4815</v>
      </c>
      <c r="P82" t="s">
        <v>5666</v>
      </c>
      <c r="Q82" t="s">
        <v>5667</v>
      </c>
    </row>
    <row r="83" spans="1:17" x14ac:dyDescent="0.25">
      <c r="A83" t="s">
        <v>5668</v>
      </c>
      <c r="B83" t="s">
        <v>5669</v>
      </c>
      <c r="C83" t="s">
        <v>5670</v>
      </c>
      <c r="D83" t="s">
        <v>5671</v>
      </c>
      <c r="E83">
        <v>2024</v>
      </c>
      <c r="F83" t="s">
        <v>5672</v>
      </c>
      <c r="G83" t="s">
        <v>5291</v>
      </c>
      <c r="H83" t="s">
        <v>5367</v>
      </c>
      <c r="I83" t="s">
        <v>5059</v>
      </c>
      <c r="J83">
        <v>1379</v>
      </c>
      <c r="K83">
        <v>1400</v>
      </c>
      <c r="L83">
        <v>21</v>
      </c>
      <c r="M83" t="s">
        <v>5673</v>
      </c>
      <c r="N83" t="s">
        <v>5674</v>
      </c>
      <c r="O83" t="s">
        <v>5675</v>
      </c>
      <c r="P83" t="s">
        <v>5676</v>
      </c>
      <c r="Q83" t="s">
        <v>5677</v>
      </c>
    </row>
    <row r="84" spans="1:17" x14ac:dyDescent="0.25">
      <c r="A84" t="s">
        <v>5678</v>
      </c>
      <c r="B84" t="s">
        <v>5679</v>
      </c>
      <c r="C84" t="s">
        <v>5680</v>
      </c>
      <c r="D84" t="s">
        <v>4828</v>
      </c>
      <c r="E84">
        <v>2024</v>
      </c>
      <c r="F84" t="s">
        <v>1541</v>
      </c>
      <c r="G84" t="s">
        <v>5059</v>
      </c>
      <c r="H84" t="s">
        <v>5059</v>
      </c>
      <c r="I84" t="s">
        <v>5059</v>
      </c>
      <c r="J84">
        <v>197</v>
      </c>
      <c r="K84">
        <v>215</v>
      </c>
      <c r="L84">
        <v>18</v>
      </c>
      <c r="M84" t="s">
        <v>5059</v>
      </c>
      <c r="N84" t="s">
        <v>4830</v>
      </c>
      <c r="O84" t="s">
        <v>4829</v>
      </c>
      <c r="P84" t="s">
        <v>5059</v>
      </c>
      <c r="Q84" t="s">
        <v>5681</v>
      </c>
    </row>
    <row r="85" spans="1:17" x14ac:dyDescent="0.25">
      <c r="A85" t="s">
        <v>5682</v>
      </c>
      <c r="B85" t="s">
        <v>5683</v>
      </c>
      <c r="C85" t="s">
        <v>5684</v>
      </c>
      <c r="D85" t="s">
        <v>4833</v>
      </c>
      <c r="E85">
        <v>2024</v>
      </c>
      <c r="F85" t="s">
        <v>5049</v>
      </c>
      <c r="G85" t="s">
        <v>5050</v>
      </c>
      <c r="H85" t="s">
        <v>5102</v>
      </c>
      <c r="I85" t="s">
        <v>5685</v>
      </c>
      <c r="M85" t="s">
        <v>4836</v>
      </c>
      <c r="N85" t="s">
        <v>4837</v>
      </c>
      <c r="O85" t="s">
        <v>4834</v>
      </c>
      <c r="P85" t="s">
        <v>5686</v>
      </c>
      <c r="Q85" t="s">
        <v>5687</v>
      </c>
    </row>
    <row r="86" spans="1:17" x14ac:dyDescent="0.25">
      <c r="A86" t="s">
        <v>5688</v>
      </c>
      <c r="B86" t="s">
        <v>5689</v>
      </c>
      <c r="C86" t="s">
        <v>5690</v>
      </c>
      <c r="D86" t="s">
        <v>4854</v>
      </c>
      <c r="E86">
        <v>2024</v>
      </c>
      <c r="F86" t="s">
        <v>5691</v>
      </c>
      <c r="G86" t="s">
        <v>5059</v>
      </c>
      <c r="H86" t="s">
        <v>5507</v>
      </c>
      <c r="I86" t="s">
        <v>5059</v>
      </c>
      <c r="M86" t="s">
        <v>4857</v>
      </c>
      <c r="N86" t="s">
        <v>4858</v>
      </c>
      <c r="O86" t="s">
        <v>4855</v>
      </c>
      <c r="P86" t="s">
        <v>5692</v>
      </c>
      <c r="Q86" t="s">
        <v>5693</v>
      </c>
    </row>
    <row r="87" spans="1:17" x14ac:dyDescent="0.25">
      <c r="A87" t="s">
        <v>5059</v>
      </c>
      <c r="B87" t="s">
        <v>5059</v>
      </c>
      <c r="C87" t="s">
        <v>5059</v>
      </c>
      <c r="D87" t="s">
        <v>5694</v>
      </c>
      <c r="E87">
        <v>2024</v>
      </c>
      <c r="F87" t="s">
        <v>5694</v>
      </c>
      <c r="G87" t="s">
        <v>5059</v>
      </c>
      <c r="H87" t="s">
        <v>5059</v>
      </c>
      <c r="I87" t="s">
        <v>5059</v>
      </c>
      <c r="L87">
        <v>134</v>
      </c>
      <c r="M87" t="s">
        <v>5059</v>
      </c>
      <c r="N87" t="s">
        <v>5695</v>
      </c>
      <c r="O87" t="s">
        <v>5696</v>
      </c>
      <c r="P87" t="s">
        <v>5059</v>
      </c>
      <c r="Q87" t="s">
        <v>5697</v>
      </c>
    </row>
    <row r="88" spans="1:17" x14ac:dyDescent="0.25">
      <c r="A88" t="s">
        <v>5698</v>
      </c>
      <c r="B88" t="s">
        <v>5699</v>
      </c>
      <c r="C88" t="s">
        <v>5700</v>
      </c>
      <c r="D88" t="s">
        <v>5701</v>
      </c>
      <c r="E88">
        <v>2024</v>
      </c>
      <c r="F88" t="s">
        <v>5702</v>
      </c>
      <c r="G88" t="s">
        <v>5091</v>
      </c>
      <c r="H88" t="s">
        <v>5156</v>
      </c>
      <c r="I88" t="s">
        <v>5703</v>
      </c>
      <c r="M88" t="s">
        <v>5704</v>
      </c>
      <c r="N88" t="s">
        <v>5705</v>
      </c>
      <c r="O88" t="s">
        <v>5706</v>
      </c>
      <c r="P88" t="s">
        <v>5707</v>
      </c>
      <c r="Q88" t="s">
        <v>5708</v>
      </c>
    </row>
    <row r="89" spans="1:17" x14ac:dyDescent="0.25">
      <c r="A89" t="s">
        <v>5709</v>
      </c>
      <c r="B89" t="s">
        <v>5710</v>
      </c>
      <c r="C89" t="s">
        <v>5711</v>
      </c>
      <c r="D89" t="s">
        <v>5712</v>
      </c>
      <c r="E89">
        <v>2024</v>
      </c>
      <c r="F89" t="s">
        <v>5713</v>
      </c>
      <c r="G89" t="s">
        <v>5059</v>
      </c>
      <c r="H89" t="s">
        <v>5059</v>
      </c>
      <c r="I89" t="s">
        <v>5059</v>
      </c>
      <c r="M89" t="s">
        <v>5714</v>
      </c>
      <c r="N89" t="s">
        <v>5715</v>
      </c>
      <c r="O89" t="s">
        <v>5716</v>
      </c>
      <c r="P89" t="s">
        <v>5717</v>
      </c>
      <c r="Q89" t="s">
        <v>5718</v>
      </c>
    </row>
    <row r="90" spans="1:17" x14ac:dyDescent="0.25">
      <c r="A90" t="s">
        <v>5719</v>
      </c>
      <c r="B90" t="s">
        <v>5720</v>
      </c>
      <c r="C90" t="s">
        <v>5721</v>
      </c>
      <c r="D90" t="s">
        <v>5722</v>
      </c>
      <c r="E90">
        <v>2024</v>
      </c>
      <c r="F90" t="s">
        <v>5723</v>
      </c>
      <c r="G90" t="s">
        <v>5059</v>
      </c>
      <c r="H90" t="s">
        <v>5059</v>
      </c>
      <c r="I90" t="s">
        <v>5059</v>
      </c>
      <c r="J90">
        <v>162</v>
      </c>
      <c r="K90">
        <v>165</v>
      </c>
      <c r="L90">
        <v>3</v>
      </c>
      <c r="M90" t="s">
        <v>5724</v>
      </c>
      <c r="N90" t="s">
        <v>5725</v>
      </c>
      <c r="O90" t="s">
        <v>5726</v>
      </c>
      <c r="P90" t="s">
        <v>5727</v>
      </c>
      <c r="Q90" t="s">
        <v>5728</v>
      </c>
    </row>
    <row r="91" spans="1:17" x14ac:dyDescent="0.25">
      <c r="A91" t="s">
        <v>5729</v>
      </c>
      <c r="B91" t="s">
        <v>5730</v>
      </c>
      <c r="C91" t="s">
        <v>5731</v>
      </c>
      <c r="D91" t="s">
        <v>4875</v>
      </c>
      <c r="E91">
        <v>2024</v>
      </c>
      <c r="F91" t="s">
        <v>5732</v>
      </c>
      <c r="G91" t="s">
        <v>5059</v>
      </c>
      <c r="H91" t="s">
        <v>5059</v>
      </c>
      <c r="I91" t="s">
        <v>5059</v>
      </c>
      <c r="M91" t="s">
        <v>4878</v>
      </c>
      <c r="N91" t="s">
        <v>4879</v>
      </c>
      <c r="O91" t="s">
        <v>4876</v>
      </c>
      <c r="P91" t="s">
        <v>5733</v>
      </c>
      <c r="Q91" t="s">
        <v>5734</v>
      </c>
    </row>
    <row r="92" spans="1:17" x14ac:dyDescent="0.25">
      <c r="A92" t="s">
        <v>5735</v>
      </c>
      <c r="B92" t="s">
        <v>5736</v>
      </c>
      <c r="C92" t="s">
        <v>5737</v>
      </c>
      <c r="D92" t="s">
        <v>4882</v>
      </c>
      <c r="E92">
        <v>2024</v>
      </c>
      <c r="F92" t="s">
        <v>5738</v>
      </c>
      <c r="G92" t="s">
        <v>5070</v>
      </c>
      <c r="H92" t="s">
        <v>5103</v>
      </c>
      <c r="I92" t="s">
        <v>5059</v>
      </c>
      <c r="J92">
        <v>1535</v>
      </c>
      <c r="K92">
        <v>1549</v>
      </c>
      <c r="L92">
        <v>14</v>
      </c>
      <c r="M92" t="s">
        <v>4885</v>
      </c>
      <c r="N92" t="s">
        <v>4886</v>
      </c>
      <c r="O92" t="s">
        <v>4883</v>
      </c>
      <c r="P92" t="s">
        <v>5739</v>
      </c>
      <c r="Q92" t="s">
        <v>5740</v>
      </c>
    </row>
    <row r="93" spans="1:17" x14ac:dyDescent="0.25">
      <c r="A93" t="s">
        <v>5741</v>
      </c>
      <c r="B93" t="s">
        <v>5742</v>
      </c>
      <c r="C93" t="s">
        <v>5743</v>
      </c>
      <c r="D93" t="s">
        <v>4889</v>
      </c>
      <c r="E93">
        <v>2024</v>
      </c>
      <c r="F93" t="s">
        <v>5738</v>
      </c>
      <c r="G93" t="s">
        <v>5070</v>
      </c>
      <c r="H93" t="s">
        <v>5103</v>
      </c>
      <c r="I93" t="s">
        <v>5059</v>
      </c>
      <c r="J93">
        <v>1260</v>
      </c>
      <c r="K93">
        <v>1275</v>
      </c>
      <c r="L93">
        <v>15</v>
      </c>
      <c r="M93" t="s">
        <v>4892</v>
      </c>
      <c r="N93" t="s">
        <v>4893</v>
      </c>
      <c r="O93" t="s">
        <v>4890</v>
      </c>
      <c r="P93" t="s">
        <v>5744</v>
      </c>
      <c r="Q93" t="s">
        <v>5745</v>
      </c>
    </row>
    <row r="94" spans="1:17" x14ac:dyDescent="0.25">
      <c r="A94" t="s">
        <v>5746</v>
      </c>
      <c r="B94" t="s">
        <v>5747</v>
      </c>
      <c r="C94" t="s">
        <v>5748</v>
      </c>
      <c r="D94" t="s">
        <v>4903</v>
      </c>
      <c r="E94">
        <v>2024</v>
      </c>
      <c r="F94" t="s">
        <v>5637</v>
      </c>
      <c r="G94" t="s">
        <v>5059</v>
      </c>
      <c r="H94" t="s">
        <v>5059</v>
      </c>
      <c r="I94" t="s">
        <v>5059</v>
      </c>
      <c r="J94">
        <v>240</v>
      </c>
      <c r="K94">
        <v>247</v>
      </c>
      <c r="L94">
        <v>7</v>
      </c>
      <c r="M94" t="s">
        <v>4906</v>
      </c>
      <c r="N94" t="s">
        <v>4907</v>
      </c>
      <c r="O94" t="s">
        <v>4904</v>
      </c>
      <c r="P94" t="s">
        <v>5749</v>
      </c>
      <c r="Q94" t="s">
        <v>5750</v>
      </c>
    </row>
    <row r="95" spans="1:17" x14ac:dyDescent="0.25">
      <c r="A95" t="s">
        <v>5751</v>
      </c>
      <c r="B95" t="s">
        <v>5752</v>
      </c>
      <c r="C95" t="s">
        <v>5753</v>
      </c>
      <c r="D95" t="s">
        <v>4931</v>
      </c>
      <c r="E95">
        <v>2024</v>
      </c>
      <c r="F95" t="s">
        <v>5049</v>
      </c>
      <c r="G95" t="s">
        <v>5050</v>
      </c>
      <c r="H95" t="s">
        <v>5754</v>
      </c>
      <c r="I95" t="s">
        <v>5755</v>
      </c>
      <c r="M95" t="s">
        <v>4934</v>
      </c>
      <c r="N95" t="s">
        <v>4935</v>
      </c>
      <c r="O95" t="s">
        <v>4932</v>
      </c>
      <c r="P95" t="s">
        <v>5756</v>
      </c>
      <c r="Q95" t="s">
        <v>5757</v>
      </c>
    </row>
    <row r="96" spans="1:17" x14ac:dyDescent="0.25">
      <c r="A96" t="s">
        <v>5758</v>
      </c>
      <c r="B96" t="s">
        <v>5759</v>
      </c>
      <c r="C96" t="s">
        <v>5760</v>
      </c>
      <c r="D96" t="s">
        <v>4938</v>
      </c>
      <c r="E96">
        <v>2024</v>
      </c>
      <c r="F96" t="s">
        <v>5761</v>
      </c>
      <c r="G96" t="s">
        <v>5762</v>
      </c>
      <c r="H96" t="s">
        <v>5059</v>
      </c>
      <c r="I96" t="s">
        <v>5763</v>
      </c>
      <c r="M96" t="s">
        <v>4941</v>
      </c>
      <c r="N96" t="s">
        <v>4942</v>
      </c>
      <c r="O96" t="s">
        <v>4939</v>
      </c>
      <c r="P96" t="s">
        <v>5764</v>
      </c>
      <c r="Q96" t="s">
        <v>5765</v>
      </c>
    </row>
    <row r="97" spans="1:17" x14ac:dyDescent="0.25">
      <c r="A97" t="s">
        <v>5766</v>
      </c>
      <c r="B97" t="s">
        <v>5767</v>
      </c>
      <c r="C97" t="s">
        <v>5768</v>
      </c>
      <c r="D97" t="s">
        <v>4959</v>
      </c>
      <c r="E97">
        <v>2024</v>
      </c>
      <c r="F97" t="s">
        <v>5769</v>
      </c>
      <c r="G97" t="s">
        <v>5367</v>
      </c>
      <c r="H97" t="s">
        <v>5051</v>
      </c>
      <c r="I97" t="s">
        <v>5770</v>
      </c>
      <c r="M97" t="s">
        <v>4962</v>
      </c>
      <c r="N97" t="s">
        <v>4963</v>
      </c>
      <c r="O97" t="s">
        <v>4960</v>
      </c>
      <c r="P97" t="s">
        <v>4961</v>
      </c>
      <c r="Q97" t="s">
        <v>5771</v>
      </c>
    </row>
    <row r="98" spans="1:17" x14ac:dyDescent="0.25">
      <c r="A98" t="s">
        <v>5772</v>
      </c>
      <c r="B98" t="s">
        <v>5773</v>
      </c>
      <c r="C98" t="s">
        <v>5774</v>
      </c>
      <c r="D98" t="s">
        <v>5775</v>
      </c>
      <c r="E98">
        <v>2024</v>
      </c>
      <c r="F98" t="s">
        <v>5776</v>
      </c>
      <c r="G98" t="s">
        <v>5165</v>
      </c>
      <c r="H98" t="s">
        <v>5091</v>
      </c>
      <c r="I98" t="s">
        <v>5059</v>
      </c>
      <c r="J98">
        <v>580</v>
      </c>
      <c r="K98">
        <v>593</v>
      </c>
      <c r="L98">
        <v>13</v>
      </c>
      <c r="M98" t="s">
        <v>5777</v>
      </c>
      <c r="N98" t="s">
        <v>5778</v>
      </c>
      <c r="O98" t="s">
        <v>5779</v>
      </c>
      <c r="P98" t="s">
        <v>5780</v>
      </c>
      <c r="Q98" t="s">
        <v>5781</v>
      </c>
    </row>
    <row r="99" spans="1:17" x14ac:dyDescent="0.25">
      <c r="A99" t="s">
        <v>5782</v>
      </c>
      <c r="B99" t="s">
        <v>5783</v>
      </c>
      <c r="C99" t="s">
        <v>5784</v>
      </c>
      <c r="D99" t="s">
        <v>4966</v>
      </c>
      <c r="E99">
        <v>2024</v>
      </c>
      <c r="F99" t="s">
        <v>5785</v>
      </c>
      <c r="G99" t="s">
        <v>5246</v>
      </c>
      <c r="H99" t="s">
        <v>5059</v>
      </c>
      <c r="I99" t="s">
        <v>5786</v>
      </c>
      <c r="M99" t="s">
        <v>4969</v>
      </c>
      <c r="N99" t="s">
        <v>4970</v>
      </c>
      <c r="O99" t="s">
        <v>4967</v>
      </c>
      <c r="P99" t="s">
        <v>4968</v>
      </c>
      <c r="Q99" t="s">
        <v>5787</v>
      </c>
    </row>
    <row r="100" spans="1:17" x14ac:dyDescent="0.25">
      <c r="A100" t="s">
        <v>5788</v>
      </c>
      <c r="B100" t="s">
        <v>5789</v>
      </c>
      <c r="C100" t="s">
        <v>5790</v>
      </c>
      <c r="D100" t="s">
        <v>5791</v>
      </c>
      <c r="E100">
        <v>2024</v>
      </c>
      <c r="F100" t="s">
        <v>4039</v>
      </c>
      <c r="G100" t="s">
        <v>5059</v>
      </c>
      <c r="H100" t="s">
        <v>5059</v>
      </c>
      <c r="I100" t="s">
        <v>5059</v>
      </c>
      <c r="M100" t="s">
        <v>5792</v>
      </c>
      <c r="N100" t="s">
        <v>5793</v>
      </c>
      <c r="O100" t="s">
        <v>5794</v>
      </c>
      <c r="P100" t="s">
        <v>5795</v>
      </c>
      <c r="Q100" t="s">
        <v>5796</v>
      </c>
    </row>
    <row r="101" spans="1:17" x14ac:dyDescent="0.25">
      <c r="A101" t="s">
        <v>5797</v>
      </c>
      <c r="B101" t="s">
        <v>5798</v>
      </c>
      <c r="C101" t="s">
        <v>5799</v>
      </c>
      <c r="D101" t="s">
        <v>32</v>
      </c>
      <c r="E101">
        <v>2024</v>
      </c>
      <c r="F101" t="s">
        <v>5800</v>
      </c>
      <c r="G101" t="s">
        <v>5059</v>
      </c>
      <c r="H101" t="s">
        <v>5059</v>
      </c>
      <c r="I101" t="s">
        <v>5059</v>
      </c>
      <c r="J101">
        <v>1</v>
      </c>
      <c r="K101">
        <v>373</v>
      </c>
      <c r="L101">
        <v>372</v>
      </c>
      <c r="M101" t="s">
        <v>35</v>
      </c>
      <c r="N101" t="s">
        <v>36</v>
      </c>
      <c r="O101" t="s">
        <v>5801</v>
      </c>
      <c r="P101" t="s">
        <v>5059</v>
      </c>
      <c r="Q101" t="s">
        <v>5802</v>
      </c>
    </row>
    <row r="102" spans="1:17" x14ac:dyDescent="0.25">
      <c r="A102" t="s">
        <v>5803</v>
      </c>
      <c r="B102" t="s">
        <v>5804</v>
      </c>
      <c r="C102" t="s">
        <v>5805</v>
      </c>
      <c r="D102" t="s">
        <v>39</v>
      </c>
      <c r="E102">
        <v>2024</v>
      </c>
      <c r="F102" t="s">
        <v>5806</v>
      </c>
      <c r="G102" t="s">
        <v>5807</v>
      </c>
      <c r="H102" t="s">
        <v>5059</v>
      </c>
      <c r="I102" t="s">
        <v>5059</v>
      </c>
      <c r="J102">
        <v>22</v>
      </c>
      <c r="K102">
        <v>35</v>
      </c>
      <c r="L102">
        <v>13</v>
      </c>
      <c r="M102" t="s">
        <v>43</v>
      </c>
      <c r="N102" t="s">
        <v>44</v>
      </c>
      <c r="O102" t="s">
        <v>40</v>
      </c>
      <c r="P102" t="s">
        <v>5808</v>
      </c>
      <c r="Q102" t="s">
        <v>5809</v>
      </c>
    </row>
    <row r="103" spans="1:17" x14ac:dyDescent="0.25">
      <c r="A103" t="s">
        <v>5810</v>
      </c>
      <c r="B103" t="s">
        <v>5811</v>
      </c>
      <c r="C103" t="s">
        <v>5812</v>
      </c>
      <c r="D103" t="s">
        <v>3046</v>
      </c>
      <c r="E103">
        <v>2024</v>
      </c>
      <c r="F103" t="s">
        <v>5813</v>
      </c>
      <c r="G103" t="s">
        <v>5059</v>
      </c>
      <c r="H103" t="s">
        <v>5059</v>
      </c>
      <c r="I103" t="s">
        <v>5059</v>
      </c>
      <c r="J103">
        <v>1023</v>
      </c>
      <c r="K103">
        <v>1029</v>
      </c>
      <c r="L103">
        <v>6</v>
      </c>
      <c r="M103" t="s">
        <v>3049</v>
      </c>
      <c r="N103" t="s">
        <v>3050</v>
      </c>
      <c r="O103" t="s">
        <v>3047</v>
      </c>
      <c r="P103" t="s">
        <v>5814</v>
      </c>
      <c r="Q103" t="s">
        <v>5815</v>
      </c>
    </row>
    <row r="104" spans="1:17" x14ac:dyDescent="0.25">
      <c r="A104" t="s">
        <v>5816</v>
      </c>
      <c r="B104" t="s">
        <v>5817</v>
      </c>
      <c r="C104" t="s">
        <v>5818</v>
      </c>
      <c r="D104" t="s">
        <v>5819</v>
      </c>
      <c r="E104">
        <v>2024</v>
      </c>
      <c r="F104" t="s">
        <v>5820</v>
      </c>
      <c r="G104" t="s">
        <v>5821</v>
      </c>
      <c r="H104" t="s">
        <v>5202</v>
      </c>
      <c r="I104" t="s">
        <v>5059</v>
      </c>
      <c r="J104">
        <v>305</v>
      </c>
      <c r="K104">
        <v>323</v>
      </c>
      <c r="L104">
        <v>18</v>
      </c>
      <c r="M104" t="s">
        <v>58</v>
      </c>
      <c r="N104" t="s">
        <v>59</v>
      </c>
      <c r="O104" t="s">
        <v>56</v>
      </c>
      <c r="P104" t="s">
        <v>5822</v>
      </c>
      <c r="Q104" t="s">
        <v>5823</v>
      </c>
    </row>
    <row r="105" spans="1:17" x14ac:dyDescent="0.25">
      <c r="A105" t="s">
        <v>5824</v>
      </c>
      <c r="B105" t="s">
        <v>5825</v>
      </c>
      <c r="C105" t="s">
        <v>5826</v>
      </c>
      <c r="D105" t="s">
        <v>62</v>
      </c>
      <c r="E105">
        <v>2024</v>
      </c>
      <c r="F105" t="s">
        <v>5827</v>
      </c>
      <c r="G105" t="s">
        <v>5828</v>
      </c>
      <c r="H105" t="s">
        <v>5071</v>
      </c>
      <c r="I105" t="s">
        <v>5059</v>
      </c>
      <c r="J105">
        <v>117</v>
      </c>
      <c r="K105">
        <v>125</v>
      </c>
      <c r="L105">
        <v>8</v>
      </c>
      <c r="M105" t="s">
        <v>65</v>
      </c>
      <c r="N105" t="s">
        <v>66</v>
      </c>
      <c r="O105" t="s">
        <v>63</v>
      </c>
      <c r="P105" t="s">
        <v>5059</v>
      </c>
      <c r="Q105" t="s">
        <v>5829</v>
      </c>
    </row>
    <row r="106" spans="1:17" x14ac:dyDescent="0.25">
      <c r="A106" t="s">
        <v>5830</v>
      </c>
      <c r="B106" t="s">
        <v>5831</v>
      </c>
      <c r="C106" t="s">
        <v>5832</v>
      </c>
      <c r="D106" t="s">
        <v>69</v>
      </c>
      <c r="E106">
        <v>2024</v>
      </c>
      <c r="F106" t="s">
        <v>5833</v>
      </c>
      <c r="G106" t="s">
        <v>5070</v>
      </c>
      <c r="H106" t="s">
        <v>5202</v>
      </c>
      <c r="I106" t="s">
        <v>5059</v>
      </c>
      <c r="J106">
        <v>214</v>
      </c>
      <c r="K106">
        <v>218</v>
      </c>
      <c r="L106">
        <v>4</v>
      </c>
      <c r="M106" t="s">
        <v>72</v>
      </c>
      <c r="N106" t="s">
        <v>73</v>
      </c>
      <c r="O106" t="s">
        <v>70</v>
      </c>
      <c r="P106" t="s">
        <v>5834</v>
      </c>
      <c r="Q106" t="s">
        <v>5835</v>
      </c>
    </row>
    <row r="107" spans="1:17" x14ac:dyDescent="0.25">
      <c r="A107" t="s">
        <v>5059</v>
      </c>
      <c r="B107" t="s">
        <v>5059</v>
      </c>
      <c r="C107" t="s">
        <v>5059</v>
      </c>
      <c r="D107" t="s">
        <v>76</v>
      </c>
      <c r="E107">
        <v>2024</v>
      </c>
      <c r="F107" t="s">
        <v>5836</v>
      </c>
      <c r="G107" t="s">
        <v>5837</v>
      </c>
      <c r="H107" t="s">
        <v>5059</v>
      </c>
      <c r="I107" t="s">
        <v>5059</v>
      </c>
      <c r="L107">
        <v>829</v>
      </c>
      <c r="M107" t="s">
        <v>5059</v>
      </c>
      <c r="N107" t="s">
        <v>78</v>
      </c>
      <c r="O107" t="s">
        <v>77</v>
      </c>
      <c r="P107" t="s">
        <v>5059</v>
      </c>
      <c r="Q107" t="s">
        <v>5838</v>
      </c>
    </row>
    <row r="108" spans="1:17" x14ac:dyDescent="0.25">
      <c r="A108" t="s">
        <v>5839</v>
      </c>
      <c r="B108" t="s">
        <v>5840</v>
      </c>
      <c r="C108" t="s">
        <v>5841</v>
      </c>
      <c r="D108" t="s">
        <v>81</v>
      </c>
      <c r="E108">
        <v>2023</v>
      </c>
      <c r="F108" t="s">
        <v>5842</v>
      </c>
      <c r="G108" t="s">
        <v>5225</v>
      </c>
      <c r="H108" t="s">
        <v>5180</v>
      </c>
      <c r="I108" t="s">
        <v>5843</v>
      </c>
      <c r="M108" t="s">
        <v>84</v>
      </c>
      <c r="N108" t="s">
        <v>85</v>
      </c>
      <c r="O108" t="s">
        <v>82</v>
      </c>
      <c r="P108" t="s">
        <v>83</v>
      </c>
      <c r="Q108" t="s">
        <v>5844</v>
      </c>
    </row>
    <row r="109" spans="1:17" x14ac:dyDescent="0.25">
      <c r="A109" t="s">
        <v>5845</v>
      </c>
      <c r="B109" t="s">
        <v>5846</v>
      </c>
      <c r="C109" t="s">
        <v>5847</v>
      </c>
      <c r="D109" t="s">
        <v>4536</v>
      </c>
      <c r="E109">
        <v>2024</v>
      </c>
      <c r="F109" t="s">
        <v>5848</v>
      </c>
      <c r="G109" t="s">
        <v>5059</v>
      </c>
      <c r="H109" t="s">
        <v>5059</v>
      </c>
      <c r="I109" t="s">
        <v>5059</v>
      </c>
      <c r="M109" t="s">
        <v>4539</v>
      </c>
      <c r="N109" t="s">
        <v>4540</v>
      </c>
      <c r="O109" t="s">
        <v>4537</v>
      </c>
      <c r="P109" t="s">
        <v>5059</v>
      </c>
      <c r="Q109" t="s">
        <v>5849</v>
      </c>
    </row>
    <row r="110" spans="1:17" x14ac:dyDescent="0.25">
      <c r="A110" t="s">
        <v>5850</v>
      </c>
      <c r="B110" t="s">
        <v>5851</v>
      </c>
      <c r="C110" t="s">
        <v>5852</v>
      </c>
      <c r="D110" t="s">
        <v>88</v>
      </c>
      <c r="E110">
        <v>2023</v>
      </c>
      <c r="F110" t="s">
        <v>5853</v>
      </c>
      <c r="G110" t="s">
        <v>5854</v>
      </c>
      <c r="H110" t="s">
        <v>5091</v>
      </c>
      <c r="I110" t="s">
        <v>5855</v>
      </c>
      <c r="M110" t="s">
        <v>91</v>
      </c>
      <c r="N110" t="s">
        <v>92</v>
      </c>
      <c r="O110" t="s">
        <v>89</v>
      </c>
      <c r="P110" t="s">
        <v>5856</v>
      </c>
      <c r="Q110" t="s">
        <v>5857</v>
      </c>
    </row>
    <row r="111" spans="1:17" x14ac:dyDescent="0.25">
      <c r="A111" t="s">
        <v>5858</v>
      </c>
      <c r="B111" t="s">
        <v>5859</v>
      </c>
      <c r="C111" t="s">
        <v>5860</v>
      </c>
      <c r="D111" t="s">
        <v>95</v>
      </c>
      <c r="E111">
        <v>2024</v>
      </c>
      <c r="F111" t="s">
        <v>5861</v>
      </c>
      <c r="G111" t="s">
        <v>5059</v>
      </c>
      <c r="H111" t="s">
        <v>5059</v>
      </c>
      <c r="I111" t="s">
        <v>5059</v>
      </c>
      <c r="J111">
        <v>176</v>
      </c>
      <c r="K111">
        <v>182</v>
      </c>
      <c r="L111">
        <v>6</v>
      </c>
      <c r="M111" t="s">
        <v>98</v>
      </c>
      <c r="N111" t="s">
        <v>99</v>
      </c>
      <c r="O111" t="s">
        <v>96</v>
      </c>
      <c r="P111" t="s">
        <v>5862</v>
      </c>
      <c r="Q111" t="s">
        <v>5863</v>
      </c>
    </row>
    <row r="112" spans="1:17" x14ac:dyDescent="0.25">
      <c r="A112" t="s">
        <v>5864</v>
      </c>
      <c r="B112" t="s">
        <v>5865</v>
      </c>
      <c r="C112" t="s">
        <v>5866</v>
      </c>
      <c r="D112" t="s">
        <v>110</v>
      </c>
      <c r="E112">
        <v>2024</v>
      </c>
      <c r="F112" t="s">
        <v>5186</v>
      </c>
      <c r="G112" t="s">
        <v>5091</v>
      </c>
      <c r="H112" t="s">
        <v>5059</v>
      </c>
      <c r="I112" t="s">
        <v>5059</v>
      </c>
      <c r="J112">
        <v>63768</v>
      </c>
      <c r="K112">
        <v>63776</v>
      </c>
      <c r="L112">
        <v>8</v>
      </c>
      <c r="M112" t="s">
        <v>113</v>
      </c>
      <c r="N112" t="s">
        <v>114</v>
      </c>
      <c r="O112" t="s">
        <v>111</v>
      </c>
      <c r="P112" t="s">
        <v>5867</v>
      </c>
      <c r="Q112" t="s">
        <v>5868</v>
      </c>
    </row>
    <row r="113" spans="1:17" x14ac:dyDescent="0.25">
      <c r="A113" t="s">
        <v>5869</v>
      </c>
      <c r="B113" t="s">
        <v>5870</v>
      </c>
      <c r="C113" t="s">
        <v>5871</v>
      </c>
      <c r="D113" t="s">
        <v>117</v>
      </c>
      <c r="E113">
        <v>2023</v>
      </c>
      <c r="F113" t="s">
        <v>5872</v>
      </c>
      <c r="G113" t="s">
        <v>5059</v>
      </c>
      <c r="H113" t="s">
        <v>5059</v>
      </c>
      <c r="I113" t="s">
        <v>5059</v>
      </c>
      <c r="J113">
        <v>37</v>
      </c>
      <c r="K113">
        <v>43</v>
      </c>
      <c r="L113">
        <v>6</v>
      </c>
      <c r="M113" t="s">
        <v>120</v>
      </c>
      <c r="N113" t="s">
        <v>121</v>
      </c>
      <c r="O113" t="s">
        <v>118</v>
      </c>
      <c r="P113" t="s">
        <v>5059</v>
      </c>
      <c r="Q113" t="s">
        <v>5873</v>
      </c>
    </row>
    <row r="114" spans="1:17" x14ac:dyDescent="0.25">
      <c r="A114" t="s">
        <v>5874</v>
      </c>
      <c r="B114" t="s">
        <v>5875</v>
      </c>
      <c r="C114" t="s">
        <v>5876</v>
      </c>
      <c r="D114" t="s">
        <v>124</v>
      </c>
      <c r="E114">
        <v>2024</v>
      </c>
      <c r="F114" t="s">
        <v>5877</v>
      </c>
      <c r="G114" t="s">
        <v>5059</v>
      </c>
      <c r="H114" t="s">
        <v>5059</v>
      </c>
      <c r="I114" t="s">
        <v>5059</v>
      </c>
      <c r="M114" t="s">
        <v>127</v>
      </c>
      <c r="N114" t="s">
        <v>128</v>
      </c>
      <c r="O114" t="s">
        <v>125</v>
      </c>
      <c r="P114" t="s">
        <v>5059</v>
      </c>
      <c r="Q114" t="s">
        <v>5878</v>
      </c>
    </row>
    <row r="115" spans="1:17" x14ac:dyDescent="0.25">
      <c r="A115" t="s">
        <v>5879</v>
      </c>
      <c r="B115" t="s">
        <v>5880</v>
      </c>
      <c r="C115" t="s">
        <v>5881</v>
      </c>
      <c r="D115" t="s">
        <v>131</v>
      </c>
      <c r="E115">
        <v>2024</v>
      </c>
      <c r="F115" t="s">
        <v>5117</v>
      </c>
      <c r="G115" t="s">
        <v>5118</v>
      </c>
      <c r="H115" t="s">
        <v>5102</v>
      </c>
      <c r="I115" t="s">
        <v>5059</v>
      </c>
      <c r="J115">
        <v>15792</v>
      </c>
      <c r="K115">
        <v>15797</v>
      </c>
      <c r="L115">
        <v>5</v>
      </c>
      <c r="M115" t="s">
        <v>134</v>
      </c>
      <c r="N115" t="s">
        <v>135</v>
      </c>
      <c r="O115" t="s">
        <v>132</v>
      </c>
      <c r="P115" t="s">
        <v>5882</v>
      </c>
      <c r="Q115" t="s">
        <v>5883</v>
      </c>
    </row>
    <row r="116" spans="1:17" x14ac:dyDescent="0.25">
      <c r="A116" t="s">
        <v>5884</v>
      </c>
      <c r="B116" t="s">
        <v>5885</v>
      </c>
      <c r="C116" t="s">
        <v>5886</v>
      </c>
      <c r="D116" t="s">
        <v>330</v>
      </c>
      <c r="E116">
        <v>2024</v>
      </c>
      <c r="F116" t="s">
        <v>5887</v>
      </c>
      <c r="G116" t="s">
        <v>5059</v>
      </c>
      <c r="H116" t="s">
        <v>5059</v>
      </c>
      <c r="I116" t="s">
        <v>5059</v>
      </c>
      <c r="J116">
        <v>1933</v>
      </c>
      <c r="K116">
        <v>1938</v>
      </c>
      <c r="L116">
        <v>5</v>
      </c>
      <c r="M116" t="s">
        <v>333</v>
      </c>
      <c r="N116" t="s">
        <v>334</v>
      </c>
      <c r="O116" t="s">
        <v>331</v>
      </c>
      <c r="P116" t="s">
        <v>5888</v>
      </c>
      <c r="Q116" t="s">
        <v>5889</v>
      </c>
    </row>
    <row r="117" spans="1:17" x14ac:dyDescent="0.25">
      <c r="A117" t="s">
        <v>5890</v>
      </c>
      <c r="B117" t="s">
        <v>5891</v>
      </c>
      <c r="C117" t="s">
        <v>5892</v>
      </c>
      <c r="D117" t="s">
        <v>145</v>
      </c>
      <c r="E117">
        <v>2024</v>
      </c>
      <c r="F117" t="s">
        <v>5069</v>
      </c>
      <c r="G117" t="s">
        <v>5070</v>
      </c>
      <c r="H117" t="s">
        <v>5091</v>
      </c>
      <c r="I117" t="s">
        <v>5059</v>
      </c>
      <c r="J117">
        <v>12345</v>
      </c>
      <c r="K117">
        <v>12359</v>
      </c>
      <c r="L117">
        <v>14</v>
      </c>
      <c r="M117" t="s">
        <v>148</v>
      </c>
      <c r="N117" t="s">
        <v>149</v>
      </c>
      <c r="O117" t="s">
        <v>146</v>
      </c>
      <c r="P117" t="s">
        <v>5893</v>
      </c>
      <c r="Q117" t="s">
        <v>5894</v>
      </c>
    </row>
    <row r="118" spans="1:17" x14ac:dyDescent="0.25">
      <c r="A118" t="s">
        <v>5895</v>
      </c>
      <c r="B118" t="s">
        <v>5896</v>
      </c>
      <c r="C118" t="s">
        <v>5897</v>
      </c>
      <c r="D118" t="s">
        <v>152</v>
      </c>
      <c r="E118">
        <v>2024</v>
      </c>
      <c r="F118" t="s">
        <v>5898</v>
      </c>
      <c r="G118" t="s">
        <v>5899</v>
      </c>
      <c r="H118" t="s">
        <v>5059</v>
      </c>
      <c r="I118" t="s">
        <v>5059</v>
      </c>
      <c r="J118">
        <v>164</v>
      </c>
      <c r="K118">
        <v>185</v>
      </c>
      <c r="L118">
        <v>21</v>
      </c>
      <c r="M118" t="s">
        <v>155</v>
      </c>
      <c r="N118" t="s">
        <v>156</v>
      </c>
      <c r="O118" t="s">
        <v>153</v>
      </c>
      <c r="P118" t="s">
        <v>5900</v>
      </c>
      <c r="Q118" t="s">
        <v>5901</v>
      </c>
    </row>
    <row r="119" spans="1:17" x14ac:dyDescent="0.25">
      <c r="A119" t="s">
        <v>5902</v>
      </c>
      <c r="B119" t="s">
        <v>5903</v>
      </c>
      <c r="C119" t="s">
        <v>5904</v>
      </c>
      <c r="D119" t="s">
        <v>407</v>
      </c>
      <c r="E119">
        <v>2024</v>
      </c>
      <c r="F119" t="s">
        <v>5905</v>
      </c>
      <c r="G119" t="s">
        <v>5906</v>
      </c>
      <c r="H119" t="s">
        <v>5202</v>
      </c>
      <c r="I119" t="s">
        <v>5907</v>
      </c>
      <c r="M119" t="s">
        <v>410</v>
      </c>
      <c r="N119" t="s">
        <v>411</v>
      </c>
      <c r="O119" t="s">
        <v>408</v>
      </c>
      <c r="P119" t="s">
        <v>5059</v>
      </c>
      <c r="Q119" t="s">
        <v>5908</v>
      </c>
    </row>
    <row r="120" spans="1:17" x14ac:dyDescent="0.25">
      <c r="A120" t="s">
        <v>5909</v>
      </c>
      <c r="B120" t="s">
        <v>5910</v>
      </c>
      <c r="C120" t="s">
        <v>5911</v>
      </c>
      <c r="D120" t="s">
        <v>562</v>
      </c>
      <c r="E120">
        <v>2024</v>
      </c>
      <c r="F120" t="s">
        <v>5912</v>
      </c>
      <c r="G120" t="s">
        <v>5913</v>
      </c>
      <c r="H120" t="s">
        <v>5059</v>
      </c>
      <c r="I120" t="s">
        <v>5059</v>
      </c>
      <c r="J120">
        <v>73</v>
      </c>
      <c r="K120">
        <v>78</v>
      </c>
      <c r="L120">
        <v>5</v>
      </c>
      <c r="M120" t="s">
        <v>564</v>
      </c>
      <c r="N120" t="s">
        <v>565</v>
      </c>
      <c r="O120" t="s">
        <v>563</v>
      </c>
      <c r="P120" t="s">
        <v>5059</v>
      </c>
      <c r="Q120" t="s">
        <v>5914</v>
      </c>
    </row>
    <row r="121" spans="1:17" x14ac:dyDescent="0.25">
      <c r="A121" t="s">
        <v>5915</v>
      </c>
      <c r="B121" t="s">
        <v>5916</v>
      </c>
      <c r="C121" t="s">
        <v>5917</v>
      </c>
      <c r="D121" t="s">
        <v>159</v>
      </c>
      <c r="E121">
        <v>2024</v>
      </c>
      <c r="F121" t="s">
        <v>5918</v>
      </c>
      <c r="G121" t="s">
        <v>5059</v>
      </c>
      <c r="H121" t="s">
        <v>5059</v>
      </c>
      <c r="I121" t="s">
        <v>5059</v>
      </c>
      <c r="J121">
        <v>493</v>
      </c>
      <c r="K121">
        <v>498</v>
      </c>
      <c r="L121">
        <v>5</v>
      </c>
      <c r="M121" t="s">
        <v>162</v>
      </c>
      <c r="N121" t="s">
        <v>163</v>
      </c>
      <c r="O121" t="s">
        <v>160</v>
      </c>
      <c r="P121" t="s">
        <v>5919</v>
      </c>
      <c r="Q121" t="s">
        <v>5920</v>
      </c>
    </row>
    <row r="122" spans="1:17" x14ac:dyDescent="0.25">
      <c r="A122" t="s">
        <v>5921</v>
      </c>
      <c r="B122" t="s">
        <v>5922</v>
      </c>
      <c r="C122" t="s">
        <v>5923</v>
      </c>
      <c r="D122" t="s">
        <v>187</v>
      </c>
      <c r="E122">
        <v>2024</v>
      </c>
      <c r="F122" t="s">
        <v>5186</v>
      </c>
      <c r="G122" t="s">
        <v>5091</v>
      </c>
      <c r="H122" t="s">
        <v>5059</v>
      </c>
      <c r="I122" t="s">
        <v>5059</v>
      </c>
      <c r="J122">
        <v>111505</v>
      </c>
      <c r="K122">
        <v>111522</v>
      </c>
      <c r="L122">
        <v>17</v>
      </c>
      <c r="M122" t="s">
        <v>190</v>
      </c>
      <c r="N122" t="s">
        <v>191</v>
      </c>
      <c r="O122" t="s">
        <v>188</v>
      </c>
      <c r="P122" t="s">
        <v>5924</v>
      </c>
      <c r="Q122" t="s">
        <v>5925</v>
      </c>
    </row>
    <row r="123" spans="1:17" x14ac:dyDescent="0.25">
      <c r="A123" t="s">
        <v>5926</v>
      </c>
      <c r="B123" t="s">
        <v>5927</v>
      </c>
      <c r="C123" t="s">
        <v>5928</v>
      </c>
      <c r="D123" t="s">
        <v>194</v>
      </c>
      <c r="E123">
        <v>2024</v>
      </c>
      <c r="F123" t="s">
        <v>5487</v>
      </c>
      <c r="G123" t="s">
        <v>5549</v>
      </c>
      <c r="H123" t="s">
        <v>5238</v>
      </c>
      <c r="I123" t="s">
        <v>5059</v>
      </c>
      <c r="J123">
        <v>29941</v>
      </c>
      <c r="K123">
        <v>29955</v>
      </c>
      <c r="L123">
        <v>14</v>
      </c>
      <c r="M123" t="s">
        <v>197</v>
      </c>
      <c r="N123" t="s">
        <v>198</v>
      </c>
      <c r="O123" t="s">
        <v>195</v>
      </c>
      <c r="P123" t="s">
        <v>5929</v>
      </c>
      <c r="Q123" t="s">
        <v>5930</v>
      </c>
    </row>
    <row r="124" spans="1:17" x14ac:dyDescent="0.25">
      <c r="A124" t="s">
        <v>5931</v>
      </c>
      <c r="B124" t="s">
        <v>5932</v>
      </c>
      <c r="C124" t="s">
        <v>5933</v>
      </c>
      <c r="D124" t="s">
        <v>208</v>
      </c>
      <c r="E124">
        <v>2024</v>
      </c>
      <c r="F124" t="s">
        <v>5934</v>
      </c>
      <c r="G124" t="s">
        <v>5059</v>
      </c>
      <c r="H124" t="s">
        <v>5059</v>
      </c>
      <c r="I124" t="s">
        <v>5059</v>
      </c>
      <c r="M124" t="s">
        <v>211</v>
      </c>
      <c r="N124" t="s">
        <v>212</v>
      </c>
      <c r="O124" t="s">
        <v>209</v>
      </c>
      <c r="P124" t="s">
        <v>5935</v>
      </c>
      <c r="Q124" t="s">
        <v>5936</v>
      </c>
    </row>
    <row r="125" spans="1:17" x14ac:dyDescent="0.25">
      <c r="A125" t="s">
        <v>5937</v>
      </c>
      <c r="B125" t="s">
        <v>5938</v>
      </c>
      <c r="C125" t="s">
        <v>5939</v>
      </c>
      <c r="D125" t="s">
        <v>215</v>
      </c>
      <c r="E125">
        <v>2024</v>
      </c>
      <c r="F125" t="s">
        <v>5317</v>
      </c>
      <c r="G125" t="s">
        <v>5071</v>
      </c>
      <c r="H125" t="s">
        <v>5059</v>
      </c>
      <c r="I125" t="s">
        <v>5059</v>
      </c>
      <c r="J125">
        <v>15</v>
      </c>
      <c r="K125">
        <v>37</v>
      </c>
      <c r="L125">
        <v>22</v>
      </c>
      <c r="M125" t="s">
        <v>218</v>
      </c>
      <c r="N125" t="s">
        <v>219</v>
      </c>
      <c r="O125" t="s">
        <v>216</v>
      </c>
      <c r="P125" t="s">
        <v>5940</v>
      </c>
      <c r="Q125" t="s">
        <v>5941</v>
      </c>
    </row>
    <row r="126" spans="1:17" x14ac:dyDescent="0.25">
      <c r="A126" t="s">
        <v>5942</v>
      </c>
      <c r="B126" t="s">
        <v>5943</v>
      </c>
      <c r="C126" t="s">
        <v>5944</v>
      </c>
      <c r="D126" t="s">
        <v>222</v>
      </c>
      <c r="E126">
        <v>2023</v>
      </c>
      <c r="F126" t="s">
        <v>5945</v>
      </c>
      <c r="G126" t="s">
        <v>5664</v>
      </c>
      <c r="H126" t="s">
        <v>5367</v>
      </c>
      <c r="I126" t="s">
        <v>5059</v>
      </c>
      <c r="M126" t="s">
        <v>225</v>
      </c>
      <c r="N126" t="s">
        <v>226</v>
      </c>
      <c r="O126" t="s">
        <v>223</v>
      </c>
      <c r="P126" t="s">
        <v>5946</v>
      </c>
      <c r="Q126" t="s">
        <v>5947</v>
      </c>
    </row>
    <row r="127" spans="1:17" x14ac:dyDescent="0.25">
      <c r="A127" t="s">
        <v>5948</v>
      </c>
      <c r="B127" t="s">
        <v>5949</v>
      </c>
      <c r="C127" t="s">
        <v>5950</v>
      </c>
      <c r="D127" t="s">
        <v>229</v>
      </c>
      <c r="E127">
        <v>2024</v>
      </c>
      <c r="F127" t="s">
        <v>5132</v>
      </c>
      <c r="G127" t="s">
        <v>5133</v>
      </c>
      <c r="H127" t="s">
        <v>5050</v>
      </c>
      <c r="I127" t="s">
        <v>5059</v>
      </c>
      <c r="J127">
        <v>5179</v>
      </c>
      <c r="K127">
        <v>5193</v>
      </c>
      <c r="L127">
        <v>14</v>
      </c>
      <c r="M127" t="s">
        <v>232</v>
      </c>
      <c r="N127" t="s">
        <v>233</v>
      </c>
      <c r="O127" t="s">
        <v>230</v>
      </c>
      <c r="P127" t="s">
        <v>5951</v>
      </c>
      <c r="Q127" t="s">
        <v>5952</v>
      </c>
    </row>
    <row r="128" spans="1:17" x14ac:dyDescent="0.25">
      <c r="A128" t="s">
        <v>5953</v>
      </c>
      <c r="B128" t="s">
        <v>5954</v>
      </c>
      <c r="C128" t="s">
        <v>5955</v>
      </c>
      <c r="D128" t="s">
        <v>242</v>
      </c>
      <c r="E128">
        <v>2024</v>
      </c>
      <c r="F128" t="s">
        <v>5186</v>
      </c>
      <c r="G128" t="s">
        <v>5091</v>
      </c>
      <c r="H128" t="s">
        <v>5059</v>
      </c>
      <c r="I128" t="s">
        <v>5059</v>
      </c>
      <c r="J128">
        <v>51523</v>
      </c>
      <c r="K128">
        <v>51535</v>
      </c>
      <c r="L128">
        <v>12</v>
      </c>
      <c r="M128" t="s">
        <v>245</v>
      </c>
      <c r="N128" t="s">
        <v>246</v>
      </c>
      <c r="O128" t="s">
        <v>243</v>
      </c>
      <c r="P128" t="s">
        <v>5956</v>
      </c>
      <c r="Q128" t="s">
        <v>5957</v>
      </c>
    </row>
    <row r="129" spans="1:17" x14ac:dyDescent="0.25">
      <c r="A129" t="s">
        <v>5958</v>
      </c>
      <c r="B129" t="s">
        <v>5959</v>
      </c>
      <c r="C129" t="s">
        <v>5960</v>
      </c>
      <c r="D129" t="s">
        <v>1243</v>
      </c>
      <c r="E129">
        <v>2024</v>
      </c>
      <c r="F129" t="s">
        <v>5186</v>
      </c>
      <c r="G129" t="s">
        <v>5059</v>
      </c>
      <c r="H129" t="s">
        <v>5059</v>
      </c>
      <c r="I129" t="s">
        <v>5059</v>
      </c>
      <c r="M129" t="s">
        <v>1246</v>
      </c>
      <c r="N129" t="s">
        <v>1247</v>
      </c>
      <c r="O129" t="s">
        <v>1244</v>
      </c>
      <c r="P129" t="s">
        <v>5961</v>
      </c>
      <c r="Q129" t="s">
        <v>5962</v>
      </c>
    </row>
    <row r="130" spans="1:17" x14ac:dyDescent="0.25">
      <c r="A130" t="s">
        <v>5059</v>
      </c>
      <c r="B130" t="s">
        <v>5059</v>
      </c>
      <c r="C130" t="s">
        <v>5059</v>
      </c>
      <c r="D130" t="s">
        <v>262</v>
      </c>
      <c r="E130">
        <v>2024</v>
      </c>
      <c r="F130" t="s">
        <v>5963</v>
      </c>
      <c r="G130" t="s">
        <v>5059</v>
      </c>
      <c r="H130" t="s">
        <v>5059</v>
      </c>
      <c r="I130" t="s">
        <v>5059</v>
      </c>
      <c r="L130">
        <v>410</v>
      </c>
      <c r="M130" t="s">
        <v>5059</v>
      </c>
      <c r="N130" t="s">
        <v>264</v>
      </c>
      <c r="O130" t="s">
        <v>263</v>
      </c>
      <c r="P130" t="s">
        <v>5059</v>
      </c>
      <c r="Q130" t="s">
        <v>5964</v>
      </c>
    </row>
    <row r="131" spans="1:17" x14ac:dyDescent="0.25">
      <c r="A131" t="s">
        <v>5965</v>
      </c>
      <c r="B131" t="s">
        <v>5966</v>
      </c>
      <c r="C131" t="s">
        <v>5967</v>
      </c>
      <c r="D131" t="s">
        <v>1319</v>
      </c>
      <c r="E131">
        <v>2024</v>
      </c>
      <c r="F131" t="s">
        <v>5968</v>
      </c>
      <c r="G131" t="s">
        <v>5059</v>
      </c>
      <c r="H131" t="s">
        <v>5059</v>
      </c>
      <c r="I131" t="s">
        <v>5059</v>
      </c>
      <c r="J131">
        <v>1</v>
      </c>
      <c r="K131">
        <v>1</v>
      </c>
      <c r="L131">
        <v>0</v>
      </c>
      <c r="M131" t="s">
        <v>1322</v>
      </c>
      <c r="N131" t="s">
        <v>1323</v>
      </c>
      <c r="O131" t="s">
        <v>1320</v>
      </c>
      <c r="P131" t="s">
        <v>5969</v>
      </c>
      <c r="Q131" t="s">
        <v>5970</v>
      </c>
    </row>
    <row r="132" spans="1:17" x14ac:dyDescent="0.25">
      <c r="A132" t="s">
        <v>5971</v>
      </c>
      <c r="B132" t="s">
        <v>5972</v>
      </c>
      <c r="C132" t="s">
        <v>5973</v>
      </c>
      <c r="D132" t="s">
        <v>1393</v>
      </c>
      <c r="E132">
        <v>2024</v>
      </c>
      <c r="F132" t="s">
        <v>4157</v>
      </c>
      <c r="G132" t="s">
        <v>5974</v>
      </c>
      <c r="H132" t="s">
        <v>5059</v>
      </c>
      <c r="I132" t="s">
        <v>5975</v>
      </c>
      <c r="M132" t="s">
        <v>1396</v>
      </c>
      <c r="N132" t="s">
        <v>1397</v>
      </c>
      <c r="O132" t="s">
        <v>1394</v>
      </c>
      <c r="P132" t="s">
        <v>5976</v>
      </c>
      <c r="Q132" t="s">
        <v>5977</v>
      </c>
    </row>
    <row r="133" spans="1:17" x14ac:dyDescent="0.25">
      <c r="A133" t="s">
        <v>5978</v>
      </c>
      <c r="B133" t="s">
        <v>5979</v>
      </c>
      <c r="C133" t="s">
        <v>5980</v>
      </c>
      <c r="D133" t="s">
        <v>1465</v>
      </c>
      <c r="E133">
        <v>2024</v>
      </c>
      <c r="F133" t="s">
        <v>5887</v>
      </c>
      <c r="G133" t="s">
        <v>5059</v>
      </c>
      <c r="H133" t="s">
        <v>5059</v>
      </c>
      <c r="I133" t="s">
        <v>5059</v>
      </c>
      <c r="J133">
        <v>1939</v>
      </c>
      <c r="K133">
        <v>1944</v>
      </c>
      <c r="L133">
        <v>5</v>
      </c>
      <c r="M133" t="s">
        <v>1468</v>
      </c>
      <c r="N133" t="s">
        <v>1469</v>
      </c>
      <c r="O133" t="s">
        <v>1466</v>
      </c>
      <c r="P133" t="s">
        <v>5981</v>
      </c>
      <c r="Q133" t="s">
        <v>5982</v>
      </c>
    </row>
    <row r="134" spans="1:17" x14ac:dyDescent="0.25">
      <c r="A134" t="s">
        <v>5983</v>
      </c>
      <c r="B134" t="s">
        <v>5984</v>
      </c>
      <c r="C134" t="s">
        <v>5985</v>
      </c>
      <c r="D134" t="s">
        <v>274</v>
      </c>
      <c r="E134">
        <v>2024</v>
      </c>
      <c r="F134" t="s">
        <v>5986</v>
      </c>
      <c r="G134" t="s">
        <v>5059</v>
      </c>
      <c r="H134" t="s">
        <v>5059</v>
      </c>
      <c r="I134" t="s">
        <v>5059</v>
      </c>
      <c r="M134" t="s">
        <v>277</v>
      </c>
      <c r="N134" t="s">
        <v>278</v>
      </c>
      <c r="O134" t="s">
        <v>275</v>
      </c>
      <c r="P134" t="s">
        <v>5987</v>
      </c>
      <c r="Q134" t="s">
        <v>5988</v>
      </c>
    </row>
    <row r="135" spans="1:17" x14ac:dyDescent="0.25">
      <c r="A135" t="s">
        <v>5989</v>
      </c>
      <c r="B135" t="s">
        <v>5990</v>
      </c>
      <c r="C135" t="s">
        <v>5991</v>
      </c>
      <c r="D135" t="s">
        <v>281</v>
      </c>
      <c r="E135">
        <v>2024</v>
      </c>
      <c r="F135" t="s">
        <v>5117</v>
      </c>
      <c r="G135" t="s">
        <v>5118</v>
      </c>
      <c r="H135" t="s">
        <v>5202</v>
      </c>
      <c r="I135" t="s">
        <v>5059</v>
      </c>
      <c r="J135">
        <v>1053</v>
      </c>
      <c r="K135">
        <v>1064</v>
      </c>
      <c r="L135">
        <v>11</v>
      </c>
      <c r="M135" t="s">
        <v>284</v>
      </c>
      <c r="N135" t="s">
        <v>285</v>
      </c>
      <c r="O135" t="s">
        <v>282</v>
      </c>
      <c r="P135" t="s">
        <v>5992</v>
      </c>
      <c r="Q135" t="s">
        <v>5993</v>
      </c>
    </row>
    <row r="136" spans="1:17" x14ac:dyDescent="0.25">
      <c r="A136" t="s">
        <v>5994</v>
      </c>
      <c r="B136" t="s">
        <v>5995</v>
      </c>
      <c r="C136" t="s">
        <v>5996</v>
      </c>
      <c r="D136" t="s">
        <v>288</v>
      </c>
      <c r="E136">
        <v>2023</v>
      </c>
      <c r="F136" t="s">
        <v>5997</v>
      </c>
      <c r="G136" t="s">
        <v>5070</v>
      </c>
      <c r="H136" t="s">
        <v>5998</v>
      </c>
      <c r="I136" t="s">
        <v>5059</v>
      </c>
      <c r="M136" t="s">
        <v>291</v>
      </c>
      <c r="N136" t="s">
        <v>292</v>
      </c>
      <c r="O136" t="s">
        <v>289</v>
      </c>
      <c r="P136" t="s">
        <v>5999</v>
      </c>
      <c r="Q136" t="s">
        <v>6000</v>
      </c>
    </row>
    <row r="137" spans="1:17" x14ac:dyDescent="0.25">
      <c r="A137" t="s">
        <v>6001</v>
      </c>
      <c r="B137" t="s">
        <v>6002</v>
      </c>
      <c r="C137" t="s">
        <v>6003</v>
      </c>
      <c r="D137" t="s">
        <v>1546</v>
      </c>
      <c r="E137">
        <v>2024</v>
      </c>
      <c r="F137" t="s">
        <v>6004</v>
      </c>
      <c r="G137" t="s">
        <v>5059</v>
      </c>
      <c r="H137" t="s">
        <v>5059</v>
      </c>
      <c r="I137" t="s">
        <v>5059</v>
      </c>
      <c r="J137">
        <v>499</v>
      </c>
      <c r="K137">
        <v>506</v>
      </c>
      <c r="L137">
        <v>7</v>
      </c>
      <c r="M137" t="s">
        <v>1549</v>
      </c>
      <c r="N137" t="s">
        <v>1550</v>
      </c>
      <c r="O137" t="s">
        <v>1547</v>
      </c>
      <c r="P137" t="s">
        <v>6005</v>
      </c>
      <c r="Q137" t="s">
        <v>6006</v>
      </c>
    </row>
    <row r="138" spans="1:17" x14ac:dyDescent="0.25">
      <c r="A138" t="s">
        <v>6007</v>
      </c>
      <c r="B138" t="s">
        <v>6008</v>
      </c>
      <c r="C138" t="s">
        <v>6009</v>
      </c>
      <c r="D138" t="s">
        <v>1623</v>
      </c>
      <c r="E138">
        <v>2024</v>
      </c>
      <c r="F138" t="s">
        <v>4157</v>
      </c>
      <c r="G138" t="s">
        <v>6010</v>
      </c>
      <c r="H138" t="s">
        <v>5059</v>
      </c>
      <c r="I138" t="s">
        <v>6011</v>
      </c>
      <c r="M138" t="s">
        <v>1626</v>
      </c>
      <c r="N138" t="s">
        <v>1627</v>
      </c>
      <c r="O138" t="s">
        <v>1624</v>
      </c>
      <c r="P138" t="s">
        <v>5059</v>
      </c>
      <c r="Q138" t="s">
        <v>6012</v>
      </c>
    </row>
    <row r="139" spans="1:17" x14ac:dyDescent="0.25">
      <c r="A139" t="s">
        <v>6013</v>
      </c>
      <c r="B139" t="s">
        <v>6014</v>
      </c>
      <c r="C139" t="s">
        <v>6015</v>
      </c>
      <c r="D139" t="s">
        <v>295</v>
      </c>
      <c r="E139">
        <v>2024</v>
      </c>
      <c r="F139" t="s">
        <v>6016</v>
      </c>
      <c r="G139" t="s">
        <v>5059</v>
      </c>
      <c r="H139" t="s">
        <v>5059</v>
      </c>
      <c r="I139" t="s">
        <v>5059</v>
      </c>
      <c r="M139" t="s">
        <v>298</v>
      </c>
      <c r="N139" t="s">
        <v>299</v>
      </c>
      <c r="O139" t="s">
        <v>296</v>
      </c>
      <c r="P139" t="s">
        <v>6017</v>
      </c>
      <c r="Q139" t="s">
        <v>6018</v>
      </c>
    </row>
    <row r="140" spans="1:17" x14ac:dyDescent="0.25">
      <c r="A140" t="s">
        <v>6019</v>
      </c>
      <c r="B140" t="s">
        <v>6020</v>
      </c>
      <c r="C140" t="s">
        <v>6021</v>
      </c>
      <c r="D140" t="s">
        <v>302</v>
      </c>
      <c r="E140">
        <v>2024</v>
      </c>
      <c r="F140" t="s">
        <v>6022</v>
      </c>
      <c r="G140" t="s">
        <v>5059</v>
      </c>
      <c r="H140" t="s">
        <v>5059</v>
      </c>
      <c r="I140" t="s">
        <v>5059</v>
      </c>
      <c r="J140">
        <v>256</v>
      </c>
      <c r="K140">
        <v>258</v>
      </c>
      <c r="L140">
        <v>2</v>
      </c>
      <c r="M140" t="s">
        <v>305</v>
      </c>
      <c r="N140" t="s">
        <v>306</v>
      </c>
      <c r="O140" t="s">
        <v>303</v>
      </c>
      <c r="P140" t="s">
        <v>6023</v>
      </c>
      <c r="Q140" t="s">
        <v>6024</v>
      </c>
    </row>
    <row r="141" spans="1:17" x14ac:dyDescent="0.25">
      <c r="A141" t="s">
        <v>6025</v>
      </c>
      <c r="B141" t="s">
        <v>6026</v>
      </c>
      <c r="C141" t="s">
        <v>6027</v>
      </c>
      <c r="D141" t="s">
        <v>309</v>
      </c>
      <c r="E141">
        <v>2023</v>
      </c>
      <c r="F141" t="s">
        <v>6028</v>
      </c>
      <c r="G141" t="s">
        <v>5367</v>
      </c>
      <c r="H141" t="s">
        <v>5180</v>
      </c>
      <c r="I141" t="s">
        <v>5059</v>
      </c>
      <c r="J141">
        <v>118</v>
      </c>
      <c r="K141">
        <v>123</v>
      </c>
      <c r="L141">
        <v>5</v>
      </c>
      <c r="M141" t="s">
        <v>312</v>
      </c>
      <c r="N141" t="s">
        <v>313</v>
      </c>
      <c r="O141" t="s">
        <v>310</v>
      </c>
      <c r="P141" t="s">
        <v>5059</v>
      </c>
      <c r="Q141" t="s">
        <v>6029</v>
      </c>
    </row>
    <row r="142" spans="1:17" x14ac:dyDescent="0.25">
      <c r="A142" t="s">
        <v>6030</v>
      </c>
      <c r="B142" t="s">
        <v>6031</v>
      </c>
      <c r="C142" t="s">
        <v>6032</v>
      </c>
      <c r="D142" t="s">
        <v>316</v>
      </c>
      <c r="E142">
        <v>2024</v>
      </c>
      <c r="F142" t="s">
        <v>5117</v>
      </c>
      <c r="G142" t="s">
        <v>5118</v>
      </c>
      <c r="H142" t="s">
        <v>5102</v>
      </c>
      <c r="I142" t="s">
        <v>5059</v>
      </c>
      <c r="J142">
        <v>15424</v>
      </c>
      <c r="K142">
        <v>15439</v>
      </c>
      <c r="L142">
        <v>15</v>
      </c>
      <c r="M142" t="s">
        <v>319</v>
      </c>
      <c r="N142" t="s">
        <v>320</v>
      </c>
      <c r="O142" t="s">
        <v>317</v>
      </c>
      <c r="P142" t="s">
        <v>6033</v>
      </c>
      <c r="Q142" t="s">
        <v>6034</v>
      </c>
    </row>
    <row r="143" spans="1:17" x14ac:dyDescent="0.25">
      <c r="A143" t="s">
        <v>6035</v>
      </c>
      <c r="B143" t="s">
        <v>6036</v>
      </c>
      <c r="C143" t="s">
        <v>6037</v>
      </c>
      <c r="D143" t="s">
        <v>323</v>
      </c>
      <c r="E143">
        <v>2024</v>
      </c>
      <c r="F143" t="s">
        <v>6038</v>
      </c>
      <c r="G143" t="s">
        <v>5059</v>
      </c>
      <c r="H143" t="s">
        <v>5059</v>
      </c>
      <c r="I143" t="s">
        <v>5059</v>
      </c>
      <c r="M143" t="s">
        <v>326</v>
      </c>
      <c r="N143" t="s">
        <v>327</v>
      </c>
      <c r="O143" t="s">
        <v>324</v>
      </c>
      <c r="P143" t="s">
        <v>6039</v>
      </c>
      <c r="Q143" t="s">
        <v>6040</v>
      </c>
    </row>
    <row r="144" spans="1:17" x14ac:dyDescent="0.25">
      <c r="A144" t="s">
        <v>6041</v>
      </c>
      <c r="B144" t="s">
        <v>6042</v>
      </c>
      <c r="C144" t="s">
        <v>6043</v>
      </c>
      <c r="D144" t="s">
        <v>6044</v>
      </c>
      <c r="E144">
        <v>2024</v>
      </c>
      <c r="F144" t="s">
        <v>6045</v>
      </c>
      <c r="G144" t="s">
        <v>6046</v>
      </c>
      <c r="H144" t="s">
        <v>5103</v>
      </c>
      <c r="I144" t="s">
        <v>5059</v>
      </c>
      <c r="J144">
        <v>1019</v>
      </c>
      <c r="K144">
        <v>1050</v>
      </c>
      <c r="L144">
        <v>31</v>
      </c>
      <c r="M144" t="s">
        <v>6047</v>
      </c>
      <c r="N144" t="s">
        <v>6048</v>
      </c>
      <c r="O144" t="s">
        <v>6049</v>
      </c>
      <c r="P144" t="s">
        <v>6050</v>
      </c>
      <c r="Q144" t="s">
        <v>6051</v>
      </c>
    </row>
    <row r="145" spans="1:17" x14ac:dyDescent="0.25">
      <c r="A145" t="s">
        <v>6052</v>
      </c>
      <c r="B145" t="s">
        <v>6053</v>
      </c>
      <c r="C145" t="s">
        <v>6054</v>
      </c>
      <c r="D145" t="s">
        <v>337</v>
      </c>
      <c r="E145">
        <v>2024</v>
      </c>
      <c r="F145" t="s">
        <v>5117</v>
      </c>
      <c r="G145" t="s">
        <v>5118</v>
      </c>
      <c r="H145" t="s">
        <v>5050</v>
      </c>
      <c r="I145" t="s">
        <v>5059</v>
      </c>
      <c r="J145">
        <v>10963</v>
      </c>
      <c r="K145">
        <v>10977</v>
      </c>
      <c r="L145">
        <v>14</v>
      </c>
      <c r="M145" t="s">
        <v>340</v>
      </c>
      <c r="N145" t="s">
        <v>341</v>
      </c>
      <c r="O145" t="s">
        <v>338</v>
      </c>
      <c r="P145" t="s">
        <v>6055</v>
      </c>
      <c r="Q145" t="s">
        <v>6056</v>
      </c>
    </row>
    <row r="146" spans="1:17" x14ac:dyDescent="0.25">
      <c r="A146" t="s">
        <v>6057</v>
      </c>
      <c r="B146" t="s">
        <v>6058</v>
      </c>
      <c r="C146" t="s">
        <v>6059</v>
      </c>
      <c r="D146" t="s">
        <v>358</v>
      </c>
      <c r="E146">
        <v>2024</v>
      </c>
      <c r="F146" t="s">
        <v>5117</v>
      </c>
      <c r="G146" t="s">
        <v>5118</v>
      </c>
      <c r="H146" t="s">
        <v>5202</v>
      </c>
      <c r="I146" t="s">
        <v>5059</v>
      </c>
      <c r="J146">
        <v>131</v>
      </c>
      <c r="K146">
        <v>146</v>
      </c>
      <c r="L146">
        <v>15</v>
      </c>
      <c r="M146" t="s">
        <v>361</v>
      </c>
      <c r="N146" t="s">
        <v>362</v>
      </c>
      <c r="O146" t="s">
        <v>359</v>
      </c>
      <c r="P146" t="s">
        <v>6060</v>
      </c>
      <c r="Q146" t="s">
        <v>6061</v>
      </c>
    </row>
    <row r="147" spans="1:17" x14ac:dyDescent="0.25">
      <c r="A147" t="s">
        <v>6062</v>
      </c>
      <c r="B147" t="s">
        <v>6063</v>
      </c>
      <c r="C147" t="s">
        <v>6064</v>
      </c>
      <c r="D147" t="s">
        <v>393</v>
      </c>
      <c r="E147">
        <v>2024</v>
      </c>
      <c r="F147" t="s">
        <v>5836</v>
      </c>
      <c r="G147" t="s">
        <v>6065</v>
      </c>
      <c r="H147" t="s">
        <v>5059</v>
      </c>
      <c r="I147" t="s">
        <v>5059</v>
      </c>
      <c r="J147">
        <v>116</v>
      </c>
      <c r="K147">
        <v>123</v>
      </c>
      <c r="L147">
        <v>7</v>
      </c>
      <c r="M147" t="s">
        <v>396</v>
      </c>
      <c r="N147" t="s">
        <v>397</v>
      </c>
      <c r="O147" t="s">
        <v>394</v>
      </c>
      <c r="P147" t="s">
        <v>6066</v>
      </c>
      <c r="Q147" t="s">
        <v>6067</v>
      </c>
    </row>
    <row r="148" spans="1:17" x14ac:dyDescent="0.25">
      <c r="A148" t="s">
        <v>6068</v>
      </c>
      <c r="B148" t="s">
        <v>6069</v>
      </c>
      <c r="C148" t="s">
        <v>6070</v>
      </c>
      <c r="D148" t="s">
        <v>2379</v>
      </c>
      <c r="E148">
        <v>2024</v>
      </c>
      <c r="F148" t="s">
        <v>6071</v>
      </c>
      <c r="G148" t="s">
        <v>5059</v>
      </c>
      <c r="H148" t="s">
        <v>5059</v>
      </c>
      <c r="I148" t="s">
        <v>5059</v>
      </c>
      <c r="M148" t="s">
        <v>5059</v>
      </c>
      <c r="N148" t="s">
        <v>2382</v>
      </c>
      <c r="O148" t="s">
        <v>2380</v>
      </c>
      <c r="P148" t="s">
        <v>5059</v>
      </c>
      <c r="Q148" t="s">
        <v>6072</v>
      </c>
    </row>
    <row r="149" spans="1:17" x14ac:dyDescent="0.25">
      <c r="A149" t="s">
        <v>6073</v>
      </c>
      <c r="B149" t="s">
        <v>6074</v>
      </c>
      <c r="C149" t="s">
        <v>6075</v>
      </c>
      <c r="D149" t="s">
        <v>414</v>
      </c>
      <c r="E149">
        <v>2024</v>
      </c>
      <c r="F149" t="s">
        <v>5186</v>
      </c>
      <c r="G149" t="s">
        <v>5091</v>
      </c>
      <c r="H149" t="s">
        <v>5059</v>
      </c>
      <c r="I149" t="s">
        <v>5059</v>
      </c>
      <c r="J149">
        <v>89887</v>
      </c>
      <c r="K149">
        <v>89907</v>
      </c>
      <c r="L149">
        <v>20</v>
      </c>
      <c r="M149" t="s">
        <v>417</v>
      </c>
      <c r="N149" t="s">
        <v>418</v>
      </c>
      <c r="O149" t="s">
        <v>415</v>
      </c>
      <c r="P149" t="s">
        <v>6076</v>
      </c>
      <c r="Q149" t="s">
        <v>6077</v>
      </c>
    </row>
    <row r="150" spans="1:17" x14ac:dyDescent="0.25">
      <c r="A150" t="s">
        <v>6078</v>
      </c>
      <c r="B150" t="s">
        <v>6079</v>
      </c>
      <c r="C150" t="s">
        <v>6080</v>
      </c>
      <c r="D150" t="s">
        <v>421</v>
      </c>
      <c r="E150">
        <v>2024</v>
      </c>
      <c r="F150" t="s">
        <v>6081</v>
      </c>
      <c r="G150" t="s">
        <v>5059</v>
      </c>
      <c r="H150" t="s">
        <v>5059</v>
      </c>
      <c r="I150" t="s">
        <v>5059</v>
      </c>
      <c r="J150">
        <v>207</v>
      </c>
      <c r="K150">
        <v>212</v>
      </c>
      <c r="L150">
        <v>5</v>
      </c>
      <c r="M150" t="s">
        <v>424</v>
      </c>
      <c r="N150" t="s">
        <v>425</v>
      </c>
      <c r="O150" t="s">
        <v>422</v>
      </c>
      <c r="P150" t="s">
        <v>423</v>
      </c>
      <c r="Q150" t="s">
        <v>6082</v>
      </c>
    </row>
    <row r="151" spans="1:17" x14ac:dyDescent="0.25">
      <c r="A151" t="s">
        <v>6083</v>
      </c>
      <c r="B151" t="s">
        <v>6084</v>
      </c>
      <c r="C151" t="s">
        <v>6085</v>
      </c>
      <c r="D151" t="s">
        <v>2675</v>
      </c>
      <c r="E151">
        <v>2024</v>
      </c>
      <c r="F151" t="s">
        <v>5738</v>
      </c>
      <c r="G151" t="s">
        <v>5070</v>
      </c>
      <c r="H151" t="s">
        <v>5549</v>
      </c>
      <c r="I151" t="s">
        <v>5059</v>
      </c>
      <c r="J151">
        <v>15915</v>
      </c>
      <c r="K151">
        <v>15929</v>
      </c>
      <c r="L151">
        <v>14</v>
      </c>
      <c r="M151" t="s">
        <v>2678</v>
      </c>
      <c r="N151" t="s">
        <v>2679</v>
      </c>
      <c r="O151" t="s">
        <v>2676</v>
      </c>
      <c r="P151" t="s">
        <v>6086</v>
      </c>
      <c r="Q151" t="s">
        <v>6087</v>
      </c>
    </row>
    <row r="152" spans="1:17" x14ac:dyDescent="0.25">
      <c r="A152" t="s">
        <v>6088</v>
      </c>
      <c r="B152" t="s">
        <v>6089</v>
      </c>
      <c r="C152" t="s">
        <v>6090</v>
      </c>
      <c r="D152" t="s">
        <v>429</v>
      </c>
      <c r="E152">
        <v>2024</v>
      </c>
      <c r="F152" t="s">
        <v>5214</v>
      </c>
      <c r="G152" t="s">
        <v>6091</v>
      </c>
      <c r="H152" t="s">
        <v>5059</v>
      </c>
      <c r="I152" t="s">
        <v>5059</v>
      </c>
      <c r="J152">
        <v>109</v>
      </c>
      <c r="K152">
        <v>119</v>
      </c>
      <c r="L152">
        <v>10</v>
      </c>
      <c r="M152" t="s">
        <v>432</v>
      </c>
      <c r="N152" t="s">
        <v>433</v>
      </c>
      <c r="O152" t="s">
        <v>430</v>
      </c>
      <c r="P152" t="s">
        <v>6092</v>
      </c>
      <c r="Q152" t="s">
        <v>6093</v>
      </c>
    </row>
    <row r="153" spans="1:17" x14ac:dyDescent="0.25">
      <c r="A153" t="s">
        <v>6094</v>
      </c>
      <c r="B153" t="s">
        <v>6095</v>
      </c>
      <c r="C153" t="s">
        <v>6096</v>
      </c>
      <c r="D153" t="s">
        <v>450</v>
      </c>
      <c r="E153">
        <v>2024</v>
      </c>
      <c r="F153" t="s">
        <v>6097</v>
      </c>
      <c r="G153" t="s">
        <v>5059</v>
      </c>
      <c r="H153" t="s">
        <v>5059</v>
      </c>
      <c r="I153" t="s">
        <v>5059</v>
      </c>
      <c r="J153">
        <v>538</v>
      </c>
      <c r="K153">
        <v>547</v>
      </c>
      <c r="L153">
        <v>9</v>
      </c>
      <c r="M153" t="s">
        <v>5059</v>
      </c>
      <c r="N153" t="s">
        <v>453</v>
      </c>
      <c r="O153" t="s">
        <v>451</v>
      </c>
      <c r="P153" t="s">
        <v>6098</v>
      </c>
      <c r="Q153" t="s">
        <v>6099</v>
      </c>
    </row>
    <row r="154" spans="1:17" x14ac:dyDescent="0.25">
      <c r="A154" t="s">
        <v>6100</v>
      </c>
      <c r="B154" t="s">
        <v>6101</v>
      </c>
      <c r="C154" t="s">
        <v>6102</v>
      </c>
      <c r="D154" t="s">
        <v>456</v>
      </c>
      <c r="E154">
        <v>2024</v>
      </c>
      <c r="F154" t="s">
        <v>6103</v>
      </c>
      <c r="G154" t="s">
        <v>5059</v>
      </c>
      <c r="H154" t="s">
        <v>5059</v>
      </c>
      <c r="I154" t="s">
        <v>5059</v>
      </c>
      <c r="M154" t="s">
        <v>459</v>
      </c>
      <c r="N154" t="s">
        <v>460</v>
      </c>
      <c r="O154" t="s">
        <v>457</v>
      </c>
      <c r="P154" t="s">
        <v>6104</v>
      </c>
      <c r="Q154" t="s">
        <v>6105</v>
      </c>
    </row>
    <row r="155" spans="1:17" x14ac:dyDescent="0.25">
      <c r="A155" t="s">
        <v>6106</v>
      </c>
      <c r="B155" t="s">
        <v>6107</v>
      </c>
      <c r="C155" t="s">
        <v>6108</v>
      </c>
      <c r="D155" t="s">
        <v>3127</v>
      </c>
      <c r="E155">
        <v>2024</v>
      </c>
      <c r="F155" t="s">
        <v>6109</v>
      </c>
      <c r="G155" t="s">
        <v>5059</v>
      </c>
      <c r="H155" t="s">
        <v>5059</v>
      </c>
      <c r="I155" t="s">
        <v>5059</v>
      </c>
      <c r="J155">
        <v>242</v>
      </c>
      <c r="K155">
        <v>247</v>
      </c>
      <c r="L155">
        <v>5</v>
      </c>
      <c r="M155" t="s">
        <v>3130</v>
      </c>
      <c r="N155" t="s">
        <v>3131</v>
      </c>
      <c r="O155" t="s">
        <v>3128</v>
      </c>
      <c r="P155" t="s">
        <v>6110</v>
      </c>
      <c r="Q155" t="s">
        <v>6111</v>
      </c>
    </row>
    <row r="156" spans="1:17" x14ac:dyDescent="0.25">
      <c r="A156" t="s">
        <v>6112</v>
      </c>
      <c r="B156" t="s">
        <v>6113</v>
      </c>
      <c r="C156" t="s">
        <v>6114</v>
      </c>
      <c r="D156" t="s">
        <v>463</v>
      </c>
      <c r="E156">
        <v>2024</v>
      </c>
      <c r="F156" t="s">
        <v>5132</v>
      </c>
      <c r="G156" t="s">
        <v>5133</v>
      </c>
      <c r="H156" t="s">
        <v>5050</v>
      </c>
      <c r="I156" t="s">
        <v>5059</v>
      </c>
      <c r="J156">
        <v>4873</v>
      </c>
      <c r="K156">
        <v>4886</v>
      </c>
      <c r="L156">
        <v>13</v>
      </c>
      <c r="M156" t="s">
        <v>466</v>
      </c>
      <c r="N156" t="s">
        <v>467</v>
      </c>
      <c r="O156" t="s">
        <v>464</v>
      </c>
      <c r="P156" t="s">
        <v>6115</v>
      </c>
      <c r="Q156" t="s">
        <v>6116</v>
      </c>
    </row>
    <row r="157" spans="1:17" x14ac:dyDescent="0.25">
      <c r="A157" t="s">
        <v>6117</v>
      </c>
      <c r="B157" t="s">
        <v>6118</v>
      </c>
      <c r="C157" t="s">
        <v>6119</v>
      </c>
      <c r="D157" t="s">
        <v>477</v>
      </c>
      <c r="E157">
        <v>2024</v>
      </c>
      <c r="F157" t="s">
        <v>5487</v>
      </c>
      <c r="G157" t="s">
        <v>5549</v>
      </c>
      <c r="H157" t="s">
        <v>5264</v>
      </c>
      <c r="I157" t="s">
        <v>5059</v>
      </c>
      <c r="J157">
        <v>33371</v>
      </c>
      <c r="K157">
        <v>33391</v>
      </c>
      <c r="L157">
        <v>20</v>
      </c>
      <c r="M157" t="s">
        <v>480</v>
      </c>
      <c r="N157" t="s">
        <v>481</v>
      </c>
      <c r="O157" t="s">
        <v>478</v>
      </c>
      <c r="P157" t="s">
        <v>6120</v>
      </c>
      <c r="Q157" t="s">
        <v>6121</v>
      </c>
    </row>
    <row r="158" spans="1:17" x14ac:dyDescent="0.25">
      <c r="A158" t="s">
        <v>6122</v>
      </c>
      <c r="B158" t="s">
        <v>6123</v>
      </c>
      <c r="C158" t="s">
        <v>6124</v>
      </c>
      <c r="D158" t="s">
        <v>3578</v>
      </c>
      <c r="E158">
        <v>2024</v>
      </c>
      <c r="F158" t="s">
        <v>6125</v>
      </c>
      <c r="G158" t="s">
        <v>5059</v>
      </c>
      <c r="H158" t="s">
        <v>5059</v>
      </c>
      <c r="I158" t="s">
        <v>5059</v>
      </c>
      <c r="M158" t="s">
        <v>3581</v>
      </c>
      <c r="N158" t="s">
        <v>3582</v>
      </c>
      <c r="O158" t="s">
        <v>3579</v>
      </c>
      <c r="P158" t="s">
        <v>6126</v>
      </c>
      <c r="Q158" t="s">
        <v>6127</v>
      </c>
    </row>
    <row r="159" spans="1:17" x14ac:dyDescent="0.25">
      <c r="A159" t="s">
        <v>6128</v>
      </c>
      <c r="B159" t="s">
        <v>6129</v>
      </c>
      <c r="C159" t="s">
        <v>6130</v>
      </c>
      <c r="D159" t="s">
        <v>499</v>
      </c>
      <c r="E159">
        <v>2024</v>
      </c>
      <c r="F159" t="s">
        <v>6131</v>
      </c>
      <c r="G159" t="s">
        <v>6132</v>
      </c>
      <c r="H159" t="s">
        <v>5059</v>
      </c>
      <c r="I159" t="s">
        <v>5059</v>
      </c>
      <c r="J159">
        <v>229</v>
      </c>
      <c r="K159">
        <v>236</v>
      </c>
      <c r="L159">
        <v>7</v>
      </c>
      <c r="M159" t="s">
        <v>502</v>
      </c>
      <c r="N159" t="s">
        <v>503</v>
      </c>
      <c r="O159" t="s">
        <v>500</v>
      </c>
      <c r="P159" t="s">
        <v>6133</v>
      </c>
      <c r="Q159" t="s">
        <v>6134</v>
      </c>
    </row>
    <row r="160" spans="1:17" x14ac:dyDescent="0.25">
      <c r="A160" t="s">
        <v>6135</v>
      </c>
      <c r="B160" t="s">
        <v>6136</v>
      </c>
      <c r="C160" t="s">
        <v>5812</v>
      </c>
      <c r="D160" t="s">
        <v>506</v>
      </c>
      <c r="E160">
        <v>2024</v>
      </c>
      <c r="F160" t="s">
        <v>5738</v>
      </c>
      <c r="G160" t="s">
        <v>5070</v>
      </c>
      <c r="H160" t="s">
        <v>5102</v>
      </c>
      <c r="I160" t="s">
        <v>5059</v>
      </c>
      <c r="J160">
        <v>14879</v>
      </c>
      <c r="K160">
        <v>14894</v>
      </c>
      <c r="L160">
        <v>15</v>
      </c>
      <c r="M160" t="s">
        <v>509</v>
      </c>
      <c r="N160" t="s">
        <v>510</v>
      </c>
      <c r="O160" t="s">
        <v>507</v>
      </c>
      <c r="P160" t="s">
        <v>6137</v>
      </c>
      <c r="Q160" t="s">
        <v>6138</v>
      </c>
    </row>
    <row r="161" spans="1:17" x14ac:dyDescent="0.25">
      <c r="A161" t="s">
        <v>6139</v>
      </c>
      <c r="B161" t="s">
        <v>6140</v>
      </c>
      <c r="C161" t="s">
        <v>6141</v>
      </c>
      <c r="D161" t="s">
        <v>3652</v>
      </c>
      <c r="E161">
        <v>2024</v>
      </c>
      <c r="F161" t="s">
        <v>6142</v>
      </c>
      <c r="G161" t="s">
        <v>5059</v>
      </c>
      <c r="H161" t="s">
        <v>5059</v>
      </c>
      <c r="I161" t="s">
        <v>5059</v>
      </c>
      <c r="J161">
        <v>380</v>
      </c>
      <c r="K161">
        <v>389</v>
      </c>
      <c r="L161">
        <v>9</v>
      </c>
      <c r="M161" t="s">
        <v>3655</v>
      </c>
      <c r="N161" t="s">
        <v>3656</v>
      </c>
      <c r="O161" t="s">
        <v>3653</v>
      </c>
      <c r="P161" t="s">
        <v>6143</v>
      </c>
      <c r="Q161" t="s">
        <v>6144</v>
      </c>
    </row>
    <row r="162" spans="1:17" x14ac:dyDescent="0.25">
      <c r="A162" t="s">
        <v>6145</v>
      </c>
      <c r="B162" t="s">
        <v>6146</v>
      </c>
      <c r="C162" t="s">
        <v>6147</v>
      </c>
      <c r="D162" t="s">
        <v>3725</v>
      </c>
      <c r="E162">
        <v>2024</v>
      </c>
      <c r="F162" t="s">
        <v>6148</v>
      </c>
      <c r="G162" t="s">
        <v>5059</v>
      </c>
      <c r="H162" t="s">
        <v>5059</v>
      </c>
      <c r="I162" t="s">
        <v>5059</v>
      </c>
      <c r="M162" t="s">
        <v>3728</v>
      </c>
      <c r="N162" t="s">
        <v>3729</v>
      </c>
      <c r="O162" t="s">
        <v>3726</v>
      </c>
      <c r="P162" t="s">
        <v>6149</v>
      </c>
      <c r="Q162" t="s">
        <v>6150</v>
      </c>
    </row>
    <row r="163" spans="1:17" x14ac:dyDescent="0.25">
      <c r="A163" t="s">
        <v>6151</v>
      </c>
      <c r="B163" t="s">
        <v>6152</v>
      </c>
      <c r="C163" t="s">
        <v>6153</v>
      </c>
      <c r="D163" t="s">
        <v>3807</v>
      </c>
      <c r="E163">
        <v>2024</v>
      </c>
      <c r="F163" t="s">
        <v>6154</v>
      </c>
      <c r="G163" t="s">
        <v>5059</v>
      </c>
      <c r="H163" t="s">
        <v>5059</v>
      </c>
      <c r="I163" t="s">
        <v>5059</v>
      </c>
      <c r="J163">
        <v>1061</v>
      </c>
      <c r="K163">
        <v>1066</v>
      </c>
      <c r="L163">
        <v>5</v>
      </c>
      <c r="M163" t="s">
        <v>3810</v>
      </c>
      <c r="N163" t="s">
        <v>3811</v>
      </c>
      <c r="O163" t="s">
        <v>3808</v>
      </c>
      <c r="P163" t="s">
        <v>6155</v>
      </c>
      <c r="Q163" t="s">
        <v>6156</v>
      </c>
    </row>
    <row r="164" spans="1:17" x14ac:dyDescent="0.25">
      <c r="A164" t="s">
        <v>6157</v>
      </c>
      <c r="B164" t="s">
        <v>6158</v>
      </c>
      <c r="C164" t="s">
        <v>6159</v>
      </c>
      <c r="D164" t="s">
        <v>527</v>
      </c>
      <c r="E164">
        <v>2024</v>
      </c>
      <c r="F164" t="s">
        <v>5186</v>
      </c>
      <c r="G164" t="s">
        <v>5091</v>
      </c>
      <c r="H164" t="s">
        <v>5059</v>
      </c>
      <c r="I164" t="s">
        <v>5059</v>
      </c>
      <c r="J164">
        <v>54202</v>
      </c>
      <c r="K164">
        <v>54219</v>
      </c>
      <c r="L164">
        <v>17</v>
      </c>
      <c r="M164" t="s">
        <v>530</v>
      </c>
      <c r="N164" t="s">
        <v>531</v>
      </c>
      <c r="O164" t="s">
        <v>528</v>
      </c>
      <c r="P164" t="s">
        <v>6160</v>
      </c>
      <c r="Q164" t="s">
        <v>6161</v>
      </c>
    </row>
    <row r="165" spans="1:17" x14ac:dyDescent="0.25">
      <c r="A165" t="s">
        <v>6162</v>
      </c>
      <c r="B165" t="s">
        <v>6163</v>
      </c>
      <c r="C165" t="s">
        <v>6164</v>
      </c>
      <c r="D165" t="s">
        <v>534</v>
      </c>
      <c r="E165">
        <v>2024</v>
      </c>
      <c r="F165" t="s">
        <v>6165</v>
      </c>
      <c r="G165" t="s">
        <v>5059</v>
      </c>
      <c r="H165" t="s">
        <v>5059</v>
      </c>
      <c r="I165" t="s">
        <v>5059</v>
      </c>
      <c r="M165" t="s">
        <v>537</v>
      </c>
      <c r="N165" t="s">
        <v>538</v>
      </c>
      <c r="O165" t="s">
        <v>535</v>
      </c>
      <c r="P165" t="s">
        <v>6166</v>
      </c>
      <c r="Q165" t="s">
        <v>6167</v>
      </c>
    </row>
    <row r="166" spans="1:17" x14ac:dyDescent="0.25">
      <c r="A166" t="s">
        <v>6168</v>
      </c>
      <c r="B166" t="s">
        <v>6169</v>
      </c>
      <c r="C166" t="s">
        <v>6170</v>
      </c>
      <c r="D166" t="s">
        <v>541</v>
      </c>
      <c r="E166">
        <v>2024</v>
      </c>
      <c r="F166" t="s">
        <v>6171</v>
      </c>
      <c r="G166" t="s">
        <v>6172</v>
      </c>
      <c r="H166" t="s">
        <v>5202</v>
      </c>
      <c r="I166" t="s">
        <v>5059</v>
      </c>
      <c r="J166">
        <v>52</v>
      </c>
      <c r="K166">
        <v>67</v>
      </c>
      <c r="L166">
        <v>15</v>
      </c>
      <c r="M166" t="s">
        <v>544</v>
      </c>
      <c r="N166" t="s">
        <v>545</v>
      </c>
      <c r="O166" t="s">
        <v>542</v>
      </c>
      <c r="P166" t="s">
        <v>6173</v>
      </c>
      <c r="Q166" t="s">
        <v>6174</v>
      </c>
    </row>
    <row r="167" spans="1:17" x14ac:dyDescent="0.25">
      <c r="A167" t="s">
        <v>6175</v>
      </c>
      <c r="B167" t="s">
        <v>6176</v>
      </c>
      <c r="C167" t="s">
        <v>6177</v>
      </c>
      <c r="D167" t="s">
        <v>548</v>
      </c>
      <c r="E167">
        <v>2024</v>
      </c>
      <c r="F167" t="s">
        <v>5968</v>
      </c>
      <c r="G167" t="s">
        <v>5059</v>
      </c>
      <c r="H167" t="s">
        <v>5059</v>
      </c>
      <c r="I167" t="s">
        <v>5059</v>
      </c>
      <c r="J167">
        <v>1</v>
      </c>
      <c r="K167">
        <v>1</v>
      </c>
      <c r="L167">
        <v>0</v>
      </c>
      <c r="M167" t="s">
        <v>551</v>
      </c>
      <c r="N167" t="s">
        <v>552</v>
      </c>
      <c r="O167" t="s">
        <v>549</v>
      </c>
      <c r="P167" t="s">
        <v>6178</v>
      </c>
      <c r="Q167" t="s">
        <v>6179</v>
      </c>
    </row>
    <row r="168" spans="1:17" x14ac:dyDescent="0.25">
      <c r="A168" t="s">
        <v>6180</v>
      </c>
      <c r="B168" t="s">
        <v>6181</v>
      </c>
      <c r="C168" t="s">
        <v>6182</v>
      </c>
      <c r="D168" t="s">
        <v>4029</v>
      </c>
      <c r="E168">
        <v>2024</v>
      </c>
      <c r="F168" t="s">
        <v>6183</v>
      </c>
      <c r="G168" t="s">
        <v>5059</v>
      </c>
      <c r="H168" t="s">
        <v>5059</v>
      </c>
      <c r="I168" t="s">
        <v>5059</v>
      </c>
      <c r="J168">
        <v>363</v>
      </c>
      <c r="K168">
        <v>367</v>
      </c>
      <c r="L168">
        <v>4</v>
      </c>
      <c r="M168" t="s">
        <v>4032</v>
      </c>
      <c r="N168" t="s">
        <v>4033</v>
      </c>
      <c r="O168" t="s">
        <v>4030</v>
      </c>
      <c r="P168" t="s">
        <v>6184</v>
      </c>
      <c r="Q168" t="s">
        <v>6185</v>
      </c>
    </row>
    <row r="169" spans="1:17" x14ac:dyDescent="0.25">
      <c r="A169" t="s">
        <v>6186</v>
      </c>
      <c r="B169" t="s">
        <v>6187</v>
      </c>
      <c r="C169" t="s">
        <v>6188</v>
      </c>
      <c r="D169" t="s">
        <v>555</v>
      </c>
      <c r="E169">
        <v>2023</v>
      </c>
      <c r="F169" t="s">
        <v>6189</v>
      </c>
      <c r="G169" t="s">
        <v>6190</v>
      </c>
      <c r="H169" t="s">
        <v>5059</v>
      </c>
      <c r="I169" t="s">
        <v>6191</v>
      </c>
      <c r="M169" t="s">
        <v>558</v>
      </c>
      <c r="N169" t="s">
        <v>559</v>
      </c>
      <c r="O169" t="s">
        <v>556</v>
      </c>
      <c r="P169" t="s">
        <v>6192</v>
      </c>
      <c r="Q169" t="s">
        <v>6193</v>
      </c>
    </row>
    <row r="170" spans="1:17" x14ac:dyDescent="0.25">
      <c r="A170" t="s">
        <v>6194</v>
      </c>
      <c r="B170" t="s">
        <v>6195</v>
      </c>
      <c r="C170" t="s">
        <v>6196</v>
      </c>
      <c r="D170" t="s">
        <v>575</v>
      </c>
      <c r="E170">
        <v>2024</v>
      </c>
      <c r="F170" t="s">
        <v>5186</v>
      </c>
      <c r="G170" t="s">
        <v>5091</v>
      </c>
      <c r="H170" t="s">
        <v>5059</v>
      </c>
      <c r="I170" t="s">
        <v>5059</v>
      </c>
      <c r="J170">
        <v>23081</v>
      </c>
      <c r="K170">
        <v>23095</v>
      </c>
      <c r="L170">
        <v>14</v>
      </c>
      <c r="M170" t="s">
        <v>578</v>
      </c>
      <c r="N170" t="s">
        <v>579</v>
      </c>
      <c r="O170" t="s">
        <v>576</v>
      </c>
      <c r="P170" t="s">
        <v>6197</v>
      </c>
      <c r="Q170" t="s">
        <v>6198</v>
      </c>
    </row>
    <row r="171" spans="1:17" x14ac:dyDescent="0.25">
      <c r="A171" t="s">
        <v>6199</v>
      </c>
      <c r="B171" t="s">
        <v>6200</v>
      </c>
      <c r="C171" t="s">
        <v>6201</v>
      </c>
      <c r="D171" t="s">
        <v>589</v>
      </c>
      <c r="E171">
        <v>2024</v>
      </c>
      <c r="F171" t="s">
        <v>6202</v>
      </c>
      <c r="G171" t="s">
        <v>5059</v>
      </c>
      <c r="H171" t="s">
        <v>5059</v>
      </c>
      <c r="I171" t="s">
        <v>5059</v>
      </c>
      <c r="M171" t="s">
        <v>592</v>
      </c>
      <c r="N171" t="s">
        <v>593</v>
      </c>
      <c r="O171" t="s">
        <v>590</v>
      </c>
      <c r="P171" t="s">
        <v>6203</v>
      </c>
      <c r="Q171" t="s">
        <v>6204</v>
      </c>
    </row>
    <row r="172" spans="1:17" x14ac:dyDescent="0.25">
      <c r="A172" t="s">
        <v>6205</v>
      </c>
      <c r="B172" t="s">
        <v>6206</v>
      </c>
      <c r="C172" t="s">
        <v>6207</v>
      </c>
      <c r="D172" t="s">
        <v>596</v>
      </c>
      <c r="E172">
        <v>2024</v>
      </c>
      <c r="F172" t="s">
        <v>6208</v>
      </c>
      <c r="G172" t="s">
        <v>5059</v>
      </c>
      <c r="H172" t="s">
        <v>5059</v>
      </c>
      <c r="I172" t="s">
        <v>5059</v>
      </c>
      <c r="M172" t="s">
        <v>599</v>
      </c>
      <c r="N172" t="s">
        <v>600</v>
      </c>
      <c r="O172" t="s">
        <v>597</v>
      </c>
      <c r="P172" t="s">
        <v>6209</v>
      </c>
      <c r="Q172" t="s">
        <v>6210</v>
      </c>
    </row>
    <row r="173" spans="1:17" x14ac:dyDescent="0.25">
      <c r="A173" t="s">
        <v>6211</v>
      </c>
      <c r="B173" t="s">
        <v>6212</v>
      </c>
      <c r="C173" t="s">
        <v>6213</v>
      </c>
      <c r="D173" t="s">
        <v>603</v>
      </c>
      <c r="E173">
        <v>2023</v>
      </c>
      <c r="F173" t="s">
        <v>6171</v>
      </c>
      <c r="G173" t="s">
        <v>6214</v>
      </c>
      <c r="H173" t="s">
        <v>5549</v>
      </c>
      <c r="I173" t="s">
        <v>5059</v>
      </c>
      <c r="J173">
        <v>3444</v>
      </c>
      <c r="K173">
        <v>3460</v>
      </c>
      <c r="L173">
        <v>16</v>
      </c>
      <c r="M173" t="s">
        <v>606</v>
      </c>
      <c r="N173" t="s">
        <v>607</v>
      </c>
      <c r="O173" t="s">
        <v>604</v>
      </c>
      <c r="P173" t="s">
        <v>6215</v>
      </c>
      <c r="Q173" t="s">
        <v>6216</v>
      </c>
    </row>
    <row r="174" spans="1:17" x14ac:dyDescent="0.25">
      <c r="A174" t="s">
        <v>6217</v>
      </c>
      <c r="B174" t="s">
        <v>6218</v>
      </c>
      <c r="C174" t="s">
        <v>6219</v>
      </c>
      <c r="D174" t="s">
        <v>4318</v>
      </c>
      <c r="E174">
        <v>2024</v>
      </c>
      <c r="F174" t="s">
        <v>5069</v>
      </c>
      <c r="G174" t="s">
        <v>5070</v>
      </c>
      <c r="H174" t="s">
        <v>5091</v>
      </c>
      <c r="I174" t="s">
        <v>5059</v>
      </c>
      <c r="J174">
        <v>13358</v>
      </c>
      <c r="K174">
        <v>13374</v>
      </c>
      <c r="L174">
        <v>16</v>
      </c>
      <c r="M174" t="s">
        <v>4321</v>
      </c>
      <c r="N174" t="s">
        <v>4322</v>
      </c>
      <c r="O174" t="s">
        <v>4319</v>
      </c>
      <c r="P174" t="s">
        <v>6220</v>
      </c>
      <c r="Q174" t="s">
        <v>6221</v>
      </c>
    </row>
    <row r="175" spans="1:17" x14ac:dyDescent="0.25">
      <c r="A175" t="s">
        <v>6222</v>
      </c>
      <c r="B175" t="s">
        <v>6223</v>
      </c>
      <c r="C175" t="s">
        <v>6224</v>
      </c>
      <c r="D175" t="s">
        <v>610</v>
      </c>
      <c r="E175">
        <v>2024</v>
      </c>
      <c r="F175" t="s">
        <v>6225</v>
      </c>
      <c r="G175" t="s">
        <v>5050</v>
      </c>
      <c r="H175" t="s">
        <v>5180</v>
      </c>
      <c r="I175" t="s">
        <v>5059</v>
      </c>
      <c r="J175">
        <v>1796</v>
      </c>
      <c r="K175">
        <v>1808</v>
      </c>
      <c r="L175">
        <v>12</v>
      </c>
      <c r="M175" t="s">
        <v>613</v>
      </c>
      <c r="N175" t="s">
        <v>614</v>
      </c>
      <c r="O175" t="s">
        <v>611</v>
      </c>
      <c r="P175" t="s">
        <v>6226</v>
      </c>
      <c r="Q175" t="s">
        <v>6227</v>
      </c>
    </row>
    <row r="176" spans="1:17" x14ac:dyDescent="0.25">
      <c r="A176" t="s">
        <v>6228</v>
      </c>
      <c r="B176" t="s">
        <v>6229</v>
      </c>
      <c r="C176" t="s">
        <v>6230</v>
      </c>
      <c r="D176" t="s">
        <v>4461</v>
      </c>
      <c r="E176">
        <v>2024</v>
      </c>
      <c r="F176" t="s">
        <v>6231</v>
      </c>
      <c r="G176" t="s">
        <v>5059</v>
      </c>
      <c r="H176" t="s">
        <v>5059</v>
      </c>
      <c r="I176" t="s">
        <v>5059</v>
      </c>
      <c r="M176" t="s">
        <v>4464</v>
      </c>
      <c r="N176" t="s">
        <v>4465</v>
      </c>
      <c r="O176" t="s">
        <v>4462</v>
      </c>
      <c r="P176" t="s">
        <v>5059</v>
      </c>
      <c r="Q176" t="s">
        <v>6232</v>
      </c>
    </row>
    <row r="177" spans="1:17" x14ac:dyDescent="0.25">
      <c r="A177" t="s">
        <v>6233</v>
      </c>
      <c r="B177" t="s">
        <v>6234</v>
      </c>
      <c r="C177" t="s">
        <v>6235</v>
      </c>
      <c r="D177" t="s">
        <v>617</v>
      </c>
      <c r="E177">
        <v>2023</v>
      </c>
      <c r="F177" t="s">
        <v>6236</v>
      </c>
      <c r="G177" t="s">
        <v>6237</v>
      </c>
      <c r="H177" t="s">
        <v>5059</v>
      </c>
      <c r="I177" t="s">
        <v>6238</v>
      </c>
      <c r="M177" t="s">
        <v>620</v>
      </c>
      <c r="N177" t="s">
        <v>621</v>
      </c>
      <c r="O177" t="s">
        <v>618</v>
      </c>
      <c r="P177" t="s">
        <v>6239</v>
      </c>
      <c r="Q177" t="s">
        <v>6240</v>
      </c>
    </row>
    <row r="178" spans="1:17" x14ac:dyDescent="0.25">
      <c r="A178" t="s">
        <v>5059</v>
      </c>
      <c r="B178" t="s">
        <v>5059</v>
      </c>
      <c r="C178" t="s">
        <v>5059</v>
      </c>
      <c r="D178" t="s">
        <v>630</v>
      </c>
      <c r="E178">
        <v>2024</v>
      </c>
      <c r="F178" t="s">
        <v>5806</v>
      </c>
      <c r="G178" t="s">
        <v>6241</v>
      </c>
      <c r="H178" t="s">
        <v>5059</v>
      </c>
      <c r="I178" t="s">
        <v>5059</v>
      </c>
      <c r="L178">
        <v>708</v>
      </c>
      <c r="M178" t="s">
        <v>5059</v>
      </c>
      <c r="N178" t="s">
        <v>632</v>
      </c>
      <c r="O178" t="s">
        <v>6242</v>
      </c>
      <c r="P178" t="s">
        <v>5059</v>
      </c>
      <c r="Q178" t="s">
        <v>6243</v>
      </c>
    </row>
    <row r="179" spans="1:17" x14ac:dyDescent="0.25">
      <c r="A179" t="s">
        <v>6244</v>
      </c>
      <c r="B179" t="s">
        <v>6245</v>
      </c>
      <c r="C179" t="s">
        <v>6246</v>
      </c>
      <c r="D179" t="s">
        <v>4679</v>
      </c>
      <c r="E179">
        <v>2024</v>
      </c>
      <c r="F179" t="s">
        <v>6247</v>
      </c>
      <c r="G179" t="s">
        <v>5059</v>
      </c>
      <c r="H179" t="s">
        <v>5059</v>
      </c>
      <c r="I179" t="s">
        <v>5059</v>
      </c>
      <c r="M179" t="s">
        <v>4682</v>
      </c>
      <c r="N179" t="s">
        <v>4683</v>
      </c>
      <c r="O179" t="s">
        <v>4680</v>
      </c>
      <c r="P179" t="s">
        <v>6248</v>
      </c>
      <c r="Q179" t="s">
        <v>6249</v>
      </c>
    </row>
    <row r="180" spans="1:17" x14ac:dyDescent="0.25">
      <c r="A180" t="s">
        <v>6250</v>
      </c>
      <c r="B180" t="s">
        <v>6251</v>
      </c>
      <c r="C180" t="s">
        <v>6252</v>
      </c>
      <c r="D180" t="s">
        <v>649</v>
      </c>
      <c r="E180">
        <v>2024</v>
      </c>
      <c r="F180" t="s">
        <v>6253</v>
      </c>
      <c r="G180" t="s">
        <v>5059</v>
      </c>
      <c r="H180" t="s">
        <v>5059</v>
      </c>
      <c r="I180" t="s">
        <v>5059</v>
      </c>
      <c r="J180">
        <v>9021</v>
      </c>
      <c r="K180">
        <v>9025</v>
      </c>
      <c r="L180">
        <v>4</v>
      </c>
      <c r="M180" t="s">
        <v>652</v>
      </c>
      <c r="N180" t="s">
        <v>653</v>
      </c>
      <c r="O180" t="s">
        <v>650</v>
      </c>
      <c r="P180" t="s">
        <v>6254</v>
      </c>
      <c r="Q180" t="s">
        <v>6255</v>
      </c>
    </row>
    <row r="181" spans="1:17" x14ac:dyDescent="0.25">
      <c r="A181" t="s">
        <v>5059</v>
      </c>
      <c r="B181" t="s">
        <v>5059</v>
      </c>
      <c r="C181" t="s">
        <v>5059</v>
      </c>
      <c r="D181" t="s">
        <v>655</v>
      </c>
      <c r="E181">
        <v>2024</v>
      </c>
      <c r="F181" t="s">
        <v>5214</v>
      </c>
      <c r="G181" t="s">
        <v>6091</v>
      </c>
      <c r="H181" t="s">
        <v>5059</v>
      </c>
      <c r="I181" t="s">
        <v>5059</v>
      </c>
      <c r="L181">
        <v>408</v>
      </c>
      <c r="M181" t="s">
        <v>5059</v>
      </c>
      <c r="N181" t="s">
        <v>657</v>
      </c>
      <c r="O181" t="s">
        <v>6256</v>
      </c>
      <c r="P181" t="s">
        <v>5059</v>
      </c>
      <c r="Q181" t="s">
        <v>6257</v>
      </c>
    </row>
    <row r="182" spans="1:17" x14ac:dyDescent="0.25">
      <c r="A182" t="s">
        <v>5059</v>
      </c>
      <c r="B182" t="s">
        <v>5059</v>
      </c>
      <c r="C182" t="s">
        <v>5059</v>
      </c>
      <c r="D182" t="s">
        <v>659</v>
      </c>
      <c r="E182">
        <v>2024</v>
      </c>
      <c r="F182" t="s">
        <v>6258</v>
      </c>
      <c r="G182" t="s">
        <v>6259</v>
      </c>
      <c r="H182" t="s">
        <v>5059</v>
      </c>
      <c r="I182" t="s">
        <v>5059</v>
      </c>
      <c r="L182">
        <v>177</v>
      </c>
      <c r="M182" t="s">
        <v>5059</v>
      </c>
      <c r="N182" t="s">
        <v>661</v>
      </c>
      <c r="O182" t="s">
        <v>660</v>
      </c>
      <c r="P182" t="s">
        <v>5059</v>
      </c>
      <c r="Q182" t="s">
        <v>6260</v>
      </c>
    </row>
    <row r="183" spans="1:17" x14ac:dyDescent="0.25">
      <c r="A183" t="s">
        <v>6261</v>
      </c>
      <c r="B183" t="s">
        <v>6262</v>
      </c>
      <c r="C183" t="s">
        <v>6263</v>
      </c>
      <c r="D183" t="s">
        <v>664</v>
      </c>
      <c r="E183">
        <v>2024</v>
      </c>
      <c r="F183" t="s">
        <v>5214</v>
      </c>
      <c r="G183" t="s">
        <v>6264</v>
      </c>
      <c r="H183" t="s">
        <v>5059</v>
      </c>
      <c r="I183" t="s">
        <v>5059</v>
      </c>
      <c r="J183">
        <v>487</v>
      </c>
      <c r="K183">
        <v>497</v>
      </c>
      <c r="L183">
        <v>10</v>
      </c>
      <c r="M183" t="s">
        <v>667</v>
      </c>
      <c r="N183" t="s">
        <v>668</v>
      </c>
      <c r="O183" t="s">
        <v>665</v>
      </c>
      <c r="P183" t="s">
        <v>6265</v>
      </c>
      <c r="Q183" t="s">
        <v>6266</v>
      </c>
    </row>
    <row r="184" spans="1:17" x14ac:dyDescent="0.25">
      <c r="A184" t="s">
        <v>6267</v>
      </c>
      <c r="B184" t="s">
        <v>6268</v>
      </c>
      <c r="C184" t="s">
        <v>6269</v>
      </c>
      <c r="D184" t="s">
        <v>671</v>
      </c>
      <c r="E184">
        <v>2023</v>
      </c>
      <c r="F184" t="s">
        <v>5049</v>
      </c>
      <c r="G184" t="s">
        <v>5195</v>
      </c>
      <c r="H184" t="s">
        <v>5549</v>
      </c>
      <c r="I184" t="s">
        <v>6270</v>
      </c>
      <c r="M184" t="s">
        <v>674</v>
      </c>
      <c r="N184" t="s">
        <v>675</v>
      </c>
      <c r="O184" t="s">
        <v>672</v>
      </c>
      <c r="P184" t="s">
        <v>6271</v>
      </c>
      <c r="Q184" t="s">
        <v>6272</v>
      </c>
    </row>
    <row r="185" spans="1:17" x14ac:dyDescent="0.25">
      <c r="A185" t="s">
        <v>6273</v>
      </c>
      <c r="B185" t="s">
        <v>6274</v>
      </c>
      <c r="C185" t="s">
        <v>6275</v>
      </c>
      <c r="D185" t="s">
        <v>685</v>
      </c>
      <c r="E185">
        <v>2024</v>
      </c>
      <c r="F185" t="s">
        <v>5186</v>
      </c>
      <c r="G185" t="s">
        <v>5091</v>
      </c>
      <c r="H185" t="s">
        <v>5059</v>
      </c>
      <c r="I185" t="s">
        <v>5059</v>
      </c>
      <c r="J185">
        <v>27344</v>
      </c>
      <c r="K185">
        <v>27355</v>
      </c>
      <c r="L185">
        <v>11</v>
      </c>
      <c r="M185" t="s">
        <v>688</v>
      </c>
      <c r="N185" t="s">
        <v>689</v>
      </c>
      <c r="O185" t="s">
        <v>686</v>
      </c>
      <c r="P185" t="s">
        <v>6276</v>
      </c>
      <c r="Q185" t="s">
        <v>6277</v>
      </c>
    </row>
    <row r="186" spans="1:17" x14ac:dyDescent="0.25">
      <c r="A186" t="s">
        <v>6278</v>
      </c>
      <c r="B186" t="s">
        <v>6279</v>
      </c>
      <c r="C186" t="s">
        <v>6280</v>
      </c>
      <c r="D186" t="s">
        <v>4840</v>
      </c>
      <c r="E186">
        <v>2024</v>
      </c>
      <c r="F186" t="s">
        <v>5472</v>
      </c>
      <c r="G186" t="s">
        <v>5473</v>
      </c>
      <c r="H186" t="s">
        <v>5091</v>
      </c>
      <c r="I186" t="s">
        <v>5059</v>
      </c>
      <c r="J186">
        <v>21343</v>
      </c>
      <c r="K186">
        <v>21355</v>
      </c>
      <c r="L186">
        <v>12</v>
      </c>
      <c r="M186" t="s">
        <v>4843</v>
      </c>
      <c r="N186" t="s">
        <v>4844</v>
      </c>
      <c r="O186" t="s">
        <v>4841</v>
      </c>
      <c r="P186" t="s">
        <v>6281</v>
      </c>
      <c r="Q186" t="s">
        <v>6282</v>
      </c>
    </row>
    <row r="187" spans="1:17" x14ac:dyDescent="0.25">
      <c r="A187" t="s">
        <v>6283</v>
      </c>
      <c r="B187" t="s">
        <v>6284</v>
      </c>
      <c r="C187" t="s">
        <v>6285</v>
      </c>
      <c r="D187" t="s">
        <v>4847</v>
      </c>
      <c r="E187">
        <v>2024</v>
      </c>
      <c r="F187" t="s">
        <v>6286</v>
      </c>
      <c r="G187" t="s">
        <v>5059</v>
      </c>
      <c r="H187" t="s">
        <v>5059</v>
      </c>
      <c r="I187" t="s">
        <v>5059</v>
      </c>
      <c r="M187" t="s">
        <v>4850</v>
      </c>
      <c r="N187" t="s">
        <v>4851</v>
      </c>
      <c r="O187" t="s">
        <v>4848</v>
      </c>
      <c r="P187" t="s">
        <v>6287</v>
      </c>
      <c r="Q187" t="s">
        <v>6288</v>
      </c>
    </row>
    <row r="188" spans="1:17" x14ac:dyDescent="0.25">
      <c r="A188" t="s">
        <v>6289</v>
      </c>
      <c r="B188" t="s">
        <v>6290</v>
      </c>
      <c r="C188" t="s">
        <v>6291</v>
      </c>
      <c r="D188" t="s">
        <v>4861</v>
      </c>
      <c r="E188">
        <v>2024</v>
      </c>
      <c r="F188" t="s">
        <v>6148</v>
      </c>
      <c r="G188" t="s">
        <v>5059</v>
      </c>
      <c r="H188" t="s">
        <v>5059</v>
      </c>
      <c r="I188" t="s">
        <v>5059</v>
      </c>
      <c r="M188" t="s">
        <v>4864</v>
      </c>
      <c r="N188" t="s">
        <v>4865</v>
      </c>
      <c r="O188" t="s">
        <v>4862</v>
      </c>
      <c r="P188" t="s">
        <v>6292</v>
      </c>
      <c r="Q188" t="s">
        <v>6293</v>
      </c>
    </row>
    <row r="189" spans="1:17" x14ac:dyDescent="0.25">
      <c r="A189" t="s">
        <v>6294</v>
      </c>
      <c r="B189" t="s">
        <v>6295</v>
      </c>
      <c r="C189" t="s">
        <v>6296</v>
      </c>
      <c r="D189" t="s">
        <v>4868</v>
      </c>
      <c r="E189">
        <v>2024</v>
      </c>
      <c r="F189" t="s">
        <v>5214</v>
      </c>
      <c r="G189" t="s">
        <v>6297</v>
      </c>
      <c r="H189" t="s">
        <v>5059</v>
      </c>
      <c r="I189" t="s">
        <v>5059</v>
      </c>
      <c r="J189">
        <v>116</v>
      </c>
      <c r="K189">
        <v>124</v>
      </c>
      <c r="L189">
        <v>8</v>
      </c>
      <c r="M189" t="s">
        <v>4871</v>
      </c>
      <c r="N189" t="s">
        <v>4872</v>
      </c>
      <c r="O189" t="s">
        <v>4869</v>
      </c>
      <c r="P189" t="s">
        <v>6298</v>
      </c>
      <c r="Q189" t="s">
        <v>6299</v>
      </c>
    </row>
    <row r="190" spans="1:17" x14ac:dyDescent="0.25">
      <c r="A190" t="s">
        <v>5059</v>
      </c>
      <c r="B190" t="s">
        <v>5059</v>
      </c>
      <c r="C190" t="s">
        <v>5059</v>
      </c>
      <c r="D190" t="s">
        <v>630</v>
      </c>
      <c r="E190">
        <v>2024</v>
      </c>
      <c r="F190" t="s">
        <v>5806</v>
      </c>
      <c r="G190" t="s">
        <v>6300</v>
      </c>
      <c r="H190" t="s">
        <v>5059</v>
      </c>
      <c r="I190" t="s">
        <v>5059</v>
      </c>
      <c r="L190">
        <v>708</v>
      </c>
      <c r="M190" t="s">
        <v>5059</v>
      </c>
      <c r="N190" t="s">
        <v>714</v>
      </c>
      <c r="O190" t="s">
        <v>6242</v>
      </c>
      <c r="P190" t="s">
        <v>5059</v>
      </c>
      <c r="Q190" t="s">
        <v>6301</v>
      </c>
    </row>
    <row r="191" spans="1:17" x14ac:dyDescent="0.25">
      <c r="A191" t="s">
        <v>6302</v>
      </c>
      <c r="B191" t="s">
        <v>6303</v>
      </c>
      <c r="C191" t="s">
        <v>6304</v>
      </c>
      <c r="D191" t="s">
        <v>717</v>
      </c>
      <c r="E191">
        <v>2023</v>
      </c>
      <c r="F191" t="s">
        <v>5487</v>
      </c>
      <c r="G191" t="s">
        <v>5102</v>
      </c>
      <c r="H191" t="s">
        <v>5156</v>
      </c>
      <c r="I191" t="s">
        <v>5059</v>
      </c>
      <c r="J191">
        <v>22356</v>
      </c>
      <c r="K191">
        <v>22370</v>
      </c>
      <c r="L191">
        <v>14</v>
      </c>
      <c r="M191" t="s">
        <v>720</v>
      </c>
      <c r="N191" t="s">
        <v>721</v>
      </c>
      <c r="O191" t="s">
        <v>718</v>
      </c>
      <c r="P191" t="s">
        <v>6305</v>
      </c>
      <c r="Q191" t="s">
        <v>6306</v>
      </c>
    </row>
    <row r="192" spans="1:17" x14ac:dyDescent="0.25">
      <c r="A192" t="s">
        <v>6307</v>
      </c>
      <c r="B192" t="s">
        <v>6308</v>
      </c>
      <c r="C192" t="s">
        <v>6309</v>
      </c>
      <c r="D192" t="s">
        <v>731</v>
      </c>
      <c r="E192">
        <v>2024</v>
      </c>
      <c r="F192" t="s">
        <v>6081</v>
      </c>
      <c r="G192" t="s">
        <v>5059</v>
      </c>
      <c r="H192" t="s">
        <v>5059</v>
      </c>
      <c r="I192" t="s">
        <v>5059</v>
      </c>
      <c r="J192">
        <v>141</v>
      </c>
      <c r="K192">
        <v>146</v>
      </c>
      <c r="L192">
        <v>5</v>
      </c>
      <c r="M192" t="s">
        <v>734</v>
      </c>
      <c r="N192" t="s">
        <v>735</v>
      </c>
      <c r="O192" t="s">
        <v>732</v>
      </c>
      <c r="P192" t="s">
        <v>733</v>
      </c>
      <c r="Q192" t="s">
        <v>6310</v>
      </c>
    </row>
    <row r="193" spans="1:17" x14ac:dyDescent="0.25">
      <c r="A193" t="s">
        <v>6311</v>
      </c>
      <c r="B193" t="s">
        <v>6312</v>
      </c>
      <c r="C193" t="s">
        <v>6313</v>
      </c>
      <c r="D193" t="s">
        <v>738</v>
      </c>
      <c r="E193">
        <v>2024</v>
      </c>
      <c r="F193" t="s">
        <v>5186</v>
      </c>
      <c r="G193" t="s">
        <v>5091</v>
      </c>
      <c r="H193" t="s">
        <v>5059</v>
      </c>
      <c r="I193" t="s">
        <v>5059</v>
      </c>
      <c r="J193">
        <v>11642</v>
      </c>
      <c r="K193">
        <v>11652</v>
      </c>
      <c r="L193">
        <v>10</v>
      </c>
      <c r="M193" t="s">
        <v>741</v>
      </c>
      <c r="N193" t="s">
        <v>742</v>
      </c>
      <c r="O193" t="s">
        <v>739</v>
      </c>
      <c r="P193" t="s">
        <v>6314</v>
      </c>
      <c r="Q193" t="s">
        <v>6315</v>
      </c>
    </row>
    <row r="194" spans="1:17" x14ac:dyDescent="0.25">
      <c r="A194" t="s">
        <v>6316</v>
      </c>
      <c r="B194" t="s">
        <v>6317</v>
      </c>
      <c r="C194" t="s">
        <v>6318</v>
      </c>
      <c r="D194" t="s">
        <v>4910</v>
      </c>
      <c r="E194">
        <v>2024</v>
      </c>
      <c r="F194" t="s">
        <v>6319</v>
      </c>
      <c r="G194" t="s">
        <v>5059</v>
      </c>
      <c r="H194" t="s">
        <v>5059</v>
      </c>
      <c r="I194" t="s">
        <v>5059</v>
      </c>
      <c r="J194">
        <v>7328</v>
      </c>
      <c r="K194">
        <v>7337</v>
      </c>
      <c r="L194">
        <v>9</v>
      </c>
      <c r="M194" t="s">
        <v>4913</v>
      </c>
      <c r="N194" t="s">
        <v>4914</v>
      </c>
      <c r="O194" t="s">
        <v>4911</v>
      </c>
      <c r="P194" t="s">
        <v>6320</v>
      </c>
      <c r="Q194" t="s">
        <v>6321</v>
      </c>
    </row>
    <row r="195" spans="1:17" x14ac:dyDescent="0.25">
      <c r="A195" t="s">
        <v>6322</v>
      </c>
      <c r="B195" t="s">
        <v>6323</v>
      </c>
      <c r="C195" t="s">
        <v>6324</v>
      </c>
      <c r="D195" t="s">
        <v>4917</v>
      </c>
      <c r="E195">
        <v>2024</v>
      </c>
      <c r="F195" t="s">
        <v>6325</v>
      </c>
      <c r="G195" t="s">
        <v>5291</v>
      </c>
      <c r="H195" t="s">
        <v>5180</v>
      </c>
      <c r="I195" t="s">
        <v>5059</v>
      </c>
      <c r="J195">
        <v>313</v>
      </c>
      <c r="K195">
        <v>321</v>
      </c>
      <c r="L195">
        <v>8</v>
      </c>
      <c r="M195" t="s">
        <v>4920</v>
      </c>
      <c r="N195" t="s">
        <v>4921</v>
      </c>
      <c r="O195" t="s">
        <v>4918</v>
      </c>
      <c r="P195" t="s">
        <v>6326</v>
      </c>
      <c r="Q195" t="s">
        <v>6327</v>
      </c>
    </row>
    <row r="196" spans="1:17" x14ac:dyDescent="0.25">
      <c r="A196" t="s">
        <v>6328</v>
      </c>
      <c r="B196" t="s">
        <v>6329</v>
      </c>
      <c r="C196" t="s">
        <v>6330</v>
      </c>
      <c r="D196" t="s">
        <v>745</v>
      </c>
      <c r="E196">
        <v>2024</v>
      </c>
      <c r="F196" t="s">
        <v>5186</v>
      </c>
      <c r="G196" t="s">
        <v>5091</v>
      </c>
      <c r="H196" t="s">
        <v>5059</v>
      </c>
      <c r="I196" t="s">
        <v>5059</v>
      </c>
      <c r="J196">
        <v>38685</v>
      </c>
      <c r="K196">
        <v>38699</v>
      </c>
      <c r="L196">
        <v>14</v>
      </c>
      <c r="M196" t="s">
        <v>748</v>
      </c>
      <c r="N196" t="s">
        <v>749</v>
      </c>
      <c r="O196" t="s">
        <v>746</v>
      </c>
      <c r="P196" t="s">
        <v>6331</v>
      </c>
      <c r="Q196" t="s">
        <v>6332</v>
      </c>
    </row>
    <row r="197" spans="1:17" x14ac:dyDescent="0.25">
      <c r="A197" t="s">
        <v>6333</v>
      </c>
      <c r="B197" t="s">
        <v>6334</v>
      </c>
      <c r="C197" t="s">
        <v>6335</v>
      </c>
      <c r="D197" t="s">
        <v>4924</v>
      </c>
      <c r="E197">
        <v>2024</v>
      </c>
      <c r="F197" t="s">
        <v>6336</v>
      </c>
      <c r="G197" t="s">
        <v>5059</v>
      </c>
      <c r="H197" t="s">
        <v>5059</v>
      </c>
      <c r="I197" t="s">
        <v>5059</v>
      </c>
      <c r="M197" t="s">
        <v>4927</v>
      </c>
      <c r="N197" t="s">
        <v>4928</v>
      </c>
      <c r="O197" t="s">
        <v>4925</v>
      </c>
      <c r="P197" t="s">
        <v>6337</v>
      </c>
      <c r="Q197" t="s">
        <v>6338</v>
      </c>
    </row>
    <row r="198" spans="1:17" x14ac:dyDescent="0.25">
      <c r="A198" t="s">
        <v>6339</v>
      </c>
      <c r="B198" t="s">
        <v>6340</v>
      </c>
      <c r="C198" t="s">
        <v>6341</v>
      </c>
      <c r="D198" t="s">
        <v>4945</v>
      </c>
      <c r="E198">
        <v>2024</v>
      </c>
      <c r="F198" t="s">
        <v>6342</v>
      </c>
      <c r="G198" t="s">
        <v>5059</v>
      </c>
      <c r="H198" t="s">
        <v>5059</v>
      </c>
      <c r="I198" t="s">
        <v>5059</v>
      </c>
      <c r="M198" t="s">
        <v>4948</v>
      </c>
      <c r="N198" t="s">
        <v>4949</v>
      </c>
      <c r="O198" t="s">
        <v>4946</v>
      </c>
      <c r="P198" t="s">
        <v>6343</v>
      </c>
      <c r="Q198" t="s">
        <v>6344</v>
      </c>
    </row>
    <row r="199" spans="1:17" x14ac:dyDescent="0.25">
      <c r="A199" t="s">
        <v>6345</v>
      </c>
      <c r="B199" t="s">
        <v>6346</v>
      </c>
      <c r="C199" t="s">
        <v>6347</v>
      </c>
      <c r="D199" t="s">
        <v>4952</v>
      </c>
      <c r="E199">
        <v>2024</v>
      </c>
      <c r="F199" t="s">
        <v>6348</v>
      </c>
      <c r="G199" t="s">
        <v>6349</v>
      </c>
      <c r="H199" t="s">
        <v>5754</v>
      </c>
      <c r="I199" t="s">
        <v>5059</v>
      </c>
      <c r="J199">
        <v>2026</v>
      </c>
      <c r="K199">
        <v>2030</v>
      </c>
      <c r="L199">
        <v>4</v>
      </c>
      <c r="M199" t="s">
        <v>4955</v>
      </c>
      <c r="N199" t="s">
        <v>4956</v>
      </c>
      <c r="O199" t="s">
        <v>4953</v>
      </c>
      <c r="P199" t="s">
        <v>6350</v>
      </c>
      <c r="Q199" t="s">
        <v>6351</v>
      </c>
    </row>
    <row r="200" spans="1:17" x14ac:dyDescent="0.25">
      <c r="A200" t="s">
        <v>6352</v>
      </c>
      <c r="B200" t="s">
        <v>6353</v>
      </c>
      <c r="C200" t="s">
        <v>6354</v>
      </c>
      <c r="D200" t="s">
        <v>759</v>
      </c>
      <c r="E200">
        <v>2024</v>
      </c>
      <c r="F200" t="s">
        <v>6355</v>
      </c>
      <c r="G200" t="s">
        <v>5059</v>
      </c>
      <c r="H200" t="s">
        <v>5059</v>
      </c>
      <c r="I200" t="s">
        <v>5059</v>
      </c>
      <c r="J200">
        <v>881</v>
      </c>
      <c r="K200">
        <v>886</v>
      </c>
      <c r="L200">
        <v>5</v>
      </c>
      <c r="M200" t="s">
        <v>762</v>
      </c>
      <c r="N200" t="s">
        <v>763</v>
      </c>
      <c r="O200" t="s">
        <v>760</v>
      </c>
      <c r="P200" t="s">
        <v>6356</v>
      </c>
      <c r="Q200" t="s">
        <v>6357</v>
      </c>
    </row>
    <row r="201" spans="1:17" x14ac:dyDescent="0.25">
      <c r="A201" t="s">
        <v>6358</v>
      </c>
      <c r="B201" t="s">
        <v>6359</v>
      </c>
      <c r="C201" t="s">
        <v>6360</v>
      </c>
      <c r="D201" t="s">
        <v>766</v>
      </c>
      <c r="E201">
        <v>2024</v>
      </c>
      <c r="F201" t="s">
        <v>6361</v>
      </c>
      <c r="G201" t="s">
        <v>6362</v>
      </c>
      <c r="H201" t="s">
        <v>5367</v>
      </c>
      <c r="I201" t="s">
        <v>5059</v>
      </c>
      <c r="J201">
        <v>90</v>
      </c>
      <c r="K201">
        <v>97</v>
      </c>
      <c r="L201">
        <v>7</v>
      </c>
      <c r="M201" t="s">
        <v>769</v>
      </c>
      <c r="N201" t="s">
        <v>770</v>
      </c>
      <c r="O201" t="s">
        <v>767</v>
      </c>
      <c r="P201" t="s">
        <v>5059</v>
      </c>
      <c r="Q201" t="s">
        <v>6363</v>
      </c>
    </row>
    <row r="202" spans="1:17" x14ac:dyDescent="0.25">
      <c r="A202" t="s">
        <v>6364</v>
      </c>
      <c r="B202" t="s">
        <v>6365</v>
      </c>
      <c r="C202" t="s">
        <v>6366</v>
      </c>
      <c r="D202" t="s">
        <v>801</v>
      </c>
      <c r="E202">
        <v>2023</v>
      </c>
      <c r="F202" t="s">
        <v>6367</v>
      </c>
      <c r="G202" t="s">
        <v>6368</v>
      </c>
      <c r="H202" t="s">
        <v>5463</v>
      </c>
      <c r="I202" t="s">
        <v>5059</v>
      </c>
      <c r="J202">
        <v>195</v>
      </c>
      <c r="K202">
        <v>202</v>
      </c>
      <c r="L202">
        <v>7</v>
      </c>
      <c r="M202" t="s">
        <v>804</v>
      </c>
      <c r="N202" t="s">
        <v>805</v>
      </c>
      <c r="O202" t="s">
        <v>802</v>
      </c>
      <c r="P202" t="s">
        <v>6369</v>
      </c>
      <c r="Q202" t="s">
        <v>6370</v>
      </c>
    </row>
    <row r="203" spans="1:17" x14ac:dyDescent="0.25">
      <c r="A203" t="s">
        <v>6371</v>
      </c>
      <c r="B203" t="s">
        <v>6372</v>
      </c>
      <c r="C203" t="s">
        <v>6373</v>
      </c>
      <c r="D203" t="s">
        <v>808</v>
      </c>
      <c r="E203">
        <v>2023</v>
      </c>
      <c r="F203" t="s">
        <v>5214</v>
      </c>
      <c r="G203" t="s">
        <v>6374</v>
      </c>
      <c r="H203" t="s">
        <v>5059</v>
      </c>
      <c r="I203" t="s">
        <v>5059</v>
      </c>
      <c r="J203">
        <v>369</v>
      </c>
      <c r="K203">
        <v>380</v>
      </c>
      <c r="L203">
        <v>11</v>
      </c>
      <c r="M203" t="s">
        <v>811</v>
      </c>
      <c r="N203" t="s">
        <v>812</v>
      </c>
      <c r="O203" t="s">
        <v>809</v>
      </c>
      <c r="P203" t="s">
        <v>6375</v>
      </c>
      <c r="Q203" t="s">
        <v>6376</v>
      </c>
    </row>
    <row r="204" spans="1:17" x14ac:dyDescent="0.25">
      <c r="A204" t="s">
        <v>6377</v>
      </c>
      <c r="B204" t="s">
        <v>6378</v>
      </c>
      <c r="C204" t="s">
        <v>6379</v>
      </c>
      <c r="D204" t="s">
        <v>47</v>
      </c>
      <c r="E204">
        <v>2023</v>
      </c>
      <c r="F204" t="s">
        <v>6380</v>
      </c>
      <c r="G204" t="s">
        <v>5754</v>
      </c>
      <c r="H204" t="s">
        <v>5051</v>
      </c>
      <c r="I204" t="s">
        <v>6381</v>
      </c>
      <c r="M204" t="s">
        <v>50</v>
      </c>
      <c r="N204" t="s">
        <v>51</v>
      </c>
      <c r="O204" t="s">
        <v>48</v>
      </c>
      <c r="P204" t="s">
        <v>49</v>
      </c>
      <c r="Q204" t="s">
        <v>6382</v>
      </c>
    </row>
    <row r="205" spans="1:17" x14ac:dyDescent="0.25">
      <c r="A205" t="s">
        <v>6383</v>
      </c>
      <c r="B205" t="s">
        <v>6384</v>
      </c>
      <c r="C205" t="s">
        <v>6385</v>
      </c>
      <c r="D205" t="s">
        <v>815</v>
      </c>
      <c r="E205">
        <v>2023</v>
      </c>
      <c r="F205" t="s">
        <v>6386</v>
      </c>
      <c r="G205" t="s">
        <v>5059</v>
      </c>
      <c r="H205" t="s">
        <v>5059</v>
      </c>
      <c r="I205" t="s">
        <v>5059</v>
      </c>
      <c r="M205" t="s">
        <v>818</v>
      </c>
      <c r="N205" t="s">
        <v>819</v>
      </c>
      <c r="O205" t="s">
        <v>816</v>
      </c>
      <c r="P205" t="s">
        <v>6387</v>
      </c>
      <c r="Q205" t="s">
        <v>6388</v>
      </c>
    </row>
    <row r="206" spans="1:17" x14ac:dyDescent="0.25">
      <c r="A206" t="s">
        <v>6389</v>
      </c>
      <c r="B206" t="s">
        <v>6390</v>
      </c>
      <c r="C206" t="s">
        <v>6391</v>
      </c>
      <c r="D206" t="s">
        <v>822</v>
      </c>
      <c r="E206">
        <v>2023</v>
      </c>
      <c r="F206" t="s">
        <v>6392</v>
      </c>
      <c r="G206" t="s">
        <v>5059</v>
      </c>
      <c r="H206" t="s">
        <v>5059</v>
      </c>
      <c r="I206" t="s">
        <v>5059</v>
      </c>
      <c r="M206" t="s">
        <v>825</v>
      </c>
      <c r="N206" t="s">
        <v>826</v>
      </c>
      <c r="O206" t="s">
        <v>823</v>
      </c>
      <c r="P206" t="s">
        <v>6393</v>
      </c>
      <c r="Q206" t="s">
        <v>6394</v>
      </c>
    </row>
    <row r="207" spans="1:17" x14ac:dyDescent="0.25">
      <c r="A207" t="s">
        <v>6395</v>
      </c>
      <c r="B207" t="s">
        <v>6396</v>
      </c>
      <c r="C207" t="s">
        <v>6397</v>
      </c>
      <c r="D207" t="s">
        <v>829</v>
      </c>
      <c r="E207">
        <v>2023</v>
      </c>
      <c r="F207" t="s">
        <v>6398</v>
      </c>
      <c r="G207" t="s">
        <v>6399</v>
      </c>
      <c r="H207" t="s">
        <v>5059</v>
      </c>
      <c r="I207" t="s">
        <v>6400</v>
      </c>
      <c r="M207" t="s">
        <v>832</v>
      </c>
      <c r="N207" t="s">
        <v>833</v>
      </c>
      <c r="O207" t="s">
        <v>830</v>
      </c>
      <c r="P207" t="s">
        <v>6401</v>
      </c>
      <c r="Q207" t="s">
        <v>6402</v>
      </c>
    </row>
    <row r="208" spans="1:17" x14ac:dyDescent="0.25">
      <c r="A208" t="s">
        <v>6403</v>
      </c>
      <c r="B208" t="s">
        <v>6404</v>
      </c>
      <c r="C208" t="s">
        <v>6405</v>
      </c>
      <c r="D208" t="s">
        <v>836</v>
      </c>
      <c r="E208">
        <v>2023</v>
      </c>
      <c r="F208" t="s">
        <v>6406</v>
      </c>
      <c r="G208" t="s">
        <v>5059</v>
      </c>
      <c r="H208" t="s">
        <v>5059</v>
      </c>
      <c r="I208" t="s">
        <v>5059</v>
      </c>
      <c r="J208">
        <v>351</v>
      </c>
      <c r="K208">
        <v>352</v>
      </c>
      <c r="L208">
        <v>1</v>
      </c>
      <c r="M208" t="s">
        <v>839</v>
      </c>
      <c r="N208" t="s">
        <v>840</v>
      </c>
      <c r="O208" t="s">
        <v>837</v>
      </c>
      <c r="P208" t="s">
        <v>6407</v>
      </c>
      <c r="Q208" t="s">
        <v>6408</v>
      </c>
    </row>
    <row r="209" spans="1:17" x14ac:dyDescent="0.25">
      <c r="A209" t="s">
        <v>6409</v>
      </c>
      <c r="B209" t="s">
        <v>6410</v>
      </c>
      <c r="C209" t="s">
        <v>6411</v>
      </c>
      <c r="D209" t="s">
        <v>857</v>
      </c>
      <c r="E209">
        <v>2023</v>
      </c>
      <c r="F209" t="s">
        <v>6412</v>
      </c>
      <c r="G209" t="s">
        <v>5059</v>
      </c>
      <c r="H209" t="s">
        <v>5059</v>
      </c>
      <c r="I209" t="s">
        <v>5059</v>
      </c>
      <c r="J209">
        <v>1746</v>
      </c>
      <c r="K209">
        <v>1752</v>
      </c>
      <c r="L209">
        <v>6</v>
      </c>
      <c r="M209" t="s">
        <v>860</v>
      </c>
      <c r="N209" t="s">
        <v>861</v>
      </c>
      <c r="O209" t="s">
        <v>858</v>
      </c>
      <c r="P209" t="s">
        <v>6413</v>
      </c>
      <c r="Q209" t="s">
        <v>6414</v>
      </c>
    </row>
    <row r="210" spans="1:17" x14ac:dyDescent="0.25">
      <c r="A210" t="s">
        <v>6415</v>
      </c>
      <c r="B210" t="s">
        <v>6416</v>
      </c>
      <c r="C210" t="s">
        <v>6417</v>
      </c>
      <c r="D210" t="s">
        <v>871</v>
      </c>
      <c r="E210">
        <v>2023</v>
      </c>
      <c r="F210" t="s">
        <v>6418</v>
      </c>
      <c r="G210" t="s">
        <v>5180</v>
      </c>
      <c r="H210" t="s">
        <v>5059</v>
      </c>
      <c r="I210" t="s">
        <v>5059</v>
      </c>
      <c r="J210">
        <v>921</v>
      </c>
      <c r="K210">
        <v>935</v>
      </c>
      <c r="L210">
        <v>14</v>
      </c>
      <c r="M210" t="s">
        <v>874</v>
      </c>
      <c r="N210" t="s">
        <v>875</v>
      </c>
      <c r="O210" t="s">
        <v>872</v>
      </c>
      <c r="P210" t="s">
        <v>6419</v>
      </c>
      <c r="Q210" t="s">
        <v>6420</v>
      </c>
    </row>
    <row r="211" spans="1:17" x14ac:dyDescent="0.25">
      <c r="A211" t="s">
        <v>6421</v>
      </c>
      <c r="B211" t="s">
        <v>6422</v>
      </c>
      <c r="C211" t="s">
        <v>6423</v>
      </c>
      <c r="D211" t="s">
        <v>878</v>
      </c>
      <c r="E211">
        <v>2023</v>
      </c>
      <c r="F211" t="s">
        <v>6131</v>
      </c>
      <c r="G211" t="s">
        <v>6424</v>
      </c>
      <c r="H211" t="s">
        <v>5059</v>
      </c>
      <c r="I211" t="s">
        <v>5059</v>
      </c>
      <c r="J211">
        <v>737</v>
      </c>
      <c r="K211">
        <v>748</v>
      </c>
      <c r="L211">
        <v>11</v>
      </c>
      <c r="M211" t="s">
        <v>881</v>
      </c>
      <c r="N211" t="s">
        <v>882</v>
      </c>
      <c r="O211" t="s">
        <v>879</v>
      </c>
      <c r="P211" t="s">
        <v>6425</v>
      </c>
      <c r="Q211" t="s">
        <v>6426</v>
      </c>
    </row>
    <row r="212" spans="1:17" x14ac:dyDescent="0.25">
      <c r="A212" t="s">
        <v>6427</v>
      </c>
      <c r="B212" t="s">
        <v>6428</v>
      </c>
      <c r="C212" t="s">
        <v>6429</v>
      </c>
      <c r="D212" t="s">
        <v>885</v>
      </c>
      <c r="E212">
        <v>2023</v>
      </c>
      <c r="F212" t="s">
        <v>6430</v>
      </c>
      <c r="G212" t="s">
        <v>6431</v>
      </c>
      <c r="H212" t="s">
        <v>5202</v>
      </c>
      <c r="I212" t="s">
        <v>6432</v>
      </c>
      <c r="M212" t="s">
        <v>888</v>
      </c>
      <c r="N212" t="s">
        <v>889</v>
      </c>
      <c r="O212" t="s">
        <v>886</v>
      </c>
      <c r="P212" t="s">
        <v>887</v>
      </c>
      <c r="Q212" t="s">
        <v>6433</v>
      </c>
    </row>
    <row r="213" spans="1:17" x14ac:dyDescent="0.25">
      <c r="A213" t="s">
        <v>6434</v>
      </c>
      <c r="B213" t="s">
        <v>6435</v>
      </c>
      <c r="C213" t="s">
        <v>6436</v>
      </c>
      <c r="D213" t="s">
        <v>138</v>
      </c>
      <c r="E213">
        <v>2023</v>
      </c>
      <c r="F213" t="s">
        <v>6437</v>
      </c>
      <c r="G213" t="s">
        <v>6438</v>
      </c>
      <c r="H213" t="s">
        <v>5050</v>
      </c>
      <c r="I213" t="s">
        <v>5059</v>
      </c>
      <c r="J213">
        <v>984</v>
      </c>
      <c r="K213">
        <v>991</v>
      </c>
      <c r="L213">
        <v>7</v>
      </c>
      <c r="M213" t="s">
        <v>141</v>
      </c>
      <c r="N213" t="s">
        <v>142</v>
      </c>
      <c r="O213" t="s">
        <v>139</v>
      </c>
      <c r="P213" t="s">
        <v>140</v>
      </c>
      <c r="Q213" t="s">
        <v>6439</v>
      </c>
    </row>
    <row r="214" spans="1:17" x14ac:dyDescent="0.25">
      <c r="A214" t="s">
        <v>6440</v>
      </c>
      <c r="B214" t="s">
        <v>6441</v>
      </c>
      <c r="C214" t="s">
        <v>6442</v>
      </c>
      <c r="D214" t="s">
        <v>166</v>
      </c>
      <c r="E214">
        <v>2023</v>
      </c>
      <c r="F214" t="s">
        <v>5049</v>
      </c>
      <c r="G214" t="s">
        <v>5195</v>
      </c>
      <c r="H214" t="s">
        <v>5050</v>
      </c>
      <c r="I214" t="s">
        <v>6443</v>
      </c>
      <c r="M214" t="s">
        <v>169</v>
      </c>
      <c r="N214" t="s">
        <v>170</v>
      </c>
      <c r="O214" t="s">
        <v>167</v>
      </c>
      <c r="P214" t="s">
        <v>6444</v>
      </c>
      <c r="Q214" t="s">
        <v>6445</v>
      </c>
    </row>
    <row r="215" spans="1:17" x14ac:dyDescent="0.25">
      <c r="A215" t="s">
        <v>6446</v>
      </c>
      <c r="B215" t="s">
        <v>6447</v>
      </c>
      <c r="C215" t="s">
        <v>6448</v>
      </c>
      <c r="D215" t="s">
        <v>906</v>
      </c>
      <c r="E215">
        <v>2023</v>
      </c>
      <c r="F215" t="s">
        <v>6449</v>
      </c>
      <c r="G215" t="s">
        <v>5059</v>
      </c>
      <c r="H215" t="s">
        <v>5059</v>
      </c>
      <c r="I215" t="s">
        <v>5059</v>
      </c>
      <c r="M215" t="s">
        <v>909</v>
      </c>
      <c r="N215" t="s">
        <v>910</v>
      </c>
      <c r="O215" t="s">
        <v>907</v>
      </c>
      <c r="P215" t="s">
        <v>6450</v>
      </c>
      <c r="Q215" t="s">
        <v>6451</v>
      </c>
    </row>
    <row r="216" spans="1:17" x14ac:dyDescent="0.25">
      <c r="A216" t="s">
        <v>6452</v>
      </c>
      <c r="B216" t="s">
        <v>6453</v>
      </c>
      <c r="C216" t="s">
        <v>6454</v>
      </c>
      <c r="D216" t="s">
        <v>173</v>
      </c>
      <c r="E216">
        <v>2023</v>
      </c>
      <c r="F216" t="s">
        <v>6455</v>
      </c>
      <c r="G216" t="s">
        <v>6456</v>
      </c>
      <c r="H216" t="s">
        <v>5059</v>
      </c>
      <c r="I216" t="s">
        <v>6457</v>
      </c>
      <c r="M216" t="s">
        <v>176</v>
      </c>
      <c r="N216" t="s">
        <v>177</v>
      </c>
      <c r="O216" t="s">
        <v>174</v>
      </c>
      <c r="P216" t="s">
        <v>6458</v>
      </c>
      <c r="Q216" t="s">
        <v>6459</v>
      </c>
    </row>
    <row r="217" spans="1:17" x14ac:dyDescent="0.25">
      <c r="A217" t="s">
        <v>6460</v>
      </c>
      <c r="B217" t="s">
        <v>6461</v>
      </c>
      <c r="C217" t="s">
        <v>6462</v>
      </c>
      <c r="D217" t="s">
        <v>913</v>
      </c>
      <c r="E217">
        <v>2023</v>
      </c>
      <c r="F217" t="s">
        <v>6463</v>
      </c>
      <c r="G217" t="s">
        <v>5103</v>
      </c>
      <c r="H217" t="s">
        <v>5059</v>
      </c>
      <c r="I217" t="s">
        <v>5059</v>
      </c>
      <c r="J217">
        <v>244</v>
      </c>
      <c r="K217">
        <v>253</v>
      </c>
      <c r="L217">
        <v>9</v>
      </c>
      <c r="M217" t="s">
        <v>916</v>
      </c>
      <c r="N217" t="s">
        <v>917</v>
      </c>
      <c r="O217" t="s">
        <v>914</v>
      </c>
      <c r="P217" t="s">
        <v>5059</v>
      </c>
      <c r="Q217" t="s">
        <v>6464</v>
      </c>
    </row>
    <row r="218" spans="1:17" x14ac:dyDescent="0.25">
      <c r="A218" t="s">
        <v>6465</v>
      </c>
      <c r="B218" t="s">
        <v>6466</v>
      </c>
      <c r="C218" t="s">
        <v>6467</v>
      </c>
      <c r="D218" t="s">
        <v>201</v>
      </c>
      <c r="E218">
        <v>2023</v>
      </c>
      <c r="F218" t="s">
        <v>5049</v>
      </c>
      <c r="G218" t="s">
        <v>5195</v>
      </c>
      <c r="H218" t="s">
        <v>5180</v>
      </c>
      <c r="I218" t="s">
        <v>6468</v>
      </c>
      <c r="M218" t="s">
        <v>204</v>
      </c>
      <c r="N218" t="s">
        <v>205</v>
      </c>
      <c r="O218" t="s">
        <v>202</v>
      </c>
      <c r="P218" t="s">
        <v>6469</v>
      </c>
      <c r="Q218" t="s">
        <v>6470</v>
      </c>
    </row>
    <row r="219" spans="1:17" x14ac:dyDescent="0.25">
      <c r="A219" t="s">
        <v>6471</v>
      </c>
      <c r="B219" t="s">
        <v>6472</v>
      </c>
      <c r="C219" t="s">
        <v>6473</v>
      </c>
      <c r="D219" t="s">
        <v>920</v>
      </c>
      <c r="E219">
        <v>2023</v>
      </c>
      <c r="F219" t="s">
        <v>6474</v>
      </c>
      <c r="G219" t="s">
        <v>5059</v>
      </c>
      <c r="H219" t="s">
        <v>5059</v>
      </c>
      <c r="I219" t="s">
        <v>5059</v>
      </c>
      <c r="J219">
        <v>282</v>
      </c>
      <c r="K219">
        <v>287</v>
      </c>
      <c r="L219">
        <v>5</v>
      </c>
      <c r="M219" t="s">
        <v>923</v>
      </c>
      <c r="N219" t="s">
        <v>924</v>
      </c>
      <c r="O219" t="s">
        <v>921</v>
      </c>
      <c r="P219" t="s">
        <v>6475</v>
      </c>
      <c r="Q219" t="s">
        <v>6476</v>
      </c>
    </row>
    <row r="220" spans="1:17" x14ac:dyDescent="0.25">
      <c r="A220" t="s">
        <v>6477</v>
      </c>
      <c r="B220" t="s">
        <v>6478</v>
      </c>
      <c r="C220" t="s">
        <v>6479</v>
      </c>
      <c r="D220" t="s">
        <v>927</v>
      </c>
      <c r="E220">
        <v>2023</v>
      </c>
      <c r="F220" t="s">
        <v>4157</v>
      </c>
      <c r="G220" t="s">
        <v>6480</v>
      </c>
      <c r="H220" t="s">
        <v>5059</v>
      </c>
      <c r="I220" t="s">
        <v>6481</v>
      </c>
      <c r="M220" t="s">
        <v>930</v>
      </c>
      <c r="N220" t="s">
        <v>931</v>
      </c>
      <c r="O220" t="s">
        <v>928</v>
      </c>
      <c r="P220" t="s">
        <v>6482</v>
      </c>
      <c r="Q220" t="s">
        <v>6483</v>
      </c>
    </row>
    <row r="221" spans="1:17" x14ac:dyDescent="0.25">
      <c r="A221" t="s">
        <v>6484</v>
      </c>
      <c r="B221" t="s">
        <v>6485</v>
      </c>
      <c r="C221" t="s">
        <v>6486</v>
      </c>
      <c r="D221" t="s">
        <v>236</v>
      </c>
      <c r="E221">
        <v>2023</v>
      </c>
      <c r="F221" t="s">
        <v>6487</v>
      </c>
      <c r="G221" t="s">
        <v>6362</v>
      </c>
      <c r="H221" t="s">
        <v>5367</v>
      </c>
      <c r="I221" t="s">
        <v>5059</v>
      </c>
      <c r="J221">
        <v>28</v>
      </c>
      <c r="K221">
        <v>77</v>
      </c>
      <c r="L221">
        <v>49</v>
      </c>
      <c r="M221" t="s">
        <v>238</v>
      </c>
      <c r="N221" t="s">
        <v>239</v>
      </c>
      <c r="O221" t="s">
        <v>6488</v>
      </c>
      <c r="P221" t="s">
        <v>5059</v>
      </c>
      <c r="Q221" t="s">
        <v>6489</v>
      </c>
    </row>
    <row r="222" spans="1:17" x14ac:dyDescent="0.25">
      <c r="A222" t="s">
        <v>6490</v>
      </c>
      <c r="B222" t="s">
        <v>6491</v>
      </c>
      <c r="C222" t="s">
        <v>6492</v>
      </c>
      <c r="D222" t="s">
        <v>934</v>
      </c>
      <c r="E222">
        <v>2023</v>
      </c>
      <c r="F222" t="s">
        <v>6493</v>
      </c>
      <c r="G222" t="s">
        <v>6494</v>
      </c>
      <c r="H222" t="s">
        <v>5059</v>
      </c>
      <c r="I222" t="s">
        <v>5059</v>
      </c>
      <c r="M222" t="s">
        <v>937</v>
      </c>
      <c r="N222" t="s">
        <v>938</v>
      </c>
      <c r="O222" t="s">
        <v>935</v>
      </c>
      <c r="P222" t="s">
        <v>6495</v>
      </c>
      <c r="Q222" t="s">
        <v>6496</v>
      </c>
    </row>
    <row r="223" spans="1:17" x14ac:dyDescent="0.25">
      <c r="A223" t="s">
        <v>6497</v>
      </c>
      <c r="B223" t="s">
        <v>6498</v>
      </c>
      <c r="C223" t="s">
        <v>6499</v>
      </c>
      <c r="D223" t="s">
        <v>249</v>
      </c>
      <c r="E223">
        <v>2023</v>
      </c>
      <c r="F223" t="s">
        <v>5049</v>
      </c>
      <c r="G223" t="s">
        <v>5195</v>
      </c>
      <c r="H223" t="s">
        <v>5180</v>
      </c>
      <c r="I223" t="s">
        <v>6500</v>
      </c>
      <c r="M223" t="s">
        <v>252</v>
      </c>
      <c r="N223" t="s">
        <v>253</v>
      </c>
      <c r="O223" t="s">
        <v>250</v>
      </c>
      <c r="P223" t="s">
        <v>6501</v>
      </c>
      <c r="Q223" t="s">
        <v>6502</v>
      </c>
    </row>
    <row r="224" spans="1:17" x14ac:dyDescent="0.25">
      <c r="A224" t="s">
        <v>6503</v>
      </c>
      <c r="B224" t="s">
        <v>6504</v>
      </c>
      <c r="C224" t="s">
        <v>6505</v>
      </c>
      <c r="D224" t="s">
        <v>267</v>
      </c>
      <c r="E224">
        <v>2023</v>
      </c>
      <c r="F224" t="s">
        <v>5117</v>
      </c>
      <c r="G224" t="s">
        <v>5133</v>
      </c>
      <c r="H224" t="s">
        <v>5050</v>
      </c>
      <c r="I224" t="s">
        <v>5059</v>
      </c>
      <c r="J224">
        <v>10906</v>
      </c>
      <c r="K224">
        <v>10920</v>
      </c>
      <c r="L224">
        <v>14</v>
      </c>
      <c r="M224" t="s">
        <v>270</v>
      </c>
      <c r="N224" t="s">
        <v>271</v>
      </c>
      <c r="O224" t="s">
        <v>268</v>
      </c>
      <c r="P224" t="s">
        <v>6506</v>
      </c>
      <c r="Q224" t="s">
        <v>6507</v>
      </c>
    </row>
    <row r="225" spans="1:17" x14ac:dyDescent="0.25">
      <c r="A225" t="s">
        <v>6508</v>
      </c>
      <c r="B225" t="s">
        <v>6509</v>
      </c>
      <c r="C225" t="s">
        <v>6510</v>
      </c>
      <c r="D225" t="s">
        <v>948</v>
      </c>
      <c r="E225">
        <v>2023</v>
      </c>
      <c r="F225" t="s">
        <v>6511</v>
      </c>
      <c r="G225" t="s">
        <v>5059</v>
      </c>
      <c r="H225" t="s">
        <v>5059</v>
      </c>
      <c r="I225" t="s">
        <v>5059</v>
      </c>
      <c r="J225">
        <v>1</v>
      </c>
      <c r="K225">
        <v>6</v>
      </c>
      <c r="L225">
        <v>5</v>
      </c>
      <c r="M225" t="s">
        <v>951</v>
      </c>
      <c r="N225" t="s">
        <v>952</v>
      </c>
      <c r="O225" t="s">
        <v>949</v>
      </c>
      <c r="P225" t="s">
        <v>6512</v>
      </c>
      <c r="Q225" t="s">
        <v>6513</v>
      </c>
    </row>
    <row r="226" spans="1:17" x14ac:dyDescent="0.25">
      <c r="A226" t="s">
        <v>6514</v>
      </c>
      <c r="B226" t="s">
        <v>6515</v>
      </c>
      <c r="C226" t="s">
        <v>6516</v>
      </c>
      <c r="D226" t="s">
        <v>955</v>
      </c>
      <c r="E226">
        <v>2023</v>
      </c>
      <c r="F226" t="s">
        <v>6517</v>
      </c>
      <c r="G226" t="s">
        <v>5059</v>
      </c>
      <c r="H226" t="s">
        <v>5059</v>
      </c>
      <c r="I226" t="s">
        <v>5059</v>
      </c>
      <c r="M226" t="s">
        <v>958</v>
      </c>
      <c r="N226" t="s">
        <v>959</v>
      </c>
      <c r="O226" t="s">
        <v>956</v>
      </c>
      <c r="P226" t="s">
        <v>5059</v>
      </c>
      <c r="Q226" t="s">
        <v>6518</v>
      </c>
    </row>
    <row r="227" spans="1:17" x14ac:dyDescent="0.25">
      <c r="A227" t="s">
        <v>6519</v>
      </c>
      <c r="B227" t="s">
        <v>6520</v>
      </c>
      <c r="C227" t="s">
        <v>6521</v>
      </c>
      <c r="D227" t="s">
        <v>962</v>
      </c>
      <c r="E227">
        <v>2023</v>
      </c>
      <c r="F227" t="s">
        <v>6522</v>
      </c>
      <c r="G227" t="s">
        <v>5050</v>
      </c>
      <c r="H227" t="s">
        <v>5180</v>
      </c>
      <c r="I227" t="s">
        <v>5059</v>
      </c>
      <c r="J227">
        <v>2221</v>
      </c>
      <c r="K227">
        <v>2228</v>
      </c>
      <c r="L227">
        <v>7</v>
      </c>
      <c r="M227" t="s">
        <v>965</v>
      </c>
      <c r="N227" t="s">
        <v>966</v>
      </c>
      <c r="O227" t="s">
        <v>963</v>
      </c>
      <c r="P227" t="s">
        <v>6523</v>
      </c>
      <c r="Q227" t="s">
        <v>6524</v>
      </c>
    </row>
    <row r="228" spans="1:17" x14ac:dyDescent="0.25">
      <c r="A228" t="s">
        <v>6525</v>
      </c>
      <c r="B228" t="s">
        <v>6526</v>
      </c>
      <c r="C228" t="s">
        <v>6527</v>
      </c>
      <c r="D228" t="s">
        <v>969</v>
      </c>
      <c r="E228">
        <v>2023</v>
      </c>
      <c r="F228" t="s">
        <v>6528</v>
      </c>
      <c r="G228" t="s">
        <v>5059</v>
      </c>
      <c r="H228" t="s">
        <v>5059</v>
      </c>
      <c r="I228" t="s">
        <v>5059</v>
      </c>
      <c r="J228">
        <v>814</v>
      </c>
      <c r="K228">
        <v>819</v>
      </c>
      <c r="L228">
        <v>5</v>
      </c>
      <c r="M228" t="s">
        <v>972</v>
      </c>
      <c r="N228" t="s">
        <v>973</v>
      </c>
      <c r="O228" t="s">
        <v>970</v>
      </c>
      <c r="P228" t="s">
        <v>6529</v>
      </c>
      <c r="Q228" t="s">
        <v>6530</v>
      </c>
    </row>
    <row r="229" spans="1:17" x14ac:dyDescent="0.25">
      <c r="A229" t="s">
        <v>6531</v>
      </c>
      <c r="B229" t="s">
        <v>6532</v>
      </c>
      <c r="C229" t="s">
        <v>6533</v>
      </c>
      <c r="D229" t="s">
        <v>344</v>
      </c>
      <c r="E229">
        <v>2023</v>
      </c>
      <c r="F229" t="s">
        <v>6534</v>
      </c>
      <c r="G229" t="s">
        <v>6456</v>
      </c>
      <c r="H229" t="s">
        <v>5059</v>
      </c>
      <c r="I229" t="s">
        <v>6535</v>
      </c>
      <c r="M229" t="s">
        <v>347</v>
      </c>
      <c r="N229" t="s">
        <v>348</v>
      </c>
      <c r="O229" t="s">
        <v>345</v>
      </c>
      <c r="P229" t="s">
        <v>6536</v>
      </c>
      <c r="Q229" t="s">
        <v>6537</v>
      </c>
    </row>
    <row r="230" spans="1:17" x14ac:dyDescent="0.25">
      <c r="A230" t="s">
        <v>6538</v>
      </c>
      <c r="B230" t="s">
        <v>6539</v>
      </c>
      <c r="C230" t="s">
        <v>6540</v>
      </c>
      <c r="D230" t="s">
        <v>351</v>
      </c>
      <c r="E230">
        <v>2023</v>
      </c>
      <c r="F230" t="s">
        <v>6541</v>
      </c>
      <c r="G230" t="s">
        <v>6542</v>
      </c>
      <c r="H230" t="s">
        <v>5103</v>
      </c>
      <c r="I230" t="s">
        <v>5059</v>
      </c>
      <c r="J230">
        <v>145</v>
      </c>
      <c r="K230">
        <v>156</v>
      </c>
      <c r="L230">
        <v>11</v>
      </c>
      <c r="M230" t="s">
        <v>354</v>
      </c>
      <c r="N230" t="s">
        <v>355</v>
      </c>
      <c r="O230" t="s">
        <v>352</v>
      </c>
      <c r="P230" t="s">
        <v>6543</v>
      </c>
      <c r="Q230" t="s">
        <v>6544</v>
      </c>
    </row>
    <row r="231" spans="1:17" x14ac:dyDescent="0.25">
      <c r="A231" t="s">
        <v>6545</v>
      </c>
      <c r="B231" t="s">
        <v>6546</v>
      </c>
      <c r="C231" t="s">
        <v>6547</v>
      </c>
      <c r="D231" t="s">
        <v>976</v>
      </c>
      <c r="E231">
        <v>2023</v>
      </c>
      <c r="F231" t="s">
        <v>6548</v>
      </c>
      <c r="G231" t="s">
        <v>5059</v>
      </c>
      <c r="H231" t="s">
        <v>5059</v>
      </c>
      <c r="I231" t="s">
        <v>5059</v>
      </c>
      <c r="J231">
        <v>80</v>
      </c>
      <c r="K231">
        <v>85</v>
      </c>
      <c r="L231">
        <v>5</v>
      </c>
      <c r="M231" t="s">
        <v>979</v>
      </c>
      <c r="N231" t="s">
        <v>980</v>
      </c>
      <c r="O231" t="s">
        <v>977</v>
      </c>
      <c r="P231" t="s">
        <v>6549</v>
      </c>
      <c r="Q231" t="s">
        <v>6550</v>
      </c>
    </row>
    <row r="232" spans="1:17" x14ac:dyDescent="0.25">
      <c r="A232" t="s">
        <v>6551</v>
      </c>
      <c r="B232" t="s">
        <v>6552</v>
      </c>
      <c r="C232" t="s">
        <v>6553</v>
      </c>
      <c r="D232" t="s">
        <v>990</v>
      </c>
      <c r="E232">
        <v>2023</v>
      </c>
      <c r="F232" t="s">
        <v>6258</v>
      </c>
      <c r="G232" t="s">
        <v>6554</v>
      </c>
      <c r="H232" t="s">
        <v>5059</v>
      </c>
      <c r="I232" t="s">
        <v>5059</v>
      </c>
      <c r="J232">
        <v>99</v>
      </c>
      <c r="K232">
        <v>115</v>
      </c>
      <c r="L232">
        <v>16</v>
      </c>
      <c r="M232" t="s">
        <v>993</v>
      </c>
      <c r="N232" t="s">
        <v>994</v>
      </c>
      <c r="O232" t="s">
        <v>991</v>
      </c>
      <c r="P232" t="s">
        <v>6555</v>
      </c>
      <c r="Q232" t="s">
        <v>6556</v>
      </c>
    </row>
    <row r="233" spans="1:17" x14ac:dyDescent="0.25">
      <c r="A233" t="s">
        <v>5059</v>
      </c>
      <c r="B233" t="s">
        <v>5059</v>
      </c>
      <c r="C233" t="s">
        <v>5059</v>
      </c>
      <c r="D233" t="s">
        <v>996</v>
      </c>
      <c r="E233">
        <v>2023</v>
      </c>
      <c r="F233" t="s">
        <v>996</v>
      </c>
      <c r="G233" t="s">
        <v>5059</v>
      </c>
      <c r="H233" t="s">
        <v>5059</v>
      </c>
      <c r="I233" t="s">
        <v>5059</v>
      </c>
      <c r="L233">
        <v>139</v>
      </c>
      <c r="M233" t="s">
        <v>5059</v>
      </c>
      <c r="N233" t="s">
        <v>998</v>
      </c>
      <c r="O233" t="s">
        <v>6557</v>
      </c>
      <c r="P233" t="s">
        <v>5059</v>
      </c>
      <c r="Q233" t="s">
        <v>6558</v>
      </c>
    </row>
    <row r="234" spans="1:17" x14ac:dyDescent="0.25">
      <c r="A234" t="s">
        <v>5190</v>
      </c>
      <c r="B234" t="s">
        <v>6559</v>
      </c>
      <c r="C234" t="s">
        <v>5192</v>
      </c>
      <c r="D234" t="s">
        <v>1000</v>
      </c>
      <c r="E234">
        <v>2023</v>
      </c>
      <c r="F234" t="s">
        <v>6560</v>
      </c>
      <c r="G234" t="s">
        <v>5059</v>
      </c>
      <c r="H234" t="s">
        <v>5059</v>
      </c>
      <c r="I234" t="s">
        <v>5059</v>
      </c>
      <c r="J234">
        <v>273</v>
      </c>
      <c r="K234">
        <v>277</v>
      </c>
      <c r="L234">
        <v>4</v>
      </c>
      <c r="M234" t="s">
        <v>1003</v>
      </c>
      <c r="N234" t="s">
        <v>1004</v>
      </c>
      <c r="O234" t="s">
        <v>1001</v>
      </c>
      <c r="P234" t="s">
        <v>6561</v>
      </c>
      <c r="Q234" t="s">
        <v>6562</v>
      </c>
    </row>
    <row r="235" spans="1:17" x14ac:dyDescent="0.25">
      <c r="A235" t="s">
        <v>6563</v>
      </c>
      <c r="B235" t="s">
        <v>6564</v>
      </c>
      <c r="C235" t="s">
        <v>6565</v>
      </c>
      <c r="D235" t="s">
        <v>365</v>
      </c>
      <c r="E235">
        <v>2023</v>
      </c>
      <c r="F235" t="s">
        <v>5290</v>
      </c>
      <c r="G235" t="s">
        <v>5091</v>
      </c>
      <c r="H235" t="s">
        <v>5291</v>
      </c>
      <c r="I235" t="s">
        <v>6566</v>
      </c>
      <c r="M235" t="s">
        <v>368</v>
      </c>
      <c r="N235" t="s">
        <v>369</v>
      </c>
      <c r="O235" t="s">
        <v>366</v>
      </c>
      <c r="P235" t="s">
        <v>367</v>
      </c>
      <c r="Q235" t="s">
        <v>6567</v>
      </c>
    </row>
    <row r="236" spans="1:17" x14ac:dyDescent="0.25">
      <c r="A236" t="s">
        <v>6568</v>
      </c>
      <c r="B236" t="s">
        <v>6569</v>
      </c>
      <c r="C236" t="s">
        <v>6570</v>
      </c>
      <c r="D236" t="s">
        <v>372</v>
      </c>
      <c r="E236">
        <v>2023</v>
      </c>
      <c r="F236" t="s">
        <v>6571</v>
      </c>
      <c r="G236" t="s">
        <v>5179</v>
      </c>
      <c r="H236" t="s">
        <v>5367</v>
      </c>
      <c r="I236" t="s">
        <v>5059</v>
      </c>
      <c r="J236">
        <v>2454</v>
      </c>
      <c r="K236">
        <v>2472</v>
      </c>
      <c r="L236">
        <v>18</v>
      </c>
      <c r="M236" t="s">
        <v>375</v>
      </c>
      <c r="N236" t="s">
        <v>376</v>
      </c>
      <c r="O236" t="s">
        <v>373</v>
      </c>
      <c r="P236" t="s">
        <v>6572</v>
      </c>
      <c r="Q236" t="s">
        <v>6573</v>
      </c>
    </row>
    <row r="237" spans="1:17" x14ac:dyDescent="0.25">
      <c r="A237" t="s">
        <v>6574</v>
      </c>
      <c r="B237" t="s">
        <v>6575</v>
      </c>
      <c r="C237" t="s">
        <v>6576</v>
      </c>
      <c r="D237" t="s">
        <v>379</v>
      </c>
      <c r="E237">
        <v>2023</v>
      </c>
      <c r="F237" t="s">
        <v>6225</v>
      </c>
      <c r="G237" t="s">
        <v>5195</v>
      </c>
      <c r="H237" t="s">
        <v>5103</v>
      </c>
      <c r="I237" t="s">
        <v>5059</v>
      </c>
      <c r="J237">
        <v>787</v>
      </c>
      <c r="K237">
        <v>799</v>
      </c>
      <c r="L237">
        <v>12</v>
      </c>
      <c r="M237" t="s">
        <v>382</v>
      </c>
      <c r="N237" t="s">
        <v>383</v>
      </c>
      <c r="O237" t="s">
        <v>380</v>
      </c>
      <c r="P237" t="s">
        <v>6577</v>
      </c>
      <c r="Q237" t="s">
        <v>6578</v>
      </c>
    </row>
    <row r="238" spans="1:17" x14ac:dyDescent="0.25">
      <c r="A238" t="s">
        <v>6579</v>
      </c>
      <c r="B238" t="s">
        <v>6580</v>
      </c>
      <c r="C238" t="s">
        <v>6581</v>
      </c>
      <c r="D238" t="s">
        <v>386</v>
      </c>
      <c r="E238">
        <v>2023</v>
      </c>
      <c r="F238" t="s">
        <v>5117</v>
      </c>
      <c r="G238" t="s">
        <v>5133</v>
      </c>
      <c r="H238" t="s">
        <v>5050</v>
      </c>
      <c r="I238" t="s">
        <v>5059</v>
      </c>
      <c r="J238">
        <v>10682</v>
      </c>
      <c r="K238">
        <v>10695</v>
      </c>
      <c r="L238">
        <v>13</v>
      </c>
      <c r="M238" t="s">
        <v>389</v>
      </c>
      <c r="N238" t="s">
        <v>390</v>
      </c>
      <c r="O238" t="s">
        <v>387</v>
      </c>
      <c r="P238" t="s">
        <v>6582</v>
      </c>
      <c r="Q238" t="s">
        <v>6583</v>
      </c>
    </row>
    <row r="239" spans="1:17" x14ac:dyDescent="0.25">
      <c r="A239" t="s">
        <v>6584</v>
      </c>
      <c r="B239" t="s">
        <v>6585</v>
      </c>
      <c r="C239" t="s">
        <v>6586</v>
      </c>
      <c r="D239" t="s">
        <v>1007</v>
      </c>
      <c r="E239">
        <v>2023</v>
      </c>
      <c r="F239" t="s">
        <v>6587</v>
      </c>
      <c r="G239" t="s">
        <v>5225</v>
      </c>
      <c r="H239" t="s">
        <v>5202</v>
      </c>
      <c r="I239" t="s">
        <v>5059</v>
      </c>
      <c r="M239" t="s">
        <v>1010</v>
      </c>
      <c r="N239" t="s">
        <v>1011</v>
      </c>
      <c r="O239" t="s">
        <v>1008</v>
      </c>
      <c r="P239" t="s">
        <v>1009</v>
      </c>
      <c r="Q239" t="s">
        <v>6588</v>
      </c>
    </row>
    <row r="240" spans="1:17" x14ac:dyDescent="0.25">
      <c r="A240" t="s">
        <v>6589</v>
      </c>
      <c r="B240" t="s">
        <v>6590</v>
      </c>
      <c r="C240" t="s">
        <v>6591</v>
      </c>
      <c r="D240" t="s">
        <v>1021</v>
      </c>
      <c r="E240">
        <v>2023</v>
      </c>
      <c r="F240" t="s">
        <v>6592</v>
      </c>
      <c r="G240" t="s">
        <v>5264</v>
      </c>
      <c r="H240" t="s">
        <v>5103</v>
      </c>
      <c r="I240" t="s">
        <v>5059</v>
      </c>
      <c r="J240">
        <v>1541</v>
      </c>
      <c r="K240">
        <v>1558</v>
      </c>
      <c r="L240">
        <v>17</v>
      </c>
      <c r="M240" t="s">
        <v>1024</v>
      </c>
      <c r="N240" t="s">
        <v>1025</v>
      </c>
      <c r="O240" t="s">
        <v>1022</v>
      </c>
      <c r="P240" t="s">
        <v>6593</v>
      </c>
      <c r="Q240" t="s">
        <v>6594</v>
      </c>
    </row>
    <row r="241" spans="1:17" x14ac:dyDescent="0.25">
      <c r="A241" t="s">
        <v>6595</v>
      </c>
      <c r="B241" t="s">
        <v>6596</v>
      </c>
      <c r="C241" t="s">
        <v>6597</v>
      </c>
      <c r="D241" t="s">
        <v>1028</v>
      </c>
      <c r="E241">
        <v>2023</v>
      </c>
      <c r="F241" t="s">
        <v>4157</v>
      </c>
      <c r="G241" t="s">
        <v>6598</v>
      </c>
      <c r="H241" t="s">
        <v>5059</v>
      </c>
      <c r="I241" t="s">
        <v>6599</v>
      </c>
      <c r="M241" t="s">
        <v>1031</v>
      </c>
      <c r="N241" t="s">
        <v>1032</v>
      </c>
      <c r="O241" t="s">
        <v>1029</v>
      </c>
      <c r="P241" t="s">
        <v>6600</v>
      </c>
      <c r="Q241" t="s">
        <v>6601</v>
      </c>
    </row>
    <row r="242" spans="1:17" x14ac:dyDescent="0.25">
      <c r="A242" t="s">
        <v>6602</v>
      </c>
      <c r="B242" t="s">
        <v>6603</v>
      </c>
      <c r="C242" t="s">
        <v>6604</v>
      </c>
      <c r="D242" t="s">
        <v>1035</v>
      </c>
      <c r="E242">
        <v>2023</v>
      </c>
      <c r="F242" t="s">
        <v>5329</v>
      </c>
      <c r="G242" t="s">
        <v>6605</v>
      </c>
      <c r="H242" t="s">
        <v>5059</v>
      </c>
      <c r="I242" t="s">
        <v>6606</v>
      </c>
      <c r="M242" t="s">
        <v>1038</v>
      </c>
      <c r="N242" t="s">
        <v>1039</v>
      </c>
      <c r="O242" t="s">
        <v>1036</v>
      </c>
      <c r="P242" t="s">
        <v>1037</v>
      </c>
      <c r="Q242" t="s">
        <v>6607</v>
      </c>
    </row>
    <row r="243" spans="1:17" x14ac:dyDescent="0.25">
      <c r="A243" t="s">
        <v>6608</v>
      </c>
      <c r="B243" t="s">
        <v>6609</v>
      </c>
      <c r="C243" t="s">
        <v>6610</v>
      </c>
      <c r="D243" t="s">
        <v>400</v>
      </c>
      <c r="E243">
        <v>2023</v>
      </c>
      <c r="F243" t="s">
        <v>5049</v>
      </c>
      <c r="G243" t="s">
        <v>5195</v>
      </c>
      <c r="H243" t="s">
        <v>5195</v>
      </c>
      <c r="I243" t="s">
        <v>6611</v>
      </c>
      <c r="M243" t="s">
        <v>403</v>
      </c>
      <c r="N243" t="s">
        <v>404</v>
      </c>
      <c r="O243" t="s">
        <v>401</v>
      </c>
      <c r="P243" t="s">
        <v>6612</v>
      </c>
      <c r="Q243" t="s">
        <v>6613</v>
      </c>
    </row>
    <row r="244" spans="1:17" x14ac:dyDescent="0.25">
      <c r="A244" t="s">
        <v>6614</v>
      </c>
      <c r="B244" t="s">
        <v>6615</v>
      </c>
      <c r="C244" t="s">
        <v>6616</v>
      </c>
      <c r="D244" t="s">
        <v>1049</v>
      </c>
      <c r="E244">
        <v>2023</v>
      </c>
      <c r="F244" t="s">
        <v>6617</v>
      </c>
      <c r="G244" t="s">
        <v>5059</v>
      </c>
      <c r="H244" t="s">
        <v>5059</v>
      </c>
      <c r="I244" t="s">
        <v>5059</v>
      </c>
      <c r="M244" t="s">
        <v>5059</v>
      </c>
      <c r="N244" t="s">
        <v>1052</v>
      </c>
      <c r="O244" t="s">
        <v>1050</v>
      </c>
      <c r="P244" t="s">
        <v>5059</v>
      </c>
      <c r="Q244" t="s">
        <v>6618</v>
      </c>
    </row>
    <row r="245" spans="1:17" x14ac:dyDescent="0.25">
      <c r="A245" t="s">
        <v>6619</v>
      </c>
      <c r="B245" t="s">
        <v>6620</v>
      </c>
      <c r="C245" t="s">
        <v>6621</v>
      </c>
      <c r="D245" t="s">
        <v>1061</v>
      </c>
      <c r="E245">
        <v>2023</v>
      </c>
      <c r="F245" t="s">
        <v>6449</v>
      </c>
      <c r="G245" t="s">
        <v>5059</v>
      </c>
      <c r="H245" t="s">
        <v>5059</v>
      </c>
      <c r="I245" t="s">
        <v>5059</v>
      </c>
      <c r="M245" t="s">
        <v>1064</v>
      </c>
      <c r="N245" t="s">
        <v>1065</v>
      </c>
      <c r="O245" t="s">
        <v>1062</v>
      </c>
      <c r="P245" t="s">
        <v>6622</v>
      </c>
      <c r="Q245" t="s">
        <v>6623</v>
      </c>
    </row>
    <row r="246" spans="1:17" x14ac:dyDescent="0.25">
      <c r="A246" t="s">
        <v>6624</v>
      </c>
      <c r="B246" t="s">
        <v>6625</v>
      </c>
      <c r="C246" t="s">
        <v>6626</v>
      </c>
      <c r="D246" t="s">
        <v>1068</v>
      </c>
      <c r="E246">
        <v>2023</v>
      </c>
      <c r="F246" t="s">
        <v>6627</v>
      </c>
      <c r="G246" t="s">
        <v>5059</v>
      </c>
      <c r="H246" t="s">
        <v>5059</v>
      </c>
      <c r="I246" t="s">
        <v>5059</v>
      </c>
      <c r="J246">
        <v>817</v>
      </c>
      <c r="K246">
        <v>822</v>
      </c>
      <c r="L246">
        <v>5</v>
      </c>
      <c r="M246" t="s">
        <v>1071</v>
      </c>
      <c r="N246" t="s">
        <v>1072</v>
      </c>
      <c r="O246" t="s">
        <v>1069</v>
      </c>
      <c r="P246" t="s">
        <v>6628</v>
      </c>
      <c r="Q246" t="s">
        <v>6629</v>
      </c>
    </row>
    <row r="247" spans="1:17" x14ac:dyDescent="0.25">
      <c r="A247" t="s">
        <v>6630</v>
      </c>
      <c r="B247" t="s">
        <v>6631</v>
      </c>
      <c r="C247" t="s">
        <v>6632</v>
      </c>
      <c r="D247" t="s">
        <v>1075</v>
      </c>
      <c r="E247">
        <v>2023</v>
      </c>
      <c r="F247" t="s">
        <v>6633</v>
      </c>
      <c r="G247" t="s">
        <v>5059</v>
      </c>
      <c r="H247" t="s">
        <v>5059</v>
      </c>
      <c r="I247" t="s">
        <v>5059</v>
      </c>
      <c r="M247" t="s">
        <v>1078</v>
      </c>
      <c r="N247" t="s">
        <v>1079</v>
      </c>
      <c r="O247" t="s">
        <v>1076</v>
      </c>
      <c r="P247" t="s">
        <v>6634</v>
      </c>
      <c r="Q247" t="s">
        <v>6635</v>
      </c>
    </row>
    <row r="248" spans="1:17" x14ac:dyDescent="0.25">
      <c r="A248" t="s">
        <v>6636</v>
      </c>
      <c r="B248" t="s">
        <v>6637</v>
      </c>
      <c r="C248" t="s">
        <v>6638</v>
      </c>
      <c r="D248" t="s">
        <v>436</v>
      </c>
      <c r="E248">
        <v>2023</v>
      </c>
      <c r="F248" t="s">
        <v>6639</v>
      </c>
      <c r="G248" t="s">
        <v>6605</v>
      </c>
      <c r="H248" t="s">
        <v>5180</v>
      </c>
      <c r="I248" t="s">
        <v>5059</v>
      </c>
      <c r="J248">
        <v>3319</v>
      </c>
      <c r="K248">
        <v>3331</v>
      </c>
      <c r="L248">
        <v>12</v>
      </c>
      <c r="M248" t="s">
        <v>439</v>
      </c>
      <c r="N248" t="s">
        <v>440</v>
      </c>
      <c r="O248" t="s">
        <v>437</v>
      </c>
      <c r="P248" t="s">
        <v>6640</v>
      </c>
      <c r="Q248" t="s">
        <v>6641</v>
      </c>
    </row>
    <row r="249" spans="1:17" x14ac:dyDescent="0.25">
      <c r="A249" t="s">
        <v>5400</v>
      </c>
      <c r="B249" t="s">
        <v>5401</v>
      </c>
      <c r="C249" t="s">
        <v>5402</v>
      </c>
      <c r="D249" t="s">
        <v>443</v>
      </c>
      <c r="E249">
        <v>2023</v>
      </c>
      <c r="F249" t="s">
        <v>6642</v>
      </c>
      <c r="G249" t="s">
        <v>5102</v>
      </c>
      <c r="H249" t="s">
        <v>5071</v>
      </c>
      <c r="I249" t="s">
        <v>5059</v>
      </c>
      <c r="J249">
        <v>688</v>
      </c>
      <c r="K249">
        <v>705</v>
      </c>
      <c r="L249">
        <v>17</v>
      </c>
      <c r="M249" t="s">
        <v>446</v>
      </c>
      <c r="N249" t="s">
        <v>447</v>
      </c>
      <c r="O249" t="s">
        <v>444</v>
      </c>
      <c r="P249" t="s">
        <v>445</v>
      </c>
      <c r="Q249" t="s">
        <v>6643</v>
      </c>
    </row>
    <row r="250" spans="1:17" x14ac:dyDescent="0.25">
      <c r="A250" t="s">
        <v>6644</v>
      </c>
      <c r="B250" t="s">
        <v>6645</v>
      </c>
      <c r="C250" t="s">
        <v>6646</v>
      </c>
      <c r="D250" t="s">
        <v>1082</v>
      </c>
      <c r="E250">
        <v>2023</v>
      </c>
      <c r="F250" t="s">
        <v>6647</v>
      </c>
      <c r="G250" t="s">
        <v>6648</v>
      </c>
      <c r="H250" t="s">
        <v>5180</v>
      </c>
      <c r="I250" t="s">
        <v>5059</v>
      </c>
      <c r="J250">
        <v>383</v>
      </c>
      <c r="K250">
        <v>406</v>
      </c>
      <c r="L250">
        <v>23</v>
      </c>
      <c r="M250" t="s">
        <v>1085</v>
      </c>
      <c r="N250" t="s">
        <v>1086</v>
      </c>
      <c r="O250" t="s">
        <v>1083</v>
      </c>
      <c r="P250" t="s">
        <v>6649</v>
      </c>
      <c r="Q250" t="s">
        <v>6650</v>
      </c>
    </row>
    <row r="251" spans="1:17" x14ac:dyDescent="0.25">
      <c r="A251" t="s">
        <v>6651</v>
      </c>
      <c r="B251" t="s">
        <v>6652</v>
      </c>
      <c r="C251" t="s">
        <v>6653</v>
      </c>
      <c r="D251" t="s">
        <v>1096</v>
      </c>
      <c r="E251">
        <v>2023</v>
      </c>
      <c r="F251" t="s">
        <v>6654</v>
      </c>
      <c r="G251" t="s">
        <v>5157</v>
      </c>
      <c r="H251" t="s">
        <v>5202</v>
      </c>
      <c r="I251" t="s">
        <v>5059</v>
      </c>
      <c r="J251">
        <v>1524</v>
      </c>
      <c r="K251">
        <v>1535</v>
      </c>
      <c r="L251">
        <v>11</v>
      </c>
      <c r="M251" t="s">
        <v>1099</v>
      </c>
      <c r="N251" t="s">
        <v>1100</v>
      </c>
      <c r="O251" t="s">
        <v>1097</v>
      </c>
      <c r="P251" t="s">
        <v>6655</v>
      </c>
      <c r="Q251" t="s">
        <v>6656</v>
      </c>
    </row>
    <row r="252" spans="1:17" x14ac:dyDescent="0.25">
      <c r="A252" t="s">
        <v>6657</v>
      </c>
      <c r="B252" t="s">
        <v>6658</v>
      </c>
      <c r="C252" t="s">
        <v>6659</v>
      </c>
      <c r="D252" t="s">
        <v>1103</v>
      </c>
      <c r="E252">
        <v>2023</v>
      </c>
      <c r="F252" t="s">
        <v>6660</v>
      </c>
      <c r="G252" t="s">
        <v>5059</v>
      </c>
      <c r="H252" t="s">
        <v>5059</v>
      </c>
      <c r="I252" t="s">
        <v>5059</v>
      </c>
      <c r="J252">
        <v>2160</v>
      </c>
      <c r="K252">
        <v>2165</v>
      </c>
      <c r="L252">
        <v>5</v>
      </c>
      <c r="M252" t="s">
        <v>1106</v>
      </c>
      <c r="N252" t="s">
        <v>1107</v>
      </c>
      <c r="O252" t="s">
        <v>1104</v>
      </c>
      <c r="P252" t="s">
        <v>6661</v>
      </c>
      <c r="Q252" t="s">
        <v>6662</v>
      </c>
    </row>
    <row r="253" spans="1:17" x14ac:dyDescent="0.25">
      <c r="A253" t="s">
        <v>6663</v>
      </c>
      <c r="B253" t="s">
        <v>6664</v>
      </c>
      <c r="C253" t="s">
        <v>6665</v>
      </c>
      <c r="D253" t="s">
        <v>1110</v>
      </c>
      <c r="E253">
        <v>2023</v>
      </c>
      <c r="F253" t="s">
        <v>5214</v>
      </c>
      <c r="G253" t="s">
        <v>6666</v>
      </c>
      <c r="H253" t="s">
        <v>5059</v>
      </c>
      <c r="I253" t="s">
        <v>5059</v>
      </c>
      <c r="J253">
        <v>17</v>
      </c>
      <c r="K253">
        <v>33</v>
      </c>
      <c r="L253">
        <v>16</v>
      </c>
      <c r="M253" t="s">
        <v>1113</v>
      </c>
      <c r="N253" t="s">
        <v>1114</v>
      </c>
      <c r="O253" t="s">
        <v>1111</v>
      </c>
      <c r="P253" t="s">
        <v>6667</v>
      </c>
      <c r="Q253" t="s">
        <v>6668</v>
      </c>
    </row>
    <row r="254" spans="1:17" x14ac:dyDescent="0.25">
      <c r="A254" t="s">
        <v>6669</v>
      </c>
      <c r="B254" t="s">
        <v>6670</v>
      </c>
      <c r="C254" t="s">
        <v>6671</v>
      </c>
      <c r="D254" t="s">
        <v>1117</v>
      </c>
      <c r="E254">
        <v>2023</v>
      </c>
      <c r="F254" t="s">
        <v>6672</v>
      </c>
      <c r="G254" t="s">
        <v>6673</v>
      </c>
      <c r="H254" t="s">
        <v>5059</v>
      </c>
      <c r="I254" t="s">
        <v>5059</v>
      </c>
      <c r="J254">
        <v>595</v>
      </c>
      <c r="K254">
        <v>604</v>
      </c>
      <c r="L254">
        <v>9</v>
      </c>
      <c r="M254" t="s">
        <v>1120</v>
      </c>
      <c r="N254" t="s">
        <v>1121</v>
      </c>
      <c r="O254" t="s">
        <v>1118</v>
      </c>
      <c r="P254" t="s">
        <v>6674</v>
      </c>
      <c r="Q254" t="s">
        <v>6675</v>
      </c>
    </row>
    <row r="255" spans="1:17" x14ac:dyDescent="0.25">
      <c r="A255" t="s">
        <v>6676</v>
      </c>
      <c r="B255" t="s">
        <v>6677</v>
      </c>
      <c r="C255" t="s">
        <v>6678</v>
      </c>
      <c r="D255" t="s">
        <v>470</v>
      </c>
      <c r="E255">
        <v>2023</v>
      </c>
      <c r="F255" t="s">
        <v>5117</v>
      </c>
      <c r="G255" t="s">
        <v>5133</v>
      </c>
      <c r="H255" t="s">
        <v>5102</v>
      </c>
      <c r="I255" t="s">
        <v>5059</v>
      </c>
      <c r="J255">
        <v>13701</v>
      </c>
      <c r="K255">
        <v>13705</v>
      </c>
      <c r="L255">
        <v>4</v>
      </c>
      <c r="M255" t="s">
        <v>473</v>
      </c>
      <c r="N255" t="s">
        <v>474</v>
      </c>
      <c r="O255" t="s">
        <v>471</v>
      </c>
      <c r="P255" t="s">
        <v>6679</v>
      </c>
      <c r="Q255" t="s">
        <v>6680</v>
      </c>
    </row>
    <row r="256" spans="1:17" x14ac:dyDescent="0.25">
      <c r="A256" t="s">
        <v>6681</v>
      </c>
      <c r="B256" t="s">
        <v>6682</v>
      </c>
      <c r="C256" t="s">
        <v>6683</v>
      </c>
      <c r="D256" t="s">
        <v>1138</v>
      </c>
      <c r="E256">
        <v>2023</v>
      </c>
      <c r="F256" t="s">
        <v>6684</v>
      </c>
      <c r="G256" t="s">
        <v>5059</v>
      </c>
      <c r="H256" t="s">
        <v>5059</v>
      </c>
      <c r="I256" t="s">
        <v>5059</v>
      </c>
      <c r="J256">
        <v>504</v>
      </c>
      <c r="K256">
        <v>509</v>
      </c>
      <c r="L256">
        <v>5</v>
      </c>
      <c r="M256" t="s">
        <v>1141</v>
      </c>
      <c r="N256" t="s">
        <v>1142</v>
      </c>
      <c r="O256" t="s">
        <v>1139</v>
      </c>
      <c r="P256" t="s">
        <v>6685</v>
      </c>
      <c r="Q256" t="s">
        <v>6686</v>
      </c>
    </row>
    <row r="257" spans="1:17" x14ac:dyDescent="0.25">
      <c r="A257" t="s">
        <v>6687</v>
      </c>
      <c r="B257" t="s">
        <v>6688</v>
      </c>
      <c r="C257" t="s">
        <v>6689</v>
      </c>
      <c r="D257" t="s">
        <v>1145</v>
      </c>
      <c r="E257">
        <v>2023</v>
      </c>
      <c r="F257" t="s">
        <v>6690</v>
      </c>
      <c r="G257" t="s">
        <v>5549</v>
      </c>
      <c r="H257" t="s">
        <v>5202</v>
      </c>
      <c r="I257" t="s">
        <v>6691</v>
      </c>
      <c r="M257" t="s">
        <v>1148</v>
      </c>
      <c r="N257" t="s">
        <v>1149</v>
      </c>
      <c r="O257" t="s">
        <v>1146</v>
      </c>
      <c r="P257" t="s">
        <v>6692</v>
      </c>
      <c r="Q257" t="s">
        <v>6693</v>
      </c>
    </row>
    <row r="258" spans="1:17" x14ac:dyDescent="0.25">
      <c r="A258" t="s">
        <v>6694</v>
      </c>
      <c r="B258" t="s">
        <v>6695</v>
      </c>
      <c r="C258" t="s">
        <v>6696</v>
      </c>
      <c r="D258" t="s">
        <v>1159</v>
      </c>
      <c r="E258">
        <v>2023</v>
      </c>
      <c r="F258" t="s">
        <v>4157</v>
      </c>
      <c r="G258" t="s">
        <v>6697</v>
      </c>
      <c r="H258" t="s">
        <v>5059</v>
      </c>
      <c r="I258" t="s">
        <v>6698</v>
      </c>
      <c r="M258" t="s">
        <v>1162</v>
      </c>
      <c r="N258" t="s">
        <v>1163</v>
      </c>
      <c r="O258" t="s">
        <v>1160</v>
      </c>
      <c r="P258" t="s">
        <v>6699</v>
      </c>
      <c r="Q258" t="s">
        <v>6700</v>
      </c>
    </row>
    <row r="259" spans="1:17" x14ac:dyDescent="0.25">
      <c r="A259" t="s">
        <v>6701</v>
      </c>
      <c r="B259" t="s">
        <v>6702</v>
      </c>
      <c r="C259" t="s">
        <v>6703</v>
      </c>
      <c r="D259" t="s">
        <v>1173</v>
      </c>
      <c r="E259">
        <v>2023</v>
      </c>
      <c r="F259" t="s">
        <v>6704</v>
      </c>
      <c r="G259" t="s">
        <v>5549</v>
      </c>
      <c r="H259" t="s">
        <v>5202</v>
      </c>
      <c r="I259" t="s">
        <v>5059</v>
      </c>
      <c r="J259">
        <v>88</v>
      </c>
      <c r="K259">
        <v>96</v>
      </c>
      <c r="L259">
        <v>8</v>
      </c>
      <c r="M259" t="s">
        <v>1176</v>
      </c>
      <c r="N259" t="s">
        <v>1177</v>
      </c>
      <c r="O259" t="s">
        <v>1174</v>
      </c>
      <c r="P259" t="s">
        <v>1175</v>
      </c>
      <c r="Q259" t="s">
        <v>6705</v>
      </c>
    </row>
    <row r="260" spans="1:17" x14ac:dyDescent="0.25">
      <c r="A260" t="s">
        <v>6706</v>
      </c>
      <c r="B260" t="s">
        <v>6707</v>
      </c>
      <c r="C260" t="s">
        <v>6708</v>
      </c>
      <c r="D260" t="s">
        <v>491</v>
      </c>
      <c r="E260">
        <v>2023</v>
      </c>
      <c r="F260" t="s">
        <v>6709</v>
      </c>
      <c r="G260" t="s">
        <v>5059</v>
      </c>
      <c r="H260" t="s">
        <v>5059</v>
      </c>
      <c r="I260" t="s">
        <v>5059</v>
      </c>
      <c r="J260">
        <v>382</v>
      </c>
      <c r="K260">
        <v>387</v>
      </c>
      <c r="L260">
        <v>5</v>
      </c>
      <c r="M260" t="s">
        <v>494</v>
      </c>
      <c r="N260" t="s">
        <v>495</v>
      </c>
      <c r="O260" t="s">
        <v>492</v>
      </c>
      <c r="P260" t="s">
        <v>6710</v>
      </c>
      <c r="Q260" t="s">
        <v>6711</v>
      </c>
    </row>
    <row r="261" spans="1:17" x14ac:dyDescent="0.25">
      <c r="A261" t="s">
        <v>6712</v>
      </c>
      <c r="B261" t="s">
        <v>6713</v>
      </c>
      <c r="C261" t="s">
        <v>6714</v>
      </c>
      <c r="D261" t="s">
        <v>1180</v>
      </c>
      <c r="E261">
        <v>2023</v>
      </c>
      <c r="F261" t="s">
        <v>6258</v>
      </c>
      <c r="G261" t="s">
        <v>6715</v>
      </c>
      <c r="H261" t="s">
        <v>5059</v>
      </c>
      <c r="I261" t="s">
        <v>5059</v>
      </c>
      <c r="J261">
        <v>73</v>
      </c>
      <c r="K261">
        <v>84</v>
      </c>
      <c r="L261">
        <v>11</v>
      </c>
      <c r="M261" t="s">
        <v>1183</v>
      </c>
      <c r="N261" t="s">
        <v>1184</v>
      </c>
      <c r="O261" t="s">
        <v>1181</v>
      </c>
      <c r="P261" t="s">
        <v>6716</v>
      </c>
      <c r="Q261" t="s">
        <v>6717</v>
      </c>
    </row>
    <row r="262" spans="1:17" x14ac:dyDescent="0.25">
      <c r="A262" t="s">
        <v>6718</v>
      </c>
      <c r="B262" t="s">
        <v>6719</v>
      </c>
      <c r="C262" t="s">
        <v>6720</v>
      </c>
      <c r="D262" t="s">
        <v>513</v>
      </c>
      <c r="E262">
        <v>2023</v>
      </c>
      <c r="F262" t="s">
        <v>6721</v>
      </c>
      <c r="G262" t="s">
        <v>5070</v>
      </c>
      <c r="H262" t="s">
        <v>5059</v>
      </c>
      <c r="I262" t="s">
        <v>6722</v>
      </c>
      <c r="M262" t="s">
        <v>516</v>
      </c>
      <c r="N262" t="s">
        <v>517</v>
      </c>
      <c r="O262" t="s">
        <v>514</v>
      </c>
      <c r="P262" t="s">
        <v>515</v>
      </c>
      <c r="Q262" t="s">
        <v>6723</v>
      </c>
    </row>
    <row r="263" spans="1:17" x14ac:dyDescent="0.25">
      <c r="A263" t="s">
        <v>6724</v>
      </c>
      <c r="B263" t="s">
        <v>6725</v>
      </c>
      <c r="C263" t="s">
        <v>6726</v>
      </c>
      <c r="D263" t="s">
        <v>1187</v>
      </c>
      <c r="E263">
        <v>2023</v>
      </c>
      <c r="F263" t="s">
        <v>6727</v>
      </c>
      <c r="G263" t="s">
        <v>6728</v>
      </c>
      <c r="H263" t="s">
        <v>5059</v>
      </c>
      <c r="I263" t="s">
        <v>5059</v>
      </c>
      <c r="J263">
        <v>103</v>
      </c>
      <c r="K263">
        <v>131</v>
      </c>
      <c r="L263">
        <v>28</v>
      </c>
      <c r="M263" t="s">
        <v>1190</v>
      </c>
      <c r="N263" t="s">
        <v>1191</v>
      </c>
      <c r="O263" t="s">
        <v>1188</v>
      </c>
      <c r="P263" t="s">
        <v>1189</v>
      </c>
      <c r="Q263" t="s">
        <v>6729</v>
      </c>
    </row>
    <row r="264" spans="1:17" x14ac:dyDescent="0.25">
      <c r="A264" t="s">
        <v>6730</v>
      </c>
      <c r="B264" t="s">
        <v>6731</v>
      </c>
      <c r="C264" t="s">
        <v>6732</v>
      </c>
      <c r="D264" t="s">
        <v>1201</v>
      </c>
      <c r="E264">
        <v>2023</v>
      </c>
      <c r="F264" t="s">
        <v>6733</v>
      </c>
      <c r="G264" t="s">
        <v>5059</v>
      </c>
      <c r="H264" t="s">
        <v>5059</v>
      </c>
      <c r="I264" t="s">
        <v>5059</v>
      </c>
      <c r="J264">
        <v>263</v>
      </c>
      <c r="K264">
        <v>268</v>
      </c>
      <c r="L264">
        <v>5</v>
      </c>
      <c r="M264" t="s">
        <v>1204</v>
      </c>
      <c r="N264" t="s">
        <v>1205</v>
      </c>
      <c r="O264" t="s">
        <v>1202</v>
      </c>
      <c r="P264" t="s">
        <v>6734</v>
      </c>
      <c r="Q264" t="s">
        <v>6735</v>
      </c>
    </row>
    <row r="265" spans="1:17" x14ac:dyDescent="0.25">
      <c r="A265" t="s">
        <v>6736</v>
      </c>
      <c r="B265" t="s">
        <v>6737</v>
      </c>
      <c r="C265" t="s">
        <v>6738</v>
      </c>
      <c r="D265" t="s">
        <v>520</v>
      </c>
      <c r="E265">
        <v>2023</v>
      </c>
      <c r="F265" t="s">
        <v>6739</v>
      </c>
      <c r="G265" t="s">
        <v>5091</v>
      </c>
      <c r="H265" t="s">
        <v>5059</v>
      </c>
      <c r="I265" t="s">
        <v>6740</v>
      </c>
      <c r="M265" t="s">
        <v>523</v>
      </c>
      <c r="N265" t="s">
        <v>524</v>
      </c>
      <c r="O265" t="s">
        <v>521</v>
      </c>
      <c r="P265" t="s">
        <v>6741</v>
      </c>
      <c r="Q265" t="s">
        <v>6742</v>
      </c>
    </row>
    <row r="266" spans="1:17" x14ac:dyDescent="0.25">
      <c r="A266" t="s">
        <v>6743</v>
      </c>
      <c r="B266" t="s">
        <v>6744</v>
      </c>
      <c r="C266" t="s">
        <v>6745</v>
      </c>
      <c r="D266" t="s">
        <v>568</v>
      </c>
      <c r="E266">
        <v>2023</v>
      </c>
      <c r="F266" t="s">
        <v>5049</v>
      </c>
      <c r="G266" t="s">
        <v>5195</v>
      </c>
      <c r="H266" t="s">
        <v>5754</v>
      </c>
      <c r="I266" t="s">
        <v>6746</v>
      </c>
      <c r="M266" t="s">
        <v>571</v>
      </c>
      <c r="N266" t="s">
        <v>572</v>
      </c>
      <c r="O266" t="s">
        <v>569</v>
      </c>
      <c r="P266" t="s">
        <v>6747</v>
      </c>
      <c r="Q266" t="s">
        <v>6748</v>
      </c>
    </row>
    <row r="267" spans="1:17" x14ac:dyDescent="0.25">
      <c r="A267" t="s">
        <v>6749</v>
      </c>
      <c r="B267" t="s">
        <v>6750</v>
      </c>
      <c r="C267" t="s">
        <v>6751</v>
      </c>
      <c r="D267" t="s">
        <v>1236</v>
      </c>
      <c r="E267">
        <v>2023</v>
      </c>
      <c r="F267" t="s">
        <v>6752</v>
      </c>
      <c r="G267" t="s">
        <v>5059</v>
      </c>
      <c r="H267" t="s">
        <v>5059</v>
      </c>
      <c r="I267" t="s">
        <v>5059</v>
      </c>
      <c r="M267" t="s">
        <v>1239</v>
      </c>
      <c r="N267" t="s">
        <v>1240</v>
      </c>
      <c r="O267" t="s">
        <v>1237</v>
      </c>
      <c r="P267" t="s">
        <v>6753</v>
      </c>
      <c r="Q267" t="s">
        <v>6754</v>
      </c>
    </row>
    <row r="268" spans="1:17" x14ac:dyDescent="0.25">
      <c r="A268" t="s">
        <v>6755</v>
      </c>
      <c r="B268" t="s">
        <v>6756</v>
      </c>
      <c r="C268" t="s">
        <v>6757</v>
      </c>
      <c r="D268" t="s">
        <v>582</v>
      </c>
      <c r="E268">
        <v>2023</v>
      </c>
      <c r="F268" t="s">
        <v>5049</v>
      </c>
      <c r="G268" t="s">
        <v>5195</v>
      </c>
      <c r="H268" t="s">
        <v>5071</v>
      </c>
      <c r="I268" t="s">
        <v>6758</v>
      </c>
      <c r="M268" t="s">
        <v>585</v>
      </c>
      <c r="N268" t="s">
        <v>586</v>
      </c>
      <c r="O268" t="s">
        <v>583</v>
      </c>
      <c r="P268" t="s">
        <v>6759</v>
      </c>
      <c r="Q268" t="s">
        <v>6760</v>
      </c>
    </row>
    <row r="269" spans="1:17" x14ac:dyDescent="0.25">
      <c r="A269" t="s">
        <v>6761</v>
      </c>
      <c r="B269" t="s">
        <v>6762</v>
      </c>
      <c r="C269" t="s">
        <v>6763</v>
      </c>
      <c r="D269" t="s">
        <v>1250</v>
      </c>
      <c r="E269">
        <v>2023</v>
      </c>
      <c r="F269" t="s">
        <v>6764</v>
      </c>
      <c r="G269" t="s">
        <v>5059</v>
      </c>
      <c r="H269" t="s">
        <v>5059</v>
      </c>
      <c r="I269" t="s">
        <v>5059</v>
      </c>
      <c r="J269">
        <v>79</v>
      </c>
      <c r="K269">
        <v>97</v>
      </c>
      <c r="L269">
        <v>18</v>
      </c>
      <c r="M269" t="s">
        <v>1252</v>
      </c>
      <c r="N269" t="s">
        <v>1253</v>
      </c>
      <c r="O269" t="s">
        <v>1251</v>
      </c>
      <c r="P269" t="s">
        <v>5059</v>
      </c>
      <c r="Q269" t="s">
        <v>6765</v>
      </c>
    </row>
    <row r="270" spans="1:17" x14ac:dyDescent="0.25">
      <c r="A270" t="s">
        <v>6766</v>
      </c>
      <c r="B270" t="s">
        <v>6767</v>
      </c>
      <c r="C270" t="s">
        <v>6768</v>
      </c>
      <c r="D270" t="s">
        <v>1256</v>
      </c>
      <c r="E270">
        <v>2023</v>
      </c>
      <c r="F270" t="s">
        <v>6769</v>
      </c>
      <c r="G270" t="s">
        <v>5059</v>
      </c>
      <c r="H270" t="s">
        <v>5059</v>
      </c>
      <c r="I270" t="s">
        <v>5059</v>
      </c>
      <c r="J270">
        <v>432</v>
      </c>
      <c r="K270">
        <v>439</v>
      </c>
      <c r="L270">
        <v>7</v>
      </c>
      <c r="M270" t="s">
        <v>1259</v>
      </c>
      <c r="N270" t="s">
        <v>1260</v>
      </c>
      <c r="O270" t="s">
        <v>1257</v>
      </c>
      <c r="P270" t="s">
        <v>5059</v>
      </c>
      <c r="Q270" t="s">
        <v>6770</v>
      </c>
    </row>
    <row r="271" spans="1:17" x14ac:dyDescent="0.25">
      <c r="A271" t="s">
        <v>6771</v>
      </c>
      <c r="B271" t="s">
        <v>6772</v>
      </c>
      <c r="C271" t="s">
        <v>6773</v>
      </c>
      <c r="D271" t="s">
        <v>1270</v>
      </c>
      <c r="E271">
        <v>2023</v>
      </c>
      <c r="F271" t="s">
        <v>6774</v>
      </c>
      <c r="G271" t="s">
        <v>6775</v>
      </c>
      <c r="H271" t="s">
        <v>5103</v>
      </c>
      <c r="I271" t="s">
        <v>5059</v>
      </c>
      <c r="J271">
        <v>2171</v>
      </c>
      <c r="K271">
        <v>2185</v>
      </c>
      <c r="L271">
        <v>14</v>
      </c>
      <c r="M271" t="s">
        <v>1273</v>
      </c>
      <c r="N271" t="s">
        <v>1274</v>
      </c>
      <c r="O271" t="s">
        <v>1271</v>
      </c>
      <c r="P271" t="s">
        <v>6776</v>
      </c>
      <c r="Q271" t="s">
        <v>6777</v>
      </c>
    </row>
    <row r="272" spans="1:17" x14ac:dyDescent="0.25">
      <c r="A272" t="s">
        <v>6778</v>
      </c>
      <c r="B272" t="s">
        <v>6779</v>
      </c>
      <c r="C272" t="s">
        <v>6780</v>
      </c>
      <c r="D272" t="s">
        <v>1277</v>
      </c>
      <c r="E272">
        <v>2023</v>
      </c>
      <c r="F272" t="s">
        <v>5109</v>
      </c>
      <c r="G272" t="s">
        <v>6781</v>
      </c>
      <c r="H272" t="s">
        <v>5059</v>
      </c>
      <c r="I272" t="s">
        <v>6782</v>
      </c>
      <c r="M272" t="s">
        <v>1280</v>
      </c>
      <c r="N272" t="s">
        <v>1281</v>
      </c>
      <c r="O272" t="s">
        <v>1278</v>
      </c>
      <c r="P272" t="s">
        <v>6783</v>
      </c>
      <c r="Q272" t="s">
        <v>6784</v>
      </c>
    </row>
    <row r="273" spans="1:17" x14ac:dyDescent="0.25">
      <c r="A273" t="s">
        <v>6785</v>
      </c>
      <c r="B273" t="s">
        <v>6786</v>
      </c>
      <c r="C273" t="s">
        <v>6787</v>
      </c>
      <c r="D273" t="s">
        <v>1284</v>
      </c>
      <c r="E273">
        <v>2023</v>
      </c>
      <c r="F273" t="s">
        <v>6788</v>
      </c>
      <c r="G273" t="s">
        <v>5059</v>
      </c>
      <c r="H273" t="s">
        <v>5059</v>
      </c>
      <c r="I273" t="s">
        <v>5059</v>
      </c>
      <c r="M273" t="s">
        <v>1287</v>
      </c>
      <c r="N273" t="s">
        <v>1288</v>
      </c>
      <c r="O273" t="s">
        <v>1285</v>
      </c>
      <c r="P273" t="s">
        <v>5059</v>
      </c>
      <c r="Q273" t="s">
        <v>6789</v>
      </c>
    </row>
    <row r="274" spans="1:17" x14ac:dyDescent="0.25">
      <c r="A274" t="s">
        <v>6790</v>
      </c>
      <c r="B274" t="s">
        <v>6791</v>
      </c>
      <c r="C274" t="s">
        <v>6792</v>
      </c>
      <c r="D274" t="s">
        <v>624</v>
      </c>
      <c r="E274">
        <v>2023</v>
      </c>
      <c r="F274" t="s">
        <v>6793</v>
      </c>
      <c r="G274" t="s">
        <v>6794</v>
      </c>
      <c r="H274" t="s">
        <v>5059</v>
      </c>
      <c r="I274" t="s">
        <v>6795</v>
      </c>
      <c r="M274" t="s">
        <v>627</v>
      </c>
      <c r="N274" t="s">
        <v>628</v>
      </c>
      <c r="O274" t="s">
        <v>625</v>
      </c>
      <c r="P274" t="s">
        <v>6796</v>
      </c>
      <c r="Q274" t="s">
        <v>6797</v>
      </c>
    </row>
    <row r="275" spans="1:17" x14ac:dyDescent="0.25">
      <c r="A275" t="s">
        <v>6798</v>
      </c>
      <c r="B275" t="s">
        <v>6799</v>
      </c>
      <c r="C275" t="s">
        <v>6800</v>
      </c>
      <c r="D275" t="s">
        <v>642</v>
      </c>
      <c r="E275">
        <v>2023</v>
      </c>
      <c r="F275" t="s">
        <v>6801</v>
      </c>
      <c r="G275" t="s">
        <v>5102</v>
      </c>
      <c r="H275" t="s">
        <v>5050</v>
      </c>
      <c r="I275" t="s">
        <v>6802</v>
      </c>
      <c r="M275" t="s">
        <v>645</v>
      </c>
      <c r="N275" t="s">
        <v>646</v>
      </c>
      <c r="O275" t="s">
        <v>643</v>
      </c>
      <c r="P275" t="s">
        <v>644</v>
      </c>
      <c r="Q275" t="s">
        <v>6803</v>
      </c>
    </row>
    <row r="276" spans="1:17" x14ac:dyDescent="0.25">
      <c r="A276" t="s">
        <v>6804</v>
      </c>
      <c r="B276" t="s">
        <v>6805</v>
      </c>
      <c r="C276" t="s">
        <v>6806</v>
      </c>
      <c r="D276" t="s">
        <v>1312</v>
      </c>
      <c r="E276">
        <v>2023</v>
      </c>
      <c r="F276" t="s">
        <v>6807</v>
      </c>
      <c r="G276" t="s">
        <v>5059</v>
      </c>
      <c r="H276" t="s">
        <v>5059</v>
      </c>
      <c r="I276" t="s">
        <v>5059</v>
      </c>
      <c r="J276">
        <v>781</v>
      </c>
      <c r="K276">
        <v>785</v>
      </c>
      <c r="L276">
        <v>4</v>
      </c>
      <c r="M276" t="s">
        <v>1315</v>
      </c>
      <c r="N276" t="s">
        <v>1316</v>
      </c>
      <c r="O276" t="s">
        <v>1313</v>
      </c>
      <c r="P276" t="s">
        <v>6808</v>
      </c>
      <c r="Q276" t="s">
        <v>6809</v>
      </c>
    </row>
    <row r="277" spans="1:17" x14ac:dyDescent="0.25">
      <c r="A277" t="s">
        <v>6810</v>
      </c>
      <c r="B277" t="s">
        <v>6811</v>
      </c>
      <c r="C277" t="s">
        <v>6812</v>
      </c>
      <c r="D277" t="s">
        <v>1326</v>
      </c>
      <c r="E277">
        <v>2023</v>
      </c>
      <c r="F277" t="s">
        <v>6813</v>
      </c>
      <c r="G277" t="s">
        <v>5059</v>
      </c>
      <c r="H277" t="s">
        <v>5059</v>
      </c>
      <c r="I277" t="s">
        <v>5059</v>
      </c>
      <c r="J277">
        <v>131</v>
      </c>
      <c r="K277">
        <v>137</v>
      </c>
      <c r="L277">
        <v>6</v>
      </c>
      <c r="M277" t="s">
        <v>1329</v>
      </c>
      <c r="N277" t="s">
        <v>1330</v>
      </c>
      <c r="O277" t="s">
        <v>1327</v>
      </c>
      <c r="P277" t="s">
        <v>6814</v>
      </c>
      <c r="Q277" t="s">
        <v>6815</v>
      </c>
    </row>
    <row r="278" spans="1:17" x14ac:dyDescent="0.25">
      <c r="A278" t="s">
        <v>6816</v>
      </c>
      <c r="B278" t="s">
        <v>6817</v>
      </c>
      <c r="C278" t="s">
        <v>6818</v>
      </c>
      <c r="D278" t="s">
        <v>1333</v>
      </c>
      <c r="E278">
        <v>2023</v>
      </c>
      <c r="F278" t="s">
        <v>5155</v>
      </c>
      <c r="G278" t="s">
        <v>5070</v>
      </c>
      <c r="H278" t="s">
        <v>5180</v>
      </c>
      <c r="I278" t="s">
        <v>6819</v>
      </c>
      <c r="M278" t="s">
        <v>1336</v>
      </c>
      <c r="N278" t="s">
        <v>1337</v>
      </c>
      <c r="O278" t="s">
        <v>1334</v>
      </c>
      <c r="P278" t="s">
        <v>6820</v>
      </c>
      <c r="Q278" t="s">
        <v>6821</v>
      </c>
    </row>
    <row r="279" spans="1:17" x14ac:dyDescent="0.25">
      <c r="A279" t="s">
        <v>6822</v>
      </c>
      <c r="B279" t="s">
        <v>6823</v>
      </c>
      <c r="C279" t="s">
        <v>6824</v>
      </c>
      <c r="D279" t="s">
        <v>1340</v>
      </c>
      <c r="E279">
        <v>2023</v>
      </c>
      <c r="F279" t="s">
        <v>6660</v>
      </c>
      <c r="G279" t="s">
        <v>5059</v>
      </c>
      <c r="H279" t="s">
        <v>5059</v>
      </c>
      <c r="I279" t="s">
        <v>5059</v>
      </c>
      <c r="J279">
        <v>2166</v>
      </c>
      <c r="K279">
        <v>2171</v>
      </c>
      <c r="L279">
        <v>5</v>
      </c>
      <c r="M279" t="s">
        <v>1343</v>
      </c>
      <c r="N279" t="s">
        <v>1344</v>
      </c>
      <c r="O279" t="s">
        <v>1341</v>
      </c>
      <c r="P279" t="s">
        <v>6825</v>
      </c>
      <c r="Q279" t="s">
        <v>6826</v>
      </c>
    </row>
    <row r="280" spans="1:17" x14ac:dyDescent="0.25">
      <c r="A280" t="s">
        <v>6827</v>
      </c>
      <c r="B280" t="s">
        <v>6828</v>
      </c>
      <c r="C280" t="s">
        <v>6829</v>
      </c>
      <c r="D280" t="s">
        <v>1354</v>
      </c>
      <c r="E280">
        <v>2023</v>
      </c>
      <c r="F280" t="s">
        <v>6727</v>
      </c>
      <c r="G280" t="s">
        <v>6728</v>
      </c>
      <c r="H280" t="s">
        <v>5059</v>
      </c>
      <c r="I280" t="s">
        <v>5059</v>
      </c>
      <c r="J280">
        <v>133</v>
      </c>
      <c r="K280">
        <v>164</v>
      </c>
      <c r="L280">
        <v>31</v>
      </c>
      <c r="M280" t="s">
        <v>1357</v>
      </c>
      <c r="N280" t="s">
        <v>1358</v>
      </c>
      <c r="O280" t="s">
        <v>1355</v>
      </c>
      <c r="P280" t="s">
        <v>1356</v>
      </c>
      <c r="Q280" t="s">
        <v>6830</v>
      </c>
    </row>
    <row r="281" spans="1:17" x14ac:dyDescent="0.25">
      <c r="A281" t="s">
        <v>6831</v>
      </c>
      <c r="B281" t="s">
        <v>6832</v>
      </c>
      <c r="C281" t="s">
        <v>6833</v>
      </c>
      <c r="D281" t="s">
        <v>1382</v>
      </c>
      <c r="E281">
        <v>2023</v>
      </c>
      <c r="F281" t="s">
        <v>6834</v>
      </c>
      <c r="G281" t="s">
        <v>6835</v>
      </c>
      <c r="H281" t="s">
        <v>5549</v>
      </c>
      <c r="I281" t="s">
        <v>5059</v>
      </c>
      <c r="J281">
        <v>609</v>
      </c>
      <c r="K281">
        <v>617</v>
      </c>
      <c r="L281">
        <v>8</v>
      </c>
      <c r="M281" t="s">
        <v>1385</v>
      </c>
      <c r="N281" t="s">
        <v>1386</v>
      </c>
      <c r="O281" t="s">
        <v>1383</v>
      </c>
      <c r="P281" t="s">
        <v>6836</v>
      </c>
      <c r="Q281" t="s">
        <v>6837</v>
      </c>
    </row>
    <row r="282" spans="1:17" x14ac:dyDescent="0.25">
      <c r="A282" t="s">
        <v>6838</v>
      </c>
      <c r="B282" t="s">
        <v>6839</v>
      </c>
      <c r="C282" t="s">
        <v>6840</v>
      </c>
      <c r="D282" t="s">
        <v>1401</v>
      </c>
      <c r="E282">
        <v>2023</v>
      </c>
      <c r="F282" t="s">
        <v>6418</v>
      </c>
      <c r="G282" t="s">
        <v>5180</v>
      </c>
      <c r="H282" t="s">
        <v>5059</v>
      </c>
      <c r="I282" t="s">
        <v>5059</v>
      </c>
      <c r="J282">
        <v>558</v>
      </c>
      <c r="K282">
        <v>580</v>
      </c>
      <c r="L282">
        <v>22</v>
      </c>
      <c r="M282" t="s">
        <v>1404</v>
      </c>
      <c r="N282" t="s">
        <v>1405</v>
      </c>
      <c r="O282" t="s">
        <v>1402</v>
      </c>
      <c r="P282" t="s">
        <v>6841</v>
      </c>
      <c r="Q282" t="s">
        <v>6842</v>
      </c>
    </row>
    <row r="283" spans="1:17" x14ac:dyDescent="0.25">
      <c r="A283" t="s">
        <v>6843</v>
      </c>
      <c r="B283" t="s">
        <v>6844</v>
      </c>
      <c r="C283" t="s">
        <v>6845</v>
      </c>
      <c r="D283" t="s">
        <v>678</v>
      </c>
      <c r="E283">
        <v>2023</v>
      </c>
      <c r="F283" t="s">
        <v>6846</v>
      </c>
      <c r="G283" t="s">
        <v>6847</v>
      </c>
      <c r="H283" t="s">
        <v>5103</v>
      </c>
      <c r="I283" t="s">
        <v>5059</v>
      </c>
      <c r="J283">
        <v>1797</v>
      </c>
      <c r="K283">
        <v>1815</v>
      </c>
      <c r="L283">
        <v>18</v>
      </c>
      <c r="M283" t="s">
        <v>681</v>
      </c>
      <c r="N283" t="s">
        <v>682</v>
      </c>
      <c r="O283" t="s">
        <v>679</v>
      </c>
      <c r="P283" t="s">
        <v>6848</v>
      </c>
      <c r="Q283" t="s">
        <v>6849</v>
      </c>
    </row>
    <row r="284" spans="1:17" x14ac:dyDescent="0.25">
      <c r="A284" t="s">
        <v>6850</v>
      </c>
      <c r="B284" t="s">
        <v>6851</v>
      </c>
      <c r="C284" t="s">
        <v>6852</v>
      </c>
      <c r="D284" t="s">
        <v>1408</v>
      </c>
      <c r="E284">
        <v>2023</v>
      </c>
      <c r="F284" t="s">
        <v>6853</v>
      </c>
      <c r="G284" t="s">
        <v>5059</v>
      </c>
      <c r="H284" t="s">
        <v>5059</v>
      </c>
      <c r="I284" t="s">
        <v>5059</v>
      </c>
      <c r="M284" t="s">
        <v>1411</v>
      </c>
      <c r="N284" t="s">
        <v>1412</v>
      </c>
      <c r="O284" t="s">
        <v>1409</v>
      </c>
      <c r="P284" t="s">
        <v>6854</v>
      </c>
      <c r="Q284" t="s">
        <v>6855</v>
      </c>
    </row>
    <row r="285" spans="1:17" x14ac:dyDescent="0.25">
      <c r="A285" t="s">
        <v>6856</v>
      </c>
      <c r="B285" t="s">
        <v>6857</v>
      </c>
      <c r="C285" t="s">
        <v>6858</v>
      </c>
      <c r="D285" t="s">
        <v>1415</v>
      </c>
      <c r="E285">
        <v>2023</v>
      </c>
      <c r="F285" t="s">
        <v>6131</v>
      </c>
      <c r="G285" t="s">
        <v>6781</v>
      </c>
      <c r="H285" t="s">
        <v>5059</v>
      </c>
      <c r="I285" t="s">
        <v>5059</v>
      </c>
      <c r="J285">
        <v>1691</v>
      </c>
      <c r="K285">
        <v>1698</v>
      </c>
      <c r="L285">
        <v>7</v>
      </c>
      <c r="M285" t="s">
        <v>1418</v>
      </c>
      <c r="N285" t="s">
        <v>1419</v>
      </c>
      <c r="O285" t="s">
        <v>1416</v>
      </c>
      <c r="P285" t="s">
        <v>6859</v>
      </c>
      <c r="Q285" t="s">
        <v>6860</v>
      </c>
    </row>
    <row r="286" spans="1:17" x14ac:dyDescent="0.25">
      <c r="A286" t="s">
        <v>6861</v>
      </c>
      <c r="B286" t="s">
        <v>6862</v>
      </c>
      <c r="C286" t="s">
        <v>6863</v>
      </c>
      <c r="D286" t="s">
        <v>1422</v>
      </c>
      <c r="E286">
        <v>2023</v>
      </c>
      <c r="F286" t="s">
        <v>6864</v>
      </c>
      <c r="G286" t="s">
        <v>5059</v>
      </c>
      <c r="H286" t="s">
        <v>5059</v>
      </c>
      <c r="I286" t="s">
        <v>5059</v>
      </c>
      <c r="M286" t="s">
        <v>1425</v>
      </c>
      <c r="N286" t="s">
        <v>1426</v>
      </c>
      <c r="O286" t="s">
        <v>1423</v>
      </c>
      <c r="P286" t="s">
        <v>6865</v>
      </c>
      <c r="Q286" t="s">
        <v>6866</v>
      </c>
    </row>
    <row r="287" spans="1:17" x14ac:dyDescent="0.25">
      <c r="A287" t="s">
        <v>6867</v>
      </c>
      <c r="B287" t="s">
        <v>6868</v>
      </c>
      <c r="C287" t="s">
        <v>6869</v>
      </c>
      <c r="D287" t="s">
        <v>692</v>
      </c>
      <c r="E287">
        <v>2023</v>
      </c>
      <c r="F287" t="s">
        <v>5263</v>
      </c>
      <c r="G287" t="s">
        <v>6542</v>
      </c>
      <c r="H287" t="s">
        <v>5549</v>
      </c>
      <c r="I287" t="s">
        <v>5059</v>
      </c>
      <c r="J287">
        <v>11091</v>
      </c>
      <c r="K287">
        <v>11101</v>
      </c>
      <c r="L287">
        <v>10</v>
      </c>
      <c r="M287" t="s">
        <v>695</v>
      </c>
      <c r="N287" t="s">
        <v>696</v>
      </c>
      <c r="O287" t="s">
        <v>693</v>
      </c>
      <c r="P287" t="s">
        <v>6870</v>
      </c>
      <c r="Q287" t="s">
        <v>6871</v>
      </c>
    </row>
    <row r="288" spans="1:17" x14ac:dyDescent="0.25">
      <c r="A288" t="s">
        <v>6872</v>
      </c>
      <c r="B288" t="s">
        <v>6873</v>
      </c>
      <c r="C288" t="s">
        <v>6874</v>
      </c>
      <c r="D288" t="s">
        <v>699</v>
      </c>
      <c r="E288">
        <v>2023</v>
      </c>
      <c r="F288" t="s">
        <v>6875</v>
      </c>
      <c r="G288" t="s">
        <v>5059</v>
      </c>
      <c r="H288" t="s">
        <v>5059</v>
      </c>
      <c r="I288" t="s">
        <v>5059</v>
      </c>
      <c r="J288">
        <v>183</v>
      </c>
      <c r="K288">
        <v>206</v>
      </c>
      <c r="L288">
        <v>23</v>
      </c>
      <c r="M288" t="s">
        <v>703</v>
      </c>
      <c r="N288" t="s">
        <v>704</v>
      </c>
      <c r="O288" t="s">
        <v>700</v>
      </c>
      <c r="P288" t="s">
        <v>701</v>
      </c>
      <c r="Q288" t="s">
        <v>6876</v>
      </c>
    </row>
    <row r="289" spans="1:17" x14ac:dyDescent="0.25">
      <c r="A289" t="s">
        <v>6877</v>
      </c>
      <c r="B289" t="s">
        <v>6878</v>
      </c>
      <c r="C289" t="s">
        <v>6879</v>
      </c>
      <c r="D289" t="s">
        <v>1450</v>
      </c>
      <c r="E289">
        <v>2023</v>
      </c>
      <c r="F289" t="s">
        <v>6880</v>
      </c>
      <c r="G289" t="s">
        <v>5059</v>
      </c>
      <c r="H289" t="s">
        <v>5059</v>
      </c>
      <c r="I289" t="s">
        <v>5059</v>
      </c>
      <c r="M289" t="s">
        <v>1453</v>
      </c>
      <c r="N289" t="s">
        <v>1454</v>
      </c>
      <c r="O289" t="s">
        <v>1451</v>
      </c>
      <c r="P289" t="s">
        <v>5059</v>
      </c>
      <c r="Q289" t="s">
        <v>6881</v>
      </c>
    </row>
    <row r="290" spans="1:17" x14ac:dyDescent="0.25">
      <c r="A290" t="s">
        <v>5059</v>
      </c>
      <c r="B290" t="s">
        <v>5059</v>
      </c>
      <c r="C290" t="s">
        <v>5059</v>
      </c>
      <c r="D290" t="s">
        <v>1456</v>
      </c>
      <c r="E290">
        <v>2023</v>
      </c>
      <c r="F290" t="s">
        <v>1456</v>
      </c>
      <c r="G290" t="s">
        <v>5059</v>
      </c>
      <c r="H290" t="s">
        <v>5059</v>
      </c>
      <c r="I290" t="s">
        <v>5059</v>
      </c>
      <c r="L290">
        <v>644</v>
      </c>
      <c r="M290" t="s">
        <v>5059</v>
      </c>
      <c r="N290" t="s">
        <v>1458</v>
      </c>
      <c r="O290" t="s">
        <v>1457</v>
      </c>
      <c r="P290" t="s">
        <v>5059</v>
      </c>
      <c r="Q290" t="s">
        <v>6882</v>
      </c>
    </row>
    <row r="291" spans="1:17" x14ac:dyDescent="0.25">
      <c r="A291" t="s">
        <v>6883</v>
      </c>
      <c r="B291" t="s">
        <v>6884</v>
      </c>
      <c r="C291" t="s">
        <v>6885</v>
      </c>
      <c r="D291" t="s">
        <v>724</v>
      </c>
      <c r="E291">
        <v>2023</v>
      </c>
      <c r="F291" t="s">
        <v>6886</v>
      </c>
      <c r="G291" t="s">
        <v>6887</v>
      </c>
      <c r="H291" t="s">
        <v>5291</v>
      </c>
      <c r="I291" t="s">
        <v>6888</v>
      </c>
      <c r="M291" t="s">
        <v>727</v>
      </c>
      <c r="N291" t="s">
        <v>728</v>
      </c>
      <c r="O291" t="s">
        <v>725</v>
      </c>
      <c r="P291" t="s">
        <v>6889</v>
      </c>
      <c r="Q291" t="s">
        <v>6890</v>
      </c>
    </row>
    <row r="292" spans="1:17" x14ac:dyDescent="0.25">
      <c r="A292" t="s">
        <v>6891</v>
      </c>
      <c r="B292" t="s">
        <v>6892</v>
      </c>
      <c r="C292" t="s">
        <v>6893</v>
      </c>
      <c r="D292" t="s">
        <v>1472</v>
      </c>
      <c r="E292">
        <v>2023</v>
      </c>
      <c r="F292" t="s">
        <v>6894</v>
      </c>
      <c r="G292" t="s">
        <v>5059</v>
      </c>
      <c r="H292" t="s">
        <v>5059</v>
      </c>
      <c r="I292" t="s">
        <v>5059</v>
      </c>
      <c r="M292" t="s">
        <v>1475</v>
      </c>
      <c r="N292" t="s">
        <v>1476</v>
      </c>
      <c r="O292" t="s">
        <v>1473</v>
      </c>
      <c r="P292" t="s">
        <v>6895</v>
      </c>
      <c r="Q292" t="s">
        <v>6896</v>
      </c>
    </row>
    <row r="293" spans="1:17" x14ac:dyDescent="0.25">
      <c r="A293" t="s">
        <v>6041</v>
      </c>
      <c r="B293" t="s">
        <v>6042</v>
      </c>
      <c r="C293" t="s">
        <v>6043</v>
      </c>
      <c r="D293" t="s">
        <v>1479</v>
      </c>
      <c r="E293">
        <v>2023</v>
      </c>
      <c r="F293" t="s">
        <v>6897</v>
      </c>
      <c r="G293" t="s">
        <v>5059</v>
      </c>
      <c r="H293" t="s">
        <v>5059</v>
      </c>
      <c r="I293" t="s">
        <v>5059</v>
      </c>
      <c r="M293" t="s">
        <v>1482</v>
      </c>
      <c r="N293" t="s">
        <v>1483</v>
      </c>
      <c r="O293" t="s">
        <v>1480</v>
      </c>
      <c r="P293" t="s">
        <v>6898</v>
      </c>
      <c r="Q293" t="s">
        <v>6899</v>
      </c>
    </row>
    <row r="294" spans="1:17" x14ac:dyDescent="0.25">
      <c r="A294" t="s">
        <v>6900</v>
      </c>
      <c r="B294" t="s">
        <v>6901</v>
      </c>
      <c r="C294" t="s">
        <v>6902</v>
      </c>
      <c r="D294" t="s">
        <v>1493</v>
      </c>
      <c r="E294">
        <v>2023</v>
      </c>
      <c r="F294" t="s">
        <v>4157</v>
      </c>
      <c r="G294" t="s">
        <v>6903</v>
      </c>
      <c r="H294" t="s">
        <v>5059</v>
      </c>
      <c r="I294" t="s">
        <v>6904</v>
      </c>
      <c r="M294" t="s">
        <v>1496</v>
      </c>
      <c r="N294" t="s">
        <v>1497</v>
      </c>
      <c r="O294" t="s">
        <v>1494</v>
      </c>
      <c r="P294" t="s">
        <v>6905</v>
      </c>
      <c r="Q294" t="s">
        <v>6906</v>
      </c>
    </row>
    <row r="295" spans="1:17" x14ac:dyDescent="0.25">
      <c r="A295" t="s">
        <v>6907</v>
      </c>
      <c r="B295" t="s">
        <v>6908</v>
      </c>
      <c r="C295" t="s">
        <v>6909</v>
      </c>
      <c r="D295" t="s">
        <v>1500</v>
      </c>
      <c r="E295">
        <v>2023</v>
      </c>
      <c r="F295" t="s">
        <v>6910</v>
      </c>
      <c r="G295" t="s">
        <v>5059</v>
      </c>
      <c r="H295" t="s">
        <v>5059</v>
      </c>
      <c r="I295" t="s">
        <v>5059</v>
      </c>
      <c r="J295">
        <v>92</v>
      </c>
      <c r="K295">
        <v>97</v>
      </c>
      <c r="L295">
        <v>5</v>
      </c>
      <c r="M295" t="s">
        <v>1503</v>
      </c>
      <c r="N295" t="s">
        <v>1504</v>
      </c>
      <c r="O295" t="s">
        <v>1501</v>
      </c>
      <c r="P295" t="s">
        <v>6911</v>
      </c>
      <c r="Q295" t="s">
        <v>6912</v>
      </c>
    </row>
    <row r="296" spans="1:17" x14ac:dyDescent="0.25">
      <c r="A296" t="s">
        <v>6913</v>
      </c>
      <c r="B296" t="s">
        <v>6914</v>
      </c>
      <c r="C296" t="s">
        <v>6915</v>
      </c>
      <c r="D296" t="s">
        <v>1521</v>
      </c>
      <c r="E296">
        <v>2023</v>
      </c>
      <c r="F296" t="s">
        <v>6916</v>
      </c>
      <c r="G296" t="s">
        <v>5059</v>
      </c>
      <c r="H296" t="s">
        <v>5059</v>
      </c>
      <c r="I296" t="s">
        <v>5059</v>
      </c>
      <c r="J296">
        <v>148</v>
      </c>
      <c r="K296">
        <v>153</v>
      </c>
      <c r="L296">
        <v>5</v>
      </c>
      <c r="M296" t="s">
        <v>1524</v>
      </c>
      <c r="N296" t="s">
        <v>1525</v>
      </c>
      <c r="O296" t="s">
        <v>1522</v>
      </c>
      <c r="P296" t="s">
        <v>6917</v>
      </c>
      <c r="Q296" t="s">
        <v>6918</v>
      </c>
    </row>
    <row r="297" spans="1:17" x14ac:dyDescent="0.25">
      <c r="A297" t="s">
        <v>6919</v>
      </c>
      <c r="B297" t="s">
        <v>6920</v>
      </c>
      <c r="C297" t="s">
        <v>6921</v>
      </c>
      <c r="D297" t="s">
        <v>1528</v>
      </c>
      <c r="E297">
        <v>2023</v>
      </c>
      <c r="F297" t="s">
        <v>6922</v>
      </c>
      <c r="G297" t="s">
        <v>5059</v>
      </c>
      <c r="H297" t="s">
        <v>5059</v>
      </c>
      <c r="I297" t="s">
        <v>5059</v>
      </c>
      <c r="J297">
        <v>107</v>
      </c>
      <c r="K297">
        <v>112</v>
      </c>
      <c r="L297">
        <v>5</v>
      </c>
      <c r="M297" t="s">
        <v>5059</v>
      </c>
      <c r="N297" t="s">
        <v>1531</v>
      </c>
      <c r="O297" t="s">
        <v>1529</v>
      </c>
      <c r="P297" t="s">
        <v>6923</v>
      </c>
      <c r="Q297" t="s">
        <v>6924</v>
      </c>
    </row>
    <row r="298" spans="1:17" x14ac:dyDescent="0.25">
      <c r="A298" t="s">
        <v>6925</v>
      </c>
      <c r="B298" t="s">
        <v>6926</v>
      </c>
      <c r="C298" t="s">
        <v>6927</v>
      </c>
      <c r="D298" t="s">
        <v>752</v>
      </c>
      <c r="E298">
        <v>2023</v>
      </c>
      <c r="F298" t="s">
        <v>5487</v>
      </c>
      <c r="G298" t="s">
        <v>5102</v>
      </c>
      <c r="H298" t="s">
        <v>5264</v>
      </c>
      <c r="I298" t="s">
        <v>5059</v>
      </c>
      <c r="J298">
        <v>18400</v>
      </c>
      <c r="K298">
        <v>18413</v>
      </c>
      <c r="L298">
        <v>13</v>
      </c>
      <c r="M298" t="s">
        <v>755</v>
      </c>
      <c r="N298" t="s">
        <v>756</v>
      </c>
      <c r="O298" t="s">
        <v>753</v>
      </c>
      <c r="P298" t="s">
        <v>6928</v>
      </c>
      <c r="Q298" t="s">
        <v>6929</v>
      </c>
    </row>
    <row r="299" spans="1:17" x14ac:dyDescent="0.25">
      <c r="A299" t="s">
        <v>6930</v>
      </c>
      <c r="B299" t="s">
        <v>6931</v>
      </c>
      <c r="C299" t="s">
        <v>6932</v>
      </c>
      <c r="D299" t="s">
        <v>1534</v>
      </c>
      <c r="E299">
        <v>2023</v>
      </c>
      <c r="F299" t="s">
        <v>6846</v>
      </c>
      <c r="G299" t="s">
        <v>6847</v>
      </c>
      <c r="H299" t="s">
        <v>5202</v>
      </c>
      <c r="I299" t="s">
        <v>5059</v>
      </c>
      <c r="J299">
        <v>573</v>
      </c>
      <c r="K299">
        <v>589</v>
      </c>
      <c r="L299">
        <v>16</v>
      </c>
      <c r="M299" t="s">
        <v>1537</v>
      </c>
      <c r="N299" t="s">
        <v>1538</v>
      </c>
      <c r="O299" t="s">
        <v>1535</v>
      </c>
      <c r="P299" t="s">
        <v>6933</v>
      </c>
      <c r="Q299" t="s">
        <v>6934</v>
      </c>
    </row>
    <row r="300" spans="1:17" x14ac:dyDescent="0.25">
      <c r="A300" t="s">
        <v>6935</v>
      </c>
      <c r="B300" t="s">
        <v>6936</v>
      </c>
      <c r="C300" t="s">
        <v>6937</v>
      </c>
      <c r="D300" t="s">
        <v>773</v>
      </c>
      <c r="E300">
        <v>2023</v>
      </c>
      <c r="F300" t="s">
        <v>6938</v>
      </c>
      <c r="G300" t="s">
        <v>5059</v>
      </c>
      <c r="H300" t="s">
        <v>5059</v>
      </c>
      <c r="I300" t="s">
        <v>5059</v>
      </c>
      <c r="J300">
        <v>446</v>
      </c>
      <c r="K300">
        <v>454</v>
      </c>
      <c r="L300">
        <v>8</v>
      </c>
      <c r="M300" t="s">
        <v>776</v>
      </c>
      <c r="N300" t="s">
        <v>777</v>
      </c>
      <c r="O300" t="s">
        <v>774</v>
      </c>
      <c r="P300" t="s">
        <v>6939</v>
      </c>
      <c r="Q300" t="s">
        <v>6940</v>
      </c>
    </row>
    <row r="301" spans="1:17" x14ac:dyDescent="0.25">
      <c r="A301" t="s">
        <v>6941</v>
      </c>
      <c r="B301" t="s">
        <v>6942</v>
      </c>
      <c r="C301" t="s">
        <v>6943</v>
      </c>
      <c r="D301" t="s">
        <v>794</v>
      </c>
      <c r="E301">
        <v>2023</v>
      </c>
      <c r="F301" t="s">
        <v>6944</v>
      </c>
      <c r="G301" t="s">
        <v>5264</v>
      </c>
      <c r="H301" t="s">
        <v>5180</v>
      </c>
      <c r="I301" t="s">
        <v>5059</v>
      </c>
      <c r="J301">
        <v>2383</v>
      </c>
      <c r="K301">
        <v>2396</v>
      </c>
      <c r="L301">
        <v>13</v>
      </c>
      <c r="M301" t="s">
        <v>797</v>
      </c>
      <c r="N301" t="s">
        <v>798</v>
      </c>
      <c r="O301" t="s">
        <v>795</v>
      </c>
      <c r="P301" t="s">
        <v>6945</v>
      </c>
      <c r="Q301" t="s">
        <v>6946</v>
      </c>
    </row>
    <row r="302" spans="1:17" x14ac:dyDescent="0.25">
      <c r="A302" t="s">
        <v>6947</v>
      </c>
      <c r="B302" t="s">
        <v>6948</v>
      </c>
      <c r="C302" t="s">
        <v>6949</v>
      </c>
      <c r="D302" t="s">
        <v>1581</v>
      </c>
      <c r="E302">
        <v>2022</v>
      </c>
      <c r="F302" t="s">
        <v>6950</v>
      </c>
      <c r="G302" t="s">
        <v>5059</v>
      </c>
      <c r="H302" t="s">
        <v>5059</v>
      </c>
      <c r="I302" t="s">
        <v>5059</v>
      </c>
      <c r="J302">
        <v>77</v>
      </c>
      <c r="K302">
        <v>82</v>
      </c>
      <c r="L302">
        <v>5</v>
      </c>
      <c r="M302" t="s">
        <v>1584</v>
      </c>
      <c r="N302" t="s">
        <v>1585</v>
      </c>
      <c r="O302" t="s">
        <v>1582</v>
      </c>
      <c r="P302" t="s">
        <v>6951</v>
      </c>
      <c r="Q302" t="s">
        <v>6952</v>
      </c>
    </row>
    <row r="303" spans="1:17" x14ac:dyDescent="0.25">
      <c r="A303" t="s">
        <v>6953</v>
      </c>
      <c r="B303" t="s">
        <v>6954</v>
      </c>
      <c r="C303" t="s">
        <v>6955</v>
      </c>
      <c r="D303" t="s">
        <v>1588</v>
      </c>
      <c r="E303">
        <v>2022</v>
      </c>
      <c r="F303" t="s">
        <v>6793</v>
      </c>
      <c r="G303" t="s">
        <v>6956</v>
      </c>
      <c r="H303" t="s">
        <v>5059</v>
      </c>
      <c r="I303" t="s">
        <v>6957</v>
      </c>
      <c r="M303" t="s">
        <v>1591</v>
      </c>
      <c r="N303" t="s">
        <v>1592</v>
      </c>
      <c r="O303" t="s">
        <v>1589</v>
      </c>
      <c r="P303" t="s">
        <v>6958</v>
      </c>
      <c r="Q303" t="s">
        <v>6959</v>
      </c>
    </row>
    <row r="304" spans="1:17" x14ac:dyDescent="0.25">
      <c r="A304" t="s">
        <v>6960</v>
      </c>
      <c r="B304" t="s">
        <v>6961</v>
      </c>
      <c r="C304" t="s">
        <v>6962</v>
      </c>
      <c r="D304" t="s">
        <v>1595</v>
      </c>
      <c r="E304">
        <v>2022</v>
      </c>
      <c r="F304" t="s">
        <v>6963</v>
      </c>
      <c r="G304" t="s">
        <v>5059</v>
      </c>
      <c r="H304" t="s">
        <v>5059</v>
      </c>
      <c r="I304" t="s">
        <v>5059</v>
      </c>
      <c r="J304">
        <v>312</v>
      </c>
      <c r="K304">
        <v>316</v>
      </c>
      <c r="L304">
        <v>4</v>
      </c>
      <c r="M304" t="s">
        <v>1598</v>
      </c>
      <c r="N304" t="s">
        <v>1599</v>
      </c>
      <c r="O304" t="s">
        <v>1596</v>
      </c>
      <c r="P304" t="s">
        <v>6964</v>
      </c>
      <c r="Q304" t="s">
        <v>6965</v>
      </c>
    </row>
    <row r="305" spans="1:17" x14ac:dyDescent="0.25">
      <c r="A305" t="s">
        <v>6966</v>
      </c>
      <c r="B305" t="s">
        <v>6967</v>
      </c>
      <c r="C305" t="s">
        <v>6968</v>
      </c>
      <c r="D305" t="s">
        <v>843</v>
      </c>
      <c r="E305">
        <v>2023</v>
      </c>
      <c r="F305" t="s">
        <v>6969</v>
      </c>
      <c r="G305" t="s">
        <v>5059</v>
      </c>
      <c r="H305" t="s">
        <v>5059</v>
      </c>
      <c r="I305" t="s">
        <v>5059</v>
      </c>
      <c r="M305" t="s">
        <v>846</v>
      </c>
      <c r="N305" t="s">
        <v>847</v>
      </c>
      <c r="O305" t="s">
        <v>844</v>
      </c>
      <c r="P305" t="s">
        <v>5059</v>
      </c>
      <c r="Q305" t="s">
        <v>6970</v>
      </c>
    </row>
    <row r="306" spans="1:17" x14ac:dyDescent="0.25">
      <c r="A306" t="s">
        <v>6971</v>
      </c>
      <c r="B306" t="s">
        <v>6972</v>
      </c>
      <c r="C306" t="s">
        <v>6973</v>
      </c>
      <c r="D306" t="s">
        <v>1609</v>
      </c>
      <c r="E306">
        <v>2022</v>
      </c>
      <c r="F306" t="s">
        <v>5329</v>
      </c>
      <c r="G306" t="s">
        <v>6887</v>
      </c>
      <c r="H306" t="s">
        <v>5059</v>
      </c>
      <c r="I306" t="s">
        <v>6974</v>
      </c>
      <c r="M306" t="s">
        <v>1612</v>
      </c>
      <c r="N306" t="s">
        <v>1613</v>
      </c>
      <c r="O306" t="s">
        <v>1610</v>
      </c>
      <c r="P306" t="s">
        <v>1611</v>
      </c>
      <c r="Q306" t="s">
        <v>6975</v>
      </c>
    </row>
    <row r="307" spans="1:17" x14ac:dyDescent="0.25">
      <c r="A307" t="s">
        <v>6976</v>
      </c>
      <c r="B307" t="s">
        <v>6977</v>
      </c>
      <c r="C307" t="s">
        <v>6978</v>
      </c>
      <c r="D307" t="s">
        <v>850</v>
      </c>
      <c r="E307">
        <v>2023</v>
      </c>
      <c r="F307" t="s">
        <v>5898</v>
      </c>
      <c r="G307" t="s">
        <v>6979</v>
      </c>
      <c r="H307" t="s">
        <v>5059</v>
      </c>
      <c r="I307" t="s">
        <v>5059</v>
      </c>
      <c r="J307">
        <v>169</v>
      </c>
      <c r="K307">
        <v>178</v>
      </c>
      <c r="L307">
        <v>9</v>
      </c>
      <c r="M307" t="s">
        <v>853</v>
      </c>
      <c r="N307" t="s">
        <v>854</v>
      </c>
      <c r="O307" t="s">
        <v>851</v>
      </c>
      <c r="P307" t="s">
        <v>6980</v>
      </c>
      <c r="Q307" t="s">
        <v>6981</v>
      </c>
    </row>
    <row r="308" spans="1:17" x14ac:dyDescent="0.25">
      <c r="A308" t="s">
        <v>6982</v>
      </c>
      <c r="B308" t="s">
        <v>6983</v>
      </c>
      <c r="C308" t="s">
        <v>6984</v>
      </c>
      <c r="D308" t="s">
        <v>1630</v>
      </c>
      <c r="E308">
        <v>2022</v>
      </c>
      <c r="F308" t="s">
        <v>6985</v>
      </c>
      <c r="G308" t="s">
        <v>6986</v>
      </c>
      <c r="H308" t="s">
        <v>5059</v>
      </c>
      <c r="I308" t="s">
        <v>5059</v>
      </c>
      <c r="J308">
        <v>980</v>
      </c>
      <c r="K308">
        <v>985</v>
      </c>
      <c r="L308">
        <v>5</v>
      </c>
      <c r="M308" t="s">
        <v>1633</v>
      </c>
      <c r="N308" t="s">
        <v>1634</v>
      </c>
      <c r="O308" t="s">
        <v>1631</v>
      </c>
      <c r="P308" t="s">
        <v>6987</v>
      </c>
      <c r="Q308" t="s">
        <v>6988</v>
      </c>
    </row>
    <row r="309" spans="1:17" x14ac:dyDescent="0.25">
      <c r="A309" t="s">
        <v>6989</v>
      </c>
      <c r="B309" t="s">
        <v>6990</v>
      </c>
      <c r="C309" t="s">
        <v>6991</v>
      </c>
      <c r="D309" t="s">
        <v>892</v>
      </c>
      <c r="E309">
        <v>2022</v>
      </c>
      <c r="F309" t="s">
        <v>6992</v>
      </c>
      <c r="G309" t="s">
        <v>5828</v>
      </c>
      <c r="H309" t="s">
        <v>5157</v>
      </c>
      <c r="I309" t="s">
        <v>6993</v>
      </c>
      <c r="M309" t="s">
        <v>895</v>
      </c>
      <c r="N309" t="s">
        <v>896</v>
      </c>
      <c r="O309" t="s">
        <v>893</v>
      </c>
      <c r="P309" t="s">
        <v>6994</v>
      </c>
      <c r="Q309" t="s">
        <v>6995</v>
      </c>
    </row>
    <row r="310" spans="1:17" x14ac:dyDescent="0.25">
      <c r="A310" t="s">
        <v>6996</v>
      </c>
      <c r="B310" t="s">
        <v>6997</v>
      </c>
      <c r="C310" t="s">
        <v>6998</v>
      </c>
      <c r="D310" t="s">
        <v>1637</v>
      </c>
      <c r="E310">
        <v>2022</v>
      </c>
      <c r="F310" t="s">
        <v>6999</v>
      </c>
      <c r="G310" t="s">
        <v>5059</v>
      </c>
      <c r="H310" t="s">
        <v>5059</v>
      </c>
      <c r="I310" t="s">
        <v>5059</v>
      </c>
      <c r="L310">
        <v>8</v>
      </c>
      <c r="M310" t="s">
        <v>1640</v>
      </c>
      <c r="N310" t="s">
        <v>1641</v>
      </c>
      <c r="O310" t="s">
        <v>1638</v>
      </c>
      <c r="P310" t="s">
        <v>5059</v>
      </c>
      <c r="Q310" t="s">
        <v>7000</v>
      </c>
    </row>
    <row r="311" spans="1:17" x14ac:dyDescent="0.25">
      <c r="A311" t="s">
        <v>7001</v>
      </c>
      <c r="B311" t="s">
        <v>7002</v>
      </c>
      <c r="C311" t="s">
        <v>7003</v>
      </c>
      <c r="D311" t="s">
        <v>1644</v>
      </c>
      <c r="E311">
        <v>2022</v>
      </c>
      <c r="F311" t="s">
        <v>7004</v>
      </c>
      <c r="G311" t="s">
        <v>6648</v>
      </c>
      <c r="H311" t="s">
        <v>5180</v>
      </c>
      <c r="I311" t="s">
        <v>5059</v>
      </c>
      <c r="J311">
        <v>411</v>
      </c>
      <c r="K311">
        <v>429</v>
      </c>
      <c r="L311">
        <v>18</v>
      </c>
      <c r="M311" t="s">
        <v>1647</v>
      </c>
      <c r="N311" t="s">
        <v>1648</v>
      </c>
      <c r="O311" t="s">
        <v>1645</v>
      </c>
      <c r="P311" t="s">
        <v>7005</v>
      </c>
      <c r="Q311" t="s">
        <v>7006</v>
      </c>
    </row>
    <row r="312" spans="1:17" x14ac:dyDescent="0.25">
      <c r="A312" t="s">
        <v>7007</v>
      </c>
      <c r="B312" t="s">
        <v>7008</v>
      </c>
      <c r="C312" t="s">
        <v>7009</v>
      </c>
      <c r="D312" t="s">
        <v>1665</v>
      </c>
      <c r="E312">
        <v>2022</v>
      </c>
      <c r="F312" t="s">
        <v>5905</v>
      </c>
      <c r="G312" t="s">
        <v>7010</v>
      </c>
      <c r="H312" t="s">
        <v>5202</v>
      </c>
      <c r="I312" t="s">
        <v>7011</v>
      </c>
      <c r="M312" t="s">
        <v>1668</v>
      </c>
      <c r="N312" t="s">
        <v>1669</v>
      </c>
      <c r="O312" t="s">
        <v>1666</v>
      </c>
      <c r="P312" t="s">
        <v>5059</v>
      </c>
      <c r="Q312" t="s">
        <v>7012</v>
      </c>
    </row>
    <row r="313" spans="1:17" x14ac:dyDescent="0.25">
      <c r="A313" t="s">
        <v>7013</v>
      </c>
      <c r="B313" t="s">
        <v>7014</v>
      </c>
      <c r="C313" t="s">
        <v>7015</v>
      </c>
      <c r="D313" t="s">
        <v>1679</v>
      </c>
      <c r="E313">
        <v>2022</v>
      </c>
      <c r="F313" t="s">
        <v>7016</v>
      </c>
      <c r="G313" t="s">
        <v>5059</v>
      </c>
      <c r="H313" t="s">
        <v>5059</v>
      </c>
      <c r="I313" t="s">
        <v>5059</v>
      </c>
      <c r="J313">
        <v>864</v>
      </c>
      <c r="K313">
        <v>867</v>
      </c>
      <c r="L313">
        <v>3</v>
      </c>
      <c r="M313" t="s">
        <v>1682</v>
      </c>
      <c r="N313" t="s">
        <v>1683</v>
      </c>
      <c r="O313" t="s">
        <v>1680</v>
      </c>
      <c r="P313" t="s">
        <v>7017</v>
      </c>
      <c r="Q313" t="s">
        <v>7018</v>
      </c>
    </row>
    <row r="314" spans="1:17" x14ac:dyDescent="0.25">
      <c r="A314" t="s">
        <v>7019</v>
      </c>
      <c r="B314" t="s">
        <v>7020</v>
      </c>
      <c r="C314" t="s">
        <v>7021</v>
      </c>
      <c r="D314" t="s">
        <v>899</v>
      </c>
      <c r="E314">
        <v>2022</v>
      </c>
      <c r="F314" t="s">
        <v>5049</v>
      </c>
      <c r="G314" t="s">
        <v>5367</v>
      </c>
      <c r="H314" t="s">
        <v>5102</v>
      </c>
      <c r="I314" t="s">
        <v>7022</v>
      </c>
      <c r="M314" t="s">
        <v>902</v>
      </c>
      <c r="N314" t="s">
        <v>903</v>
      </c>
      <c r="O314" t="s">
        <v>900</v>
      </c>
      <c r="P314" t="s">
        <v>7023</v>
      </c>
      <c r="Q314" t="s">
        <v>7024</v>
      </c>
    </row>
    <row r="315" spans="1:17" x14ac:dyDescent="0.25">
      <c r="A315" t="s">
        <v>7025</v>
      </c>
      <c r="B315" t="s">
        <v>7026</v>
      </c>
      <c r="C315" t="s">
        <v>7027</v>
      </c>
      <c r="D315" t="s">
        <v>1707</v>
      </c>
      <c r="E315">
        <v>2022</v>
      </c>
      <c r="F315" t="s">
        <v>7028</v>
      </c>
      <c r="G315" t="s">
        <v>5059</v>
      </c>
      <c r="H315" t="s">
        <v>5059</v>
      </c>
      <c r="I315" t="s">
        <v>5059</v>
      </c>
      <c r="J315">
        <v>958</v>
      </c>
      <c r="K315">
        <v>964</v>
      </c>
      <c r="L315">
        <v>6</v>
      </c>
      <c r="M315" t="s">
        <v>1710</v>
      </c>
      <c r="N315" t="s">
        <v>1711</v>
      </c>
      <c r="O315" t="s">
        <v>1708</v>
      </c>
      <c r="P315" t="s">
        <v>7029</v>
      </c>
      <c r="Q315" t="s">
        <v>7030</v>
      </c>
    </row>
    <row r="316" spans="1:17" x14ac:dyDescent="0.25">
      <c r="A316" t="s">
        <v>7031</v>
      </c>
      <c r="B316" t="s">
        <v>7032</v>
      </c>
      <c r="C316" t="s">
        <v>7033</v>
      </c>
      <c r="D316" t="s">
        <v>1714</v>
      </c>
      <c r="E316">
        <v>2022</v>
      </c>
      <c r="F316" t="s">
        <v>7034</v>
      </c>
      <c r="G316" t="s">
        <v>5195</v>
      </c>
      <c r="H316" t="s">
        <v>5103</v>
      </c>
      <c r="I316" t="s">
        <v>5059</v>
      </c>
      <c r="J316">
        <v>93</v>
      </c>
      <c r="K316">
        <v>111</v>
      </c>
      <c r="L316">
        <v>18</v>
      </c>
      <c r="M316" t="s">
        <v>1717</v>
      </c>
      <c r="N316" t="s">
        <v>1718</v>
      </c>
      <c r="O316" t="s">
        <v>1715</v>
      </c>
      <c r="P316" t="s">
        <v>7035</v>
      </c>
      <c r="Q316" t="s">
        <v>7036</v>
      </c>
    </row>
    <row r="317" spans="1:17" x14ac:dyDescent="0.25">
      <c r="A317" t="s">
        <v>7037</v>
      </c>
      <c r="B317" t="s">
        <v>7038</v>
      </c>
      <c r="C317" t="s">
        <v>7039</v>
      </c>
      <c r="D317" t="s">
        <v>1721</v>
      </c>
      <c r="E317">
        <v>2022</v>
      </c>
      <c r="F317" t="s">
        <v>7040</v>
      </c>
      <c r="G317" t="s">
        <v>5463</v>
      </c>
      <c r="H317" t="s">
        <v>5549</v>
      </c>
      <c r="I317" t="s">
        <v>5059</v>
      </c>
      <c r="J317">
        <v>11122</v>
      </c>
      <c r="K317">
        <v>11134</v>
      </c>
      <c r="L317">
        <v>12</v>
      </c>
      <c r="M317" t="s">
        <v>1724</v>
      </c>
      <c r="N317" t="s">
        <v>1725</v>
      </c>
      <c r="O317" t="s">
        <v>1722</v>
      </c>
      <c r="P317" t="s">
        <v>7041</v>
      </c>
      <c r="Q317" t="s">
        <v>7042</v>
      </c>
    </row>
    <row r="318" spans="1:17" x14ac:dyDescent="0.25">
      <c r="A318" t="s">
        <v>7043</v>
      </c>
      <c r="B318" t="s">
        <v>7044</v>
      </c>
      <c r="C318" t="s">
        <v>7045</v>
      </c>
      <c r="D318" t="s">
        <v>1735</v>
      </c>
      <c r="E318">
        <v>2022</v>
      </c>
      <c r="F318" t="s">
        <v>7046</v>
      </c>
      <c r="G318" t="s">
        <v>5059</v>
      </c>
      <c r="H318" t="s">
        <v>5059</v>
      </c>
      <c r="I318" t="s">
        <v>5059</v>
      </c>
      <c r="M318" t="s">
        <v>1738</v>
      </c>
      <c r="N318" t="s">
        <v>1739</v>
      </c>
      <c r="O318" t="s">
        <v>1736</v>
      </c>
      <c r="P318" t="s">
        <v>7047</v>
      </c>
      <c r="Q318" t="s">
        <v>7048</v>
      </c>
    </row>
    <row r="319" spans="1:17" x14ac:dyDescent="0.25">
      <c r="A319" t="s">
        <v>7049</v>
      </c>
      <c r="B319" t="s">
        <v>7050</v>
      </c>
      <c r="C319" t="s">
        <v>7051</v>
      </c>
      <c r="D319" t="s">
        <v>1749</v>
      </c>
      <c r="E319">
        <v>2022</v>
      </c>
      <c r="F319" t="s">
        <v>5713</v>
      </c>
      <c r="G319" t="s">
        <v>7052</v>
      </c>
      <c r="H319" t="s">
        <v>5059</v>
      </c>
      <c r="I319" t="s">
        <v>5059</v>
      </c>
      <c r="M319" t="s">
        <v>1752</v>
      </c>
      <c r="N319" t="s">
        <v>1753</v>
      </c>
      <c r="O319" t="s">
        <v>1750</v>
      </c>
      <c r="P319" t="s">
        <v>7053</v>
      </c>
      <c r="Q319" t="s">
        <v>7054</v>
      </c>
    </row>
    <row r="320" spans="1:17" x14ac:dyDescent="0.25">
      <c r="A320" t="s">
        <v>6519</v>
      </c>
      <c r="B320" t="s">
        <v>6520</v>
      </c>
      <c r="C320" t="s">
        <v>6521</v>
      </c>
      <c r="D320" t="s">
        <v>1755</v>
      </c>
      <c r="E320">
        <v>2022</v>
      </c>
      <c r="F320" t="s">
        <v>5887</v>
      </c>
      <c r="G320" t="s">
        <v>7055</v>
      </c>
      <c r="H320" t="s">
        <v>5059</v>
      </c>
      <c r="I320" t="s">
        <v>5059</v>
      </c>
      <c r="J320">
        <v>5110</v>
      </c>
      <c r="K320">
        <v>5115</v>
      </c>
      <c r="L320">
        <v>5</v>
      </c>
      <c r="M320" t="s">
        <v>1758</v>
      </c>
      <c r="N320" t="s">
        <v>1759</v>
      </c>
      <c r="O320" t="s">
        <v>1756</v>
      </c>
      <c r="P320" t="s">
        <v>7056</v>
      </c>
      <c r="Q320" t="s">
        <v>7057</v>
      </c>
    </row>
    <row r="321" spans="1:17" x14ac:dyDescent="0.25">
      <c r="A321" t="s">
        <v>7058</v>
      </c>
      <c r="B321" t="s">
        <v>7059</v>
      </c>
      <c r="C321" t="s">
        <v>7060</v>
      </c>
      <c r="D321" t="s">
        <v>1762</v>
      </c>
      <c r="E321">
        <v>2022</v>
      </c>
      <c r="F321" t="s">
        <v>5887</v>
      </c>
      <c r="G321" t="s">
        <v>7055</v>
      </c>
      <c r="H321" t="s">
        <v>5059</v>
      </c>
      <c r="I321" t="s">
        <v>5059</v>
      </c>
      <c r="J321">
        <v>1</v>
      </c>
      <c r="K321">
        <v>6</v>
      </c>
      <c r="L321">
        <v>5</v>
      </c>
      <c r="M321" t="s">
        <v>1765</v>
      </c>
      <c r="N321" t="s">
        <v>1766</v>
      </c>
      <c r="O321" t="s">
        <v>1763</v>
      </c>
      <c r="P321" t="s">
        <v>7061</v>
      </c>
      <c r="Q321" t="s">
        <v>7062</v>
      </c>
    </row>
    <row r="322" spans="1:17" x14ac:dyDescent="0.25">
      <c r="A322" t="s">
        <v>7063</v>
      </c>
      <c r="B322" t="s">
        <v>7064</v>
      </c>
      <c r="C322" t="s">
        <v>7065</v>
      </c>
      <c r="D322" t="s">
        <v>1769</v>
      </c>
      <c r="E322">
        <v>2022</v>
      </c>
      <c r="F322" t="s">
        <v>7066</v>
      </c>
      <c r="G322" t="s">
        <v>5059</v>
      </c>
      <c r="H322" t="s">
        <v>5059</v>
      </c>
      <c r="I322" t="s">
        <v>5059</v>
      </c>
      <c r="J322">
        <v>958</v>
      </c>
      <c r="K322">
        <v>961</v>
      </c>
      <c r="L322">
        <v>3</v>
      </c>
      <c r="M322" t="s">
        <v>1772</v>
      </c>
      <c r="N322" t="s">
        <v>1773</v>
      </c>
      <c r="O322" t="s">
        <v>1770</v>
      </c>
      <c r="P322" t="s">
        <v>7067</v>
      </c>
      <c r="Q322" t="s">
        <v>7068</v>
      </c>
    </row>
    <row r="323" spans="1:17" x14ac:dyDescent="0.25">
      <c r="A323" t="s">
        <v>7069</v>
      </c>
      <c r="B323" t="s">
        <v>7070</v>
      </c>
      <c r="C323" t="s">
        <v>7071</v>
      </c>
      <c r="D323" t="s">
        <v>983</v>
      </c>
      <c r="E323">
        <v>2023</v>
      </c>
      <c r="F323" t="s">
        <v>7072</v>
      </c>
      <c r="G323" t="s">
        <v>5059</v>
      </c>
      <c r="H323" t="s">
        <v>5059</v>
      </c>
      <c r="I323" t="s">
        <v>5059</v>
      </c>
      <c r="J323">
        <v>104</v>
      </c>
      <c r="K323">
        <v>109</v>
      </c>
      <c r="L323">
        <v>5</v>
      </c>
      <c r="M323" t="s">
        <v>986</v>
      </c>
      <c r="N323" t="s">
        <v>987</v>
      </c>
      <c r="O323" t="s">
        <v>984</v>
      </c>
      <c r="P323" t="s">
        <v>7073</v>
      </c>
      <c r="Q323" t="s">
        <v>7074</v>
      </c>
    </row>
    <row r="324" spans="1:17" x14ac:dyDescent="0.25">
      <c r="A324" t="s">
        <v>7075</v>
      </c>
      <c r="B324" t="s">
        <v>7076</v>
      </c>
      <c r="C324" t="s">
        <v>7077</v>
      </c>
      <c r="D324" t="s">
        <v>1783</v>
      </c>
      <c r="E324">
        <v>2022</v>
      </c>
      <c r="F324" t="s">
        <v>7078</v>
      </c>
      <c r="G324" t="s">
        <v>5059</v>
      </c>
      <c r="H324" t="s">
        <v>5059</v>
      </c>
      <c r="I324" t="s">
        <v>5059</v>
      </c>
      <c r="J324">
        <v>214</v>
      </c>
      <c r="K324">
        <v>222</v>
      </c>
      <c r="L324">
        <v>8</v>
      </c>
      <c r="M324" t="s">
        <v>1786</v>
      </c>
      <c r="N324" t="s">
        <v>1787</v>
      </c>
      <c r="O324" t="s">
        <v>1784</v>
      </c>
      <c r="P324" t="s">
        <v>7079</v>
      </c>
      <c r="Q324" t="s">
        <v>7080</v>
      </c>
    </row>
    <row r="325" spans="1:17" x14ac:dyDescent="0.25">
      <c r="A325" t="s">
        <v>7081</v>
      </c>
      <c r="B325" t="s">
        <v>7082</v>
      </c>
      <c r="C325" t="s">
        <v>7083</v>
      </c>
      <c r="D325" t="s">
        <v>1797</v>
      </c>
      <c r="E325">
        <v>2022</v>
      </c>
      <c r="F325" t="s">
        <v>7084</v>
      </c>
      <c r="G325" t="s">
        <v>7085</v>
      </c>
      <c r="H325" t="s">
        <v>5202</v>
      </c>
      <c r="I325" t="s">
        <v>5998</v>
      </c>
      <c r="M325" t="s">
        <v>1800</v>
      </c>
      <c r="N325" t="s">
        <v>1801</v>
      </c>
      <c r="O325" t="s">
        <v>1798</v>
      </c>
      <c r="P325" t="s">
        <v>7086</v>
      </c>
      <c r="Q325" t="s">
        <v>7087</v>
      </c>
    </row>
    <row r="326" spans="1:17" x14ac:dyDescent="0.25">
      <c r="A326" t="s">
        <v>7088</v>
      </c>
      <c r="B326" t="s">
        <v>7089</v>
      </c>
      <c r="C326" t="s">
        <v>7090</v>
      </c>
      <c r="D326" t="s">
        <v>1042</v>
      </c>
      <c r="E326">
        <v>2023</v>
      </c>
      <c r="F326" t="s">
        <v>6165</v>
      </c>
      <c r="G326" t="s">
        <v>7091</v>
      </c>
      <c r="H326" t="s">
        <v>5059</v>
      </c>
      <c r="I326" t="s">
        <v>5059</v>
      </c>
      <c r="M326" t="s">
        <v>1045</v>
      </c>
      <c r="N326" t="s">
        <v>1046</v>
      </c>
      <c r="O326" t="s">
        <v>1043</v>
      </c>
      <c r="P326" t="s">
        <v>7092</v>
      </c>
      <c r="Q326" t="s">
        <v>7093</v>
      </c>
    </row>
    <row r="327" spans="1:17" x14ac:dyDescent="0.25">
      <c r="A327" t="s">
        <v>7094</v>
      </c>
      <c r="B327" t="s">
        <v>7095</v>
      </c>
      <c r="C327" t="s">
        <v>7096</v>
      </c>
      <c r="D327" t="s">
        <v>1055</v>
      </c>
      <c r="E327">
        <v>2023</v>
      </c>
      <c r="F327" t="s">
        <v>7097</v>
      </c>
      <c r="G327" t="s">
        <v>5059</v>
      </c>
      <c r="H327" t="s">
        <v>5059</v>
      </c>
      <c r="I327" t="s">
        <v>5059</v>
      </c>
      <c r="J327">
        <v>804</v>
      </c>
      <c r="K327">
        <v>811</v>
      </c>
      <c r="L327">
        <v>7</v>
      </c>
      <c r="M327" t="s">
        <v>5059</v>
      </c>
      <c r="N327" t="s">
        <v>1058</v>
      </c>
      <c r="O327" t="s">
        <v>1056</v>
      </c>
      <c r="P327" t="s">
        <v>7098</v>
      </c>
      <c r="Q327" t="s">
        <v>7099</v>
      </c>
    </row>
    <row r="328" spans="1:17" x14ac:dyDescent="0.25">
      <c r="A328" t="s">
        <v>7100</v>
      </c>
      <c r="B328" t="s">
        <v>7101</v>
      </c>
      <c r="C328" t="s">
        <v>7102</v>
      </c>
      <c r="D328" t="s">
        <v>1811</v>
      </c>
      <c r="E328">
        <v>2022</v>
      </c>
      <c r="F328" t="s">
        <v>5487</v>
      </c>
      <c r="G328" t="s">
        <v>5754</v>
      </c>
      <c r="H328" t="s">
        <v>5103</v>
      </c>
      <c r="I328" t="s">
        <v>5059</v>
      </c>
      <c r="J328">
        <v>1339</v>
      </c>
      <c r="K328">
        <v>1353</v>
      </c>
      <c r="L328">
        <v>14</v>
      </c>
      <c r="M328" t="s">
        <v>1814</v>
      </c>
      <c r="N328" t="s">
        <v>1815</v>
      </c>
      <c r="O328" t="s">
        <v>1812</v>
      </c>
      <c r="P328" t="s">
        <v>7103</v>
      </c>
      <c r="Q328" t="s">
        <v>7104</v>
      </c>
    </row>
    <row r="329" spans="1:17" x14ac:dyDescent="0.25">
      <c r="A329" t="s">
        <v>7105</v>
      </c>
      <c r="B329" t="s">
        <v>7106</v>
      </c>
      <c r="C329" t="s">
        <v>7107</v>
      </c>
      <c r="D329" t="s">
        <v>1818</v>
      </c>
      <c r="E329">
        <v>2022</v>
      </c>
      <c r="F329" t="s">
        <v>7108</v>
      </c>
      <c r="G329" t="s">
        <v>7109</v>
      </c>
      <c r="H329" t="s">
        <v>5367</v>
      </c>
      <c r="I329" t="s">
        <v>5059</v>
      </c>
      <c r="J329">
        <v>7277</v>
      </c>
      <c r="K329">
        <v>7295</v>
      </c>
      <c r="L329">
        <v>18</v>
      </c>
      <c r="M329" t="s">
        <v>1821</v>
      </c>
      <c r="N329" t="s">
        <v>1822</v>
      </c>
      <c r="O329" t="s">
        <v>1819</v>
      </c>
      <c r="P329" t="s">
        <v>7110</v>
      </c>
      <c r="Q329" t="s">
        <v>7111</v>
      </c>
    </row>
    <row r="330" spans="1:17" x14ac:dyDescent="0.25">
      <c r="A330" t="s">
        <v>7112</v>
      </c>
      <c r="B330" t="s">
        <v>7113</v>
      </c>
      <c r="C330" t="s">
        <v>7114</v>
      </c>
      <c r="D330" t="s">
        <v>1825</v>
      </c>
      <c r="E330">
        <v>2022</v>
      </c>
      <c r="F330" t="s">
        <v>7115</v>
      </c>
      <c r="G330" t="s">
        <v>5059</v>
      </c>
      <c r="H330" t="s">
        <v>5059</v>
      </c>
      <c r="I330" t="s">
        <v>5059</v>
      </c>
      <c r="J330">
        <v>43</v>
      </c>
      <c r="K330">
        <v>47</v>
      </c>
      <c r="L330">
        <v>4</v>
      </c>
      <c r="M330" t="s">
        <v>1828</v>
      </c>
      <c r="N330" t="s">
        <v>1829</v>
      </c>
      <c r="O330" t="s">
        <v>1826</v>
      </c>
      <c r="P330" t="s">
        <v>7116</v>
      </c>
      <c r="Q330" t="s">
        <v>7117</v>
      </c>
    </row>
    <row r="331" spans="1:17" x14ac:dyDescent="0.25">
      <c r="A331" t="s">
        <v>7118</v>
      </c>
      <c r="B331" t="s">
        <v>7119</v>
      </c>
      <c r="C331" t="s">
        <v>7120</v>
      </c>
      <c r="D331" t="s">
        <v>1832</v>
      </c>
      <c r="E331">
        <v>2022</v>
      </c>
      <c r="F331" t="s">
        <v>6938</v>
      </c>
      <c r="G331" t="s">
        <v>5059</v>
      </c>
      <c r="H331" t="s">
        <v>5059</v>
      </c>
      <c r="I331" t="s">
        <v>5059</v>
      </c>
      <c r="J331">
        <v>738</v>
      </c>
      <c r="K331">
        <v>741</v>
      </c>
      <c r="L331">
        <v>3</v>
      </c>
      <c r="M331" t="s">
        <v>1835</v>
      </c>
      <c r="N331" t="s">
        <v>1836</v>
      </c>
      <c r="O331" t="s">
        <v>1833</v>
      </c>
      <c r="P331" t="s">
        <v>7121</v>
      </c>
      <c r="Q331" t="s">
        <v>7122</v>
      </c>
    </row>
    <row r="332" spans="1:17" x14ac:dyDescent="0.25">
      <c r="A332" t="s">
        <v>7123</v>
      </c>
      <c r="B332" t="s">
        <v>7124</v>
      </c>
      <c r="C332" t="s">
        <v>7125</v>
      </c>
      <c r="D332" t="s">
        <v>1839</v>
      </c>
      <c r="E332">
        <v>2022</v>
      </c>
      <c r="F332" t="s">
        <v>7126</v>
      </c>
      <c r="G332" t="s">
        <v>5059</v>
      </c>
      <c r="H332" t="s">
        <v>5059</v>
      </c>
      <c r="I332" t="s">
        <v>5059</v>
      </c>
      <c r="M332" t="s">
        <v>1842</v>
      </c>
      <c r="N332" t="s">
        <v>1843</v>
      </c>
      <c r="O332" t="s">
        <v>1840</v>
      </c>
      <c r="P332" t="s">
        <v>7127</v>
      </c>
      <c r="Q332" t="s">
        <v>7128</v>
      </c>
    </row>
    <row r="333" spans="1:17" x14ac:dyDescent="0.25">
      <c r="A333" t="s">
        <v>7129</v>
      </c>
      <c r="B333" t="s">
        <v>7130</v>
      </c>
      <c r="C333" t="s">
        <v>7131</v>
      </c>
      <c r="D333" t="s">
        <v>1860</v>
      </c>
      <c r="E333">
        <v>2022</v>
      </c>
      <c r="F333" t="s">
        <v>5290</v>
      </c>
      <c r="G333" t="s">
        <v>5549</v>
      </c>
      <c r="H333" t="s">
        <v>5195</v>
      </c>
      <c r="I333" t="s">
        <v>7132</v>
      </c>
      <c r="M333" t="s">
        <v>1863</v>
      </c>
      <c r="N333" t="s">
        <v>1864</v>
      </c>
      <c r="O333" t="s">
        <v>1861</v>
      </c>
      <c r="P333" t="s">
        <v>1862</v>
      </c>
      <c r="Q333" t="s">
        <v>7133</v>
      </c>
    </row>
    <row r="334" spans="1:17" x14ac:dyDescent="0.25">
      <c r="A334" t="s">
        <v>7134</v>
      </c>
      <c r="B334" t="s">
        <v>7135</v>
      </c>
      <c r="C334" t="s">
        <v>7136</v>
      </c>
      <c r="D334" t="s">
        <v>1867</v>
      </c>
      <c r="E334">
        <v>2022</v>
      </c>
      <c r="F334" t="s">
        <v>7137</v>
      </c>
      <c r="G334" t="s">
        <v>6986</v>
      </c>
      <c r="H334" t="s">
        <v>5059</v>
      </c>
      <c r="I334" t="s">
        <v>5059</v>
      </c>
      <c r="J334">
        <v>194</v>
      </c>
      <c r="K334">
        <v>204</v>
      </c>
      <c r="L334">
        <v>10</v>
      </c>
      <c r="M334" t="s">
        <v>1870</v>
      </c>
      <c r="N334" t="s">
        <v>1871</v>
      </c>
      <c r="O334" t="s">
        <v>1868</v>
      </c>
      <c r="P334" t="s">
        <v>7138</v>
      </c>
      <c r="Q334" t="s">
        <v>7139</v>
      </c>
    </row>
    <row r="335" spans="1:17" x14ac:dyDescent="0.25">
      <c r="A335" t="s">
        <v>7140</v>
      </c>
      <c r="B335" t="s">
        <v>7141</v>
      </c>
      <c r="C335" t="s">
        <v>7142</v>
      </c>
      <c r="D335" t="s">
        <v>1124</v>
      </c>
      <c r="E335">
        <v>2023</v>
      </c>
      <c r="F335" t="s">
        <v>7143</v>
      </c>
      <c r="G335" t="s">
        <v>5238</v>
      </c>
      <c r="H335" t="s">
        <v>5059</v>
      </c>
      <c r="I335" t="s">
        <v>5059</v>
      </c>
      <c r="J335">
        <v>2766</v>
      </c>
      <c r="K335">
        <v>2779</v>
      </c>
      <c r="L335">
        <v>13</v>
      </c>
      <c r="M335" t="s">
        <v>1127</v>
      </c>
      <c r="N335" t="s">
        <v>1128</v>
      </c>
      <c r="O335" t="s">
        <v>1125</v>
      </c>
      <c r="P335" t="s">
        <v>7144</v>
      </c>
      <c r="Q335" t="s">
        <v>7145</v>
      </c>
    </row>
    <row r="336" spans="1:17" x14ac:dyDescent="0.25">
      <c r="A336" t="s">
        <v>7146</v>
      </c>
      <c r="B336" t="s">
        <v>7147</v>
      </c>
      <c r="C336" t="s">
        <v>7148</v>
      </c>
      <c r="D336" t="s">
        <v>1131</v>
      </c>
      <c r="E336">
        <v>2023</v>
      </c>
      <c r="F336" t="s">
        <v>5049</v>
      </c>
      <c r="G336" t="s">
        <v>5195</v>
      </c>
      <c r="H336" t="s">
        <v>5202</v>
      </c>
      <c r="I336" t="s">
        <v>7149</v>
      </c>
      <c r="M336" t="s">
        <v>1134</v>
      </c>
      <c r="N336" t="s">
        <v>1135</v>
      </c>
      <c r="O336" t="s">
        <v>1132</v>
      </c>
      <c r="P336" t="s">
        <v>7150</v>
      </c>
      <c r="Q336" t="s">
        <v>7151</v>
      </c>
    </row>
    <row r="337" spans="1:17" x14ac:dyDescent="0.25">
      <c r="A337" t="s">
        <v>7152</v>
      </c>
      <c r="B337" t="s">
        <v>7153</v>
      </c>
      <c r="C337" t="s">
        <v>7154</v>
      </c>
      <c r="D337" t="s">
        <v>1152</v>
      </c>
      <c r="E337">
        <v>2023</v>
      </c>
      <c r="F337" t="s">
        <v>5186</v>
      </c>
      <c r="G337" t="s">
        <v>5549</v>
      </c>
      <c r="H337" t="s">
        <v>5059</v>
      </c>
      <c r="I337" t="s">
        <v>5059</v>
      </c>
      <c r="J337">
        <v>31496</v>
      </c>
      <c r="K337">
        <v>31507</v>
      </c>
      <c r="L337">
        <v>11</v>
      </c>
      <c r="M337" t="s">
        <v>1155</v>
      </c>
      <c r="N337" t="s">
        <v>1156</v>
      </c>
      <c r="O337" t="s">
        <v>1153</v>
      </c>
      <c r="P337" t="s">
        <v>7155</v>
      </c>
      <c r="Q337" t="s">
        <v>7156</v>
      </c>
    </row>
    <row r="338" spans="1:17" x14ac:dyDescent="0.25">
      <c r="A338" t="s">
        <v>7157</v>
      </c>
      <c r="B338" t="s">
        <v>7158</v>
      </c>
      <c r="C338" t="s">
        <v>7159</v>
      </c>
      <c r="D338" t="s">
        <v>1880</v>
      </c>
      <c r="E338">
        <v>2022</v>
      </c>
      <c r="F338" t="s">
        <v>5224</v>
      </c>
      <c r="G338" t="s">
        <v>5246</v>
      </c>
      <c r="H338" t="s">
        <v>5195</v>
      </c>
      <c r="I338" t="s">
        <v>7160</v>
      </c>
      <c r="M338" t="s">
        <v>1883</v>
      </c>
      <c r="N338" t="s">
        <v>1884</v>
      </c>
      <c r="O338" t="s">
        <v>1881</v>
      </c>
      <c r="P338" t="s">
        <v>7161</v>
      </c>
      <c r="Q338" t="s">
        <v>7162</v>
      </c>
    </row>
    <row r="339" spans="1:17" x14ac:dyDescent="0.25">
      <c r="A339" t="s">
        <v>5059</v>
      </c>
      <c r="B339" t="s">
        <v>5059</v>
      </c>
      <c r="C339" t="s">
        <v>5059</v>
      </c>
      <c r="D339" t="s">
        <v>1893</v>
      </c>
      <c r="E339">
        <v>2022</v>
      </c>
      <c r="F339" t="s">
        <v>6258</v>
      </c>
      <c r="G339" t="s">
        <v>7163</v>
      </c>
      <c r="H339" t="s">
        <v>5059</v>
      </c>
      <c r="I339" t="s">
        <v>5059</v>
      </c>
      <c r="L339">
        <v>378</v>
      </c>
      <c r="M339" t="s">
        <v>5059</v>
      </c>
      <c r="N339" t="s">
        <v>1895</v>
      </c>
      <c r="O339" t="s">
        <v>7164</v>
      </c>
      <c r="P339" t="s">
        <v>5059</v>
      </c>
      <c r="Q339" t="s">
        <v>7165</v>
      </c>
    </row>
    <row r="340" spans="1:17" x14ac:dyDescent="0.25">
      <c r="A340" t="s">
        <v>7166</v>
      </c>
      <c r="B340" t="s">
        <v>7167</v>
      </c>
      <c r="C340" t="s">
        <v>7168</v>
      </c>
      <c r="D340" t="s">
        <v>1912</v>
      </c>
      <c r="E340">
        <v>2022</v>
      </c>
      <c r="F340" t="s">
        <v>7169</v>
      </c>
      <c r="G340" t="s">
        <v>5059</v>
      </c>
      <c r="H340" t="s">
        <v>5059</v>
      </c>
      <c r="I340" t="s">
        <v>5059</v>
      </c>
      <c r="J340">
        <v>13</v>
      </c>
      <c r="K340">
        <v>18</v>
      </c>
      <c r="L340">
        <v>5</v>
      </c>
      <c r="M340" t="s">
        <v>1915</v>
      </c>
      <c r="N340" t="s">
        <v>1916</v>
      </c>
      <c r="O340" t="s">
        <v>1913</v>
      </c>
      <c r="P340" t="s">
        <v>7170</v>
      </c>
      <c r="Q340" t="s">
        <v>7171</v>
      </c>
    </row>
    <row r="341" spans="1:17" x14ac:dyDescent="0.25">
      <c r="A341" t="s">
        <v>7172</v>
      </c>
      <c r="B341" t="s">
        <v>7173</v>
      </c>
      <c r="C341" t="s">
        <v>7174</v>
      </c>
      <c r="D341" t="s">
        <v>1194</v>
      </c>
      <c r="E341">
        <v>2023</v>
      </c>
      <c r="F341" t="s">
        <v>7175</v>
      </c>
      <c r="G341" t="s">
        <v>5059</v>
      </c>
      <c r="H341" t="s">
        <v>5059</v>
      </c>
      <c r="I341" t="s">
        <v>5059</v>
      </c>
      <c r="J341">
        <v>34</v>
      </c>
      <c r="K341">
        <v>45</v>
      </c>
      <c r="L341">
        <v>11</v>
      </c>
      <c r="M341" t="s">
        <v>1197</v>
      </c>
      <c r="N341" t="s">
        <v>1198</v>
      </c>
      <c r="O341" t="s">
        <v>1195</v>
      </c>
      <c r="P341" t="s">
        <v>7176</v>
      </c>
      <c r="Q341" t="s">
        <v>7177</v>
      </c>
    </row>
    <row r="342" spans="1:17" x14ac:dyDescent="0.25">
      <c r="A342" t="s">
        <v>7178</v>
      </c>
      <c r="B342" t="s">
        <v>7179</v>
      </c>
      <c r="C342" t="s">
        <v>7180</v>
      </c>
      <c r="D342" t="s">
        <v>1919</v>
      </c>
      <c r="E342">
        <v>2022</v>
      </c>
      <c r="F342" t="s">
        <v>6985</v>
      </c>
      <c r="G342" t="s">
        <v>6986</v>
      </c>
      <c r="H342" t="s">
        <v>5059</v>
      </c>
      <c r="I342" t="s">
        <v>5059</v>
      </c>
      <c r="J342">
        <v>1059</v>
      </c>
      <c r="K342">
        <v>1064</v>
      </c>
      <c r="L342">
        <v>5</v>
      </c>
      <c r="M342" t="s">
        <v>1922</v>
      </c>
      <c r="N342" t="s">
        <v>1923</v>
      </c>
      <c r="O342" t="s">
        <v>1920</v>
      </c>
      <c r="P342" t="s">
        <v>7181</v>
      </c>
      <c r="Q342" t="s">
        <v>7182</v>
      </c>
    </row>
    <row r="343" spans="1:17" x14ac:dyDescent="0.25">
      <c r="A343" t="s">
        <v>7183</v>
      </c>
      <c r="B343" t="s">
        <v>7184</v>
      </c>
      <c r="C343" t="s">
        <v>7185</v>
      </c>
      <c r="D343" t="s">
        <v>1933</v>
      </c>
      <c r="E343">
        <v>2022</v>
      </c>
      <c r="F343" t="s">
        <v>4039</v>
      </c>
      <c r="G343" t="s">
        <v>7186</v>
      </c>
      <c r="H343" t="s">
        <v>5059</v>
      </c>
      <c r="I343" t="s">
        <v>5059</v>
      </c>
      <c r="M343" t="s">
        <v>1936</v>
      </c>
      <c r="N343" t="s">
        <v>1937</v>
      </c>
      <c r="O343" t="s">
        <v>1934</v>
      </c>
      <c r="P343" t="s">
        <v>7187</v>
      </c>
      <c r="Q343" t="s">
        <v>7188</v>
      </c>
    </row>
    <row r="344" spans="1:17" x14ac:dyDescent="0.25">
      <c r="A344" t="s">
        <v>7189</v>
      </c>
      <c r="B344" t="s">
        <v>7190</v>
      </c>
      <c r="C344" t="s">
        <v>7191</v>
      </c>
      <c r="D344" t="s">
        <v>1947</v>
      </c>
      <c r="E344">
        <v>2022</v>
      </c>
      <c r="F344" t="s">
        <v>7192</v>
      </c>
      <c r="G344" t="s">
        <v>7193</v>
      </c>
      <c r="H344" t="s">
        <v>5059</v>
      </c>
      <c r="I344" t="s">
        <v>5059</v>
      </c>
      <c r="M344" t="s">
        <v>1950</v>
      </c>
      <c r="N344" t="s">
        <v>1951</v>
      </c>
      <c r="O344" t="s">
        <v>1948</v>
      </c>
      <c r="P344" t="s">
        <v>5059</v>
      </c>
      <c r="Q344" t="s">
        <v>7194</v>
      </c>
    </row>
    <row r="345" spans="1:17" x14ac:dyDescent="0.25">
      <c r="A345" t="s">
        <v>7195</v>
      </c>
      <c r="B345" t="s">
        <v>7196</v>
      </c>
      <c r="C345" t="s">
        <v>7197</v>
      </c>
      <c r="D345" t="s">
        <v>1961</v>
      </c>
      <c r="E345">
        <v>2022</v>
      </c>
      <c r="F345" t="s">
        <v>5245</v>
      </c>
      <c r="G345" t="s">
        <v>5091</v>
      </c>
      <c r="H345" t="s">
        <v>5180</v>
      </c>
      <c r="I345" t="s">
        <v>7198</v>
      </c>
      <c r="M345" t="s">
        <v>1964</v>
      </c>
      <c r="N345" t="s">
        <v>1965</v>
      </c>
      <c r="O345" t="s">
        <v>1962</v>
      </c>
      <c r="P345" t="s">
        <v>1963</v>
      </c>
      <c r="Q345" t="s">
        <v>7199</v>
      </c>
    </row>
    <row r="346" spans="1:17" x14ac:dyDescent="0.25">
      <c r="A346" t="s">
        <v>7200</v>
      </c>
      <c r="B346" t="s">
        <v>7201</v>
      </c>
      <c r="C346" t="s">
        <v>7202</v>
      </c>
      <c r="D346" t="s">
        <v>1208</v>
      </c>
      <c r="E346">
        <v>2023</v>
      </c>
      <c r="F346" t="s">
        <v>7203</v>
      </c>
      <c r="G346" t="s">
        <v>5059</v>
      </c>
      <c r="H346" t="s">
        <v>5059</v>
      </c>
      <c r="I346" t="s">
        <v>5059</v>
      </c>
      <c r="J346">
        <v>427</v>
      </c>
      <c r="K346">
        <v>432</v>
      </c>
      <c r="L346">
        <v>5</v>
      </c>
      <c r="M346" t="s">
        <v>1211</v>
      </c>
      <c r="N346" t="s">
        <v>1212</v>
      </c>
      <c r="O346" t="s">
        <v>1209</v>
      </c>
      <c r="P346" t="s">
        <v>7204</v>
      </c>
      <c r="Q346" t="s">
        <v>7205</v>
      </c>
    </row>
    <row r="347" spans="1:17" x14ac:dyDescent="0.25">
      <c r="A347" t="s">
        <v>7206</v>
      </c>
      <c r="B347" t="s">
        <v>7207</v>
      </c>
      <c r="C347" t="s">
        <v>7208</v>
      </c>
      <c r="D347" t="s">
        <v>1215</v>
      </c>
      <c r="E347">
        <v>2022</v>
      </c>
      <c r="F347" t="s">
        <v>5049</v>
      </c>
      <c r="G347" t="s">
        <v>5367</v>
      </c>
      <c r="H347" t="s">
        <v>5091</v>
      </c>
      <c r="I347" t="s">
        <v>7209</v>
      </c>
      <c r="M347" t="s">
        <v>1218</v>
      </c>
      <c r="N347" t="s">
        <v>1219</v>
      </c>
      <c r="O347" t="s">
        <v>1216</v>
      </c>
      <c r="P347" t="s">
        <v>7210</v>
      </c>
      <c r="Q347" t="s">
        <v>7211</v>
      </c>
    </row>
    <row r="348" spans="1:17" x14ac:dyDescent="0.25">
      <c r="A348" t="s">
        <v>7212</v>
      </c>
      <c r="B348" t="s">
        <v>7213</v>
      </c>
      <c r="C348" t="s">
        <v>7214</v>
      </c>
      <c r="D348" t="s">
        <v>1222</v>
      </c>
      <c r="E348">
        <v>2022</v>
      </c>
      <c r="F348" t="s">
        <v>5487</v>
      </c>
      <c r="G348" t="s">
        <v>5754</v>
      </c>
      <c r="H348" t="s">
        <v>5156</v>
      </c>
      <c r="I348" t="s">
        <v>5059</v>
      </c>
      <c r="J348">
        <v>25068</v>
      </c>
      <c r="K348">
        <v>25085</v>
      </c>
      <c r="L348">
        <v>17</v>
      </c>
      <c r="M348" t="s">
        <v>1225</v>
      </c>
      <c r="N348" t="s">
        <v>1226</v>
      </c>
      <c r="O348" t="s">
        <v>1223</v>
      </c>
      <c r="P348" t="s">
        <v>7215</v>
      </c>
      <c r="Q348" t="s">
        <v>7216</v>
      </c>
    </row>
    <row r="349" spans="1:17" x14ac:dyDescent="0.25">
      <c r="A349" t="s">
        <v>7217</v>
      </c>
      <c r="B349" t="s">
        <v>7218</v>
      </c>
      <c r="C349" t="s">
        <v>7219</v>
      </c>
      <c r="D349" t="s">
        <v>1975</v>
      </c>
      <c r="E349">
        <v>2022</v>
      </c>
      <c r="F349" t="s">
        <v>6131</v>
      </c>
      <c r="G349" t="s">
        <v>7160</v>
      </c>
      <c r="H349" t="s">
        <v>5059</v>
      </c>
      <c r="I349" t="s">
        <v>5059</v>
      </c>
      <c r="J349">
        <v>20</v>
      </c>
      <c r="K349">
        <v>27</v>
      </c>
      <c r="L349">
        <v>7</v>
      </c>
      <c r="M349" t="s">
        <v>1978</v>
      </c>
      <c r="N349" t="s">
        <v>1979</v>
      </c>
      <c r="O349" t="s">
        <v>7220</v>
      </c>
      <c r="P349" t="s">
        <v>7221</v>
      </c>
      <c r="Q349" t="s">
        <v>7222</v>
      </c>
    </row>
    <row r="350" spans="1:17" x14ac:dyDescent="0.25">
      <c r="A350" t="s">
        <v>7223</v>
      </c>
      <c r="B350" t="s">
        <v>7224</v>
      </c>
      <c r="C350" t="s">
        <v>7225</v>
      </c>
      <c r="D350" t="s">
        <v>1982</v>
      </c>
      <c r="E350">
        <v>2022</v>
      </c>
      <c r="F350" t="s">
        <v>5109</v>
      </c>
      <c r="G350" t="s">
        <v>7226</v>
      </c>
      <c r="H350" t="s">
        <v>5059</v>
      </c>
      <c r="I350" t="s">
        <v>7227</v>
      </c>
      <c r="M350" t="s">
        <v>1985</v>
      </c>
      <c r="N350" t="s">
        <v>1986</v>
      </c>
      <c r="O350" t="s">
        <v>1983</v>
      </c>
      <c r="P350" t="s">
        <v>7228</v>
      </c>
      <c r="Q350" t="s">
        <v>7229</v>
      </c>
    </row>
    <row r="351" spans="1:17" x14ac:dyDescent="0.25">
      <c r="A351" t="s">
        <v>7230</v>
      </c>
      <c r="B351" t="s">
        <v>7231</v>
      </c>
      <c r="C351" t="s">
        <v>7232</v>
      </c>
      <c r="D351" t="s">
        <v>1989</v>
      </c>
      <c r="E351">
        <v>2022</v>
      </c>
      <c r="F351" t="s">
        <v>7233</v>
      </c>
      <c r="G351" t="s">
        <v>5059</v>
      </c>
      <c r="H351" t="s">
        <v>5059</v>
      </c>
      <c r="I351" t="s">
        <v>5059</v>
      </c>
      <c r="J351">
        <v>211</v>
      </c>
      <c r="K351">
        <v>218</v>
      </c>
      <c r="L351">
        <v>7</v>
      </c>
      <c r="M351" t="s">
        <v>1992</v>
      </c>
      <c r="N351" t="s">
        <v>1993</v>
      </c>
      <c r="O351" t="s">
        <v>1990</v>
      </c>
      <c r="P351" t="s">
        <v>7234</v>
      </c>
      <c r="Q351" t="s">
        <v>7235</v>
      </c>
    </row>
    <row r="352" spans="1:17" x14ac:dyDescent="0.25">
      <c r="A352" t="s">
        <v>7236</v>
      </c>
      <c r="B352" t="s">
        <v>7237</v>
      </c>
      <c r="C352" t="s">
        <v>7238</v>
      </c>
      <c r="D352" t="s">
        <v>1996</v>
      </c>
      <c r="E352">
        <v>2022</v>
      </c>
      <c r="F352" t="s">
        <v>5155</v>
      </c>
      <c r="G352" t="s">
        <v>5463</v>
      </c>
      <c r="H352" t="s">
        <v>5195</v>
      </c>
      <c r="I352" t="s">
        <v>7239</v>
      </c>
      <c r="M352" t="s">
        <v>1999</v>
      </c>
      <c r="N352" t="s">
        <v>2000</v>
      </c>
      <c r="O352" t="s">
        <v>1997</v>
      </c>
      <c r="P352" t="s">
        <v>7240</v>
      </c>
      <c r="Q352" t="s">
        <v>7241</v>
      </c>
    </row>
    <row r="353" spans="1:17" x14ac:dyDescent="0.25">
      <c r="A353" t="s">
        <v>7242</v>
      </c>
      <c r="B353" t="s">
        <v>7243</v>
      </c>
      <c r="C353" t="s">
        <v>7244</v>
      </c>
      <c r="D353" t="s">
        <v>1229</v>
      </c>
      <c r="E353">
        <v>2022</v>
      </c>
      <c r="F353" t="s">
        <v>5069</v>
      </c>
      <c r="G353" t="s">
        <v>5998</v>
      </c>
      <c r="H353" t="s">
        <v>5102</v>
      </c>
      <c r="I353" t="s">
        <v>5059</v>
      </c>
      <c r="J353">
        <v>3700</v>
      </c>
      <c r="K353">
        <v>3717</v>
      </c>
      <c r="L353">
        <v>17</v>
      </c>
      <c r="M353" t="s">
        <v>1232</v>
      </c>
      <c r="N353" t="s">
        <v>1233</v>
      </c>
      <c r="O353" t="s">
        <v>1230</v>
      </c>
      <c r="P353" t="s">
        <v>7245</v>
      </c>
      <c r="Q353" t="s">
        <v>7246</v>
      </c>
    </row>
    <row r="354" spans="1:17" x14ac:dyDescent="0.25">
      <c r="A354" t="s">
        <v>7247</v>
      </c>
      <c r="B354" t="s">
        <v>7248</v>
      </c>
      <c r="C354" t="s">
        <v>7249</v>
      </c>
      <c r="D354" t="s">
        <v>2016</v>
      </c>
      <c r="E354">
        <v>2022</v>
      </c>
      <c r="F354" t="s">
        <v>7250</v>
      </c>
      <c r="G354" t="s">
        <v>5059</v>
      </c>
      <c r="H354" t="s">
        <v>5059</v>
      </c>
      <c r="I354" t="s">
        <v>5059</v>
      </c>
      <c r="J354">
        <v>955</v>
      </c>
      <c r="K354">
        <v>959</v>
      </c>
      <c r="L354">
        <v>4</v>
      </c>
      <c r="M354" t="s">
        <v>2019</v>
      </c>
      <c r="N354" t="s">
        <v>2020</v>
      </c>
      <c r="O354" t="s">
        <v>2017</v>
      </c>
      <c r="P354" t="s">
        <v>7251</v>
      </c>
      <c r="Q354" t="s">
        <v>7252</v>
      </c>
    </row>
    <row r="355" spans="1:17" x14ac:dyDescent="0.25">
      <c r="A355" t="s">
        <v>7253</v>
      </c>
      <c r="B355" t="s">
        <v>7254</v>
      </c>
      <c r="C355" t="s">
        <v>7255</v>
      </c>
      <c r="D355" t="s">
        <v>1263</v>
      </c>
      <c r="E355">
        <v>2023</v>
      </c>
      <c r="F355" t="s">
        <v>5245</v>
      </c>
      <c r="G355" t="s">
        <v>5291</v>
      </c>
      <c r="H355" t="s">
        <v>5103</v>
      </c>
      <c r="I355" t="s">
        <v>7256</v>
      </c>
      <c r="M355" t="s">
        <v>1266</v>
      </c>
      <c r="N355" t="s">
        <v>1267</v>
      </c>
      <c r="O355" t="s">
        <v>1264</v>
      </c>
      <c r="P355" t="s">
        <v>1265</v>
      </c>
      <c r="Q355" t="s">
        <v>7257</v>
      </c>
    </row>
    <row r="356" spans="1:17" x14ac:dyDescent="0.25">
      <c r="A356" t="s">
        <v>7258</v>
      </c>
      <c r="B356" t="s">
        <v>7259</v>
      </c>
      <c r="C356" t="s">
        <v>7260</v>
      </c>
      <c r="D356" t="s">
        <v>2023</v>
      </c>
      <c r="E356">
        <v>2022</v>
      </c>
      <c r="F356" t="s">
        <v>7261</v>
      </c>
      <c r="G356" t="s">
        <v>5059</v>
      </c>
      <c r="H356" t="s">
        <v>5059</v>
      </c>
      <c r="I356" t="s">
        <v>5059</v>
      </c>
      <c r="J356">
        <v>619</v>
      </c>
      <c r="K356">
        <v>633</v>
      </c>
      <c r="L356">
        <v>14</v>
      </c>
      <c r="M356" t="s">
        <v>2025</v>
      </c>
      <c r="N356" t="s">
        <v>2026</v>
      </c>
      <c r="O356" t="s">
        <v>2024</v>
      </c>
      <c r="P356" t="s">
        <v>5059</v>
      </c>
      <c r="Q356" t="s">
        <v>7262</v>
      </c>
    </row>
    <row r="357" spans="1:17" x14ac:dyDescent="0.25">
      <c r="A357" t="s">
        <v>7263</v>
      </c>
      <c r="B357" t="s">
        <v>7264</v>
      </c>
      <c r="C357" t="s">
        <v>7265</v>
      </c>
      <c r="D357" t="s">
        <v>2043</v>
      </c>
      <c r="E357">
        <v>2022</v>
      </c>
      <c r="F357" t="s">
        <v>7266</v>
      </c>
      <c r="G357" t="s">
        <v>5059</v>
      </c>
      <c r="H357" t="s">
        <v>5059</v>
      </c>
      <c r="I357" t="s">
        <v>5059</v>
      </c>
      <c r="M357" t="s">
        <v>2046</v>
      </c>
      <c r="N357" t="s">
        <v>2047</v>
      </c>
      <c r="O357" t="s">
        <v>2044</v>
      </c>
      <c r="P357" t="s">
        <v>7267</v>
      </c>
      <c r="Q357" t="s">
        <v>7268</v>
      </c>
    </row>
    <row r="358" spans="1:17" x14ac:dyDescent="0.25">
      <c r="A358" t="s">
        <v>7269</v>
      </c>
      <c r="B358" t="s">
        <v>7270</v>
      </c>
      <c r="C358" t="s">
        <v>7271</v>
      </c>
      <c r="D358" t="s">
        <v>2050</v>
      </c>
      <c r="E358">
        <v>2022</v>
      </c>
      <c r="F358" t="s">
        <v>7272</v>
      </c>
      <c r="G358" t="s">
        <v>5059</v>
      </c>
      <c r="H358" t="s">
        <v>5059</v>
      </c>
      <c r="I358" t="s">
        <v>5059</v>
      </c>
      <c r="M358" t="s">
        <v>2053</v>
      </c>
      <c r="N358" t="s">
        <v>2054</v>
      </c>
      <c r="O358" t="s">
        <v>2051</v>
      </c>
      <c r="P358" t="s">
        <v>5059</v>
      </c>
      <c r="Q358" t="s">
        <v>7273</v>
      </c>
    </row>
    <row r="359" spans="1:17" x14ac:dyDescent="0.25">
      <c r="A359" t="s">
        <v>7274</v>
      </c>
      <c r="B359" t="s">
        <v>7275</v>
      </c>
      <c r="C359" t="s">
        <v>7276</v>
      </c>
      <c r="D359" t="s">
        <v>2057</v>
      </c>
      <c r="E359">
        <v>2022</v>
      </c>
      <c r="F359" t="s">
        <v>5487</v>
      </c>
      <c r="G359" t="s">
        <v>5754</v>
      </c>
      <c r="H359" t="s">
        <v>5180</v>
      </c>
      <c r="I359" t="s">
        <v>5059</v>
      </c>
      <c r="J359">
        <v>2708</v>
      </c>
      <c r="K359">
        <v>2721</v>
      </c>
      <c r="L359">
        <v>13</v>
      </c>
      <c r="M359" t="s">
        <v>2060</v>
      </c>
      <c r="N359" t="s">
        <v>2061</v>
      </c>
      <c r="O359" t="s">
        <v>2058</v>
      </c>
      <c r="P359" t="s">
        <v>7277</v>
      </c>
      <c r="Q359" t="s">
        <v>7278</v>
      </c>
    </row>
    <row r="360" spans="1:17" x14ac:dyDescent="0.25">
      <c r="A360" t="s">
        <v>7279</v>
      </c>
      <c r="B360" t="s">
        <v>7280</v>
      </c>
      <c r="C360" t="s">
        <v>7281</v>
      </c>
      <c r="D360" t="s">
        <v>2064</v>
      </c>
      <c r="E360">
        <v>2022</v>
      </c>
      <c r="F360" t="s">
        <v>7282</v>
      </c>
      <c r="G360" t="s">
        <v>5059</v>
      </c>
      <c r="H360" t="s">
        <v>5059</v>
      </c>
      <c r="I360" t="s">
        <v>5059</v>
      </c>
      <c r="J360">
        <v>152</v>
      </c>
      <c r="K360">
        <v>154</v>
      </c>
      <c r="L360">
        <v>2</v>
      </c>
      <c r="M360" t="s">
        <v>2067</v>
      </c>
      <c r="N360" t="s">
        <v>2068</v>
      </c>
      <c r="O360" t="s">
        <v>2065</v>
      </c>
      <c r="P360" t="s">
        <v>7283</v>
      </c>
      <c r="Q360" t="s">
        <v>7284</v>
      </c>
    </row>
    <row r="361" spans="1:17" x14ac:dyDescent="0.25">
      <c r="A361" t="s">
        <v>6712</v>
      </c>
      <c r="B361" t="s">
        <v>6713</v>
      </c>
      <c r="C361" t="s">
        <v>6714</v>
      </c>
      <c r="D361" t="s">
        <v>2070</v>
      </c>
      <c r="E361">
        <v>2022</v>
      </c>
      <c r="F361" t="s">
        <v>7285</v>
      </c>
      <c r="G361" t="s">
        <v>5059</v>
      </c>
      <c r="H361" t="s">
        <v>5059</v>
      </c>
      <c r="I361" t="s">
        <v>5059</v>
      </c>
      <c r="J361">
        <v>389</v>
      </c>
      <c r="K361">
        <v>397</v>
      </c>
      <c r="L361">
        <v>8</v>
      </c>
      <c r="M361" t="s">
        <v>2073</v>
      </c>
      <c r="N361" t="s">
        <v>2074</v>
      </c>
      <c r="O361" t="s">
        <v>2071</v>
      </c>
      <c r="P361" t="s">
        <v>7286</v>
      </c>
      <c r="Q361" t="s">
        <v>7287</v>
      </c>
    </row>
    <row r="362" spans="1:17" x14ac:dyDescent="0.25">
      <c r="A362" t="s">
        <v>7288</v>
      </c>
      <c r="B362" t="s">
        <v>7289</v>
      </c>
      <c r="C362" t="s">
        <v>7290</v>
      </c>
      <c r="D362" t="s">
        <v>1291</v>
      </c>
      <c r="E362">
        <v>2023</v>
      </c>
      <c r="F362" t="s">
        <v>7291</v>
      </c>
      <c r="G362" t="s">
        <v>5059</v>
      </c>
      <c r="H362" t="s">
        <v>5059</v>
      </c>
      <c r="I362" t="s">
        <v>5059</v>
      </c>
      <c r="M362" t="s">
        <v>1294</v>
      </c>
      <c r="N362" t="s">
        <v>1295</v>
      </c>
      <c r="O362" t="s">
        <v>1292</v>
      </c>
      <c r="P362" t="s">
        <v>7292</v>
      </c>
      <c r="Q362" t="s">
        <v>7293</v>
      </c>
    </row>
    <row r="363" spans="1:17" x14ac:dyDescent="0.25">
      <c r="A363" t="s">
        <v>7294</v>
      </c>
      <c r="B363" t="s">
        <v>7295</v>
      </c>
      <c r="C363" t="s">
        <v>7296</v>
      </c>
      <c r="D363" t="s">
        <v>1298</v>
      </c>
      <c r="E363">
        <v>2023</v>
      </c>
      <c r="F363" t="s">
        <v>7192</v>
      </c>
      <c r="G363" t="s">
        <v>7297</v>
      </c>
      <c r="H363" t="s">
        <v>5059</v>
      </c>
      <c r="I363" t="s">
        <v>5059</v>
      </c>
      <c r="M363" t="s">
        <v>1301</v>
      </c>
      <c r="N363" t="s">
        <v>1302</v>
      </c>
      <c r="O363" t="s">
        <v>1299</v>
      </c>
      <c r="P363" t="s">
        <v>5059</v>
      </c>
      <c r="Q363" t="s">
        <v>7298</v>
      </c>
    </row>
    <row r="364" spans="1:17" x14ac:dyDescent="0.25">
      <c r="A364" t="s">
        <v>7299</v>
      </c>
      <c r="B364" t="s">
        <v>7300</v>
      </c>
      <c r="C364" t="s">
        <v>7301</v>
      </c>
      <c r="D364" t="s">
        <v>1305</v>
      </c>
      <c r="E364">
        <v>2023</v>
      </c>
      <c r="F364" t="s">
        <v>7302</v>
      </c>
      <c r="G364" t="s">
        <v>7303</v>
      </c>
      <c r="H364" t="s">
        <v>5059</v>
      </c>
      <c r="I364" t="s">
        <v>5059</v>
      </c>
      <c r="J364">
        <v>545</v>
      </c>
      <c r="K364">
        <v>554</v>
      </c>
      <c r="L364">
        <v>9</v>
      </c>
      <c r="M364" t="s">
        <v>1308</v>
      </c>
      <c r="N364" t="s">
        <v>1309</v>
      </c>
      <c r="O364" t="s">
        <v>1306</v>
      </c>
      <c r="P364" t="s">
        <v>7304</v>
      </c>
      <c r="Q364" t="s">
        <v>7305</v>
      </c>
    </row>
    <row r="365" spans="1:17" x14ac:dyDescent="0.25">
      <c r="A365" t="s">
        <v>7306</v>
      </c>
      <c r="B365" t="s">
        <v>7307</v>
      </c>
      <c r="C365" t="s">
        <v>7308</v>
      </c>
      <c r="D365" t="s">
        <v>2084</v>
      </c>
      <c r="E365">
        <v>2022</v>
      </c>
      <c r="F365" t="s">
        <v>5245</v>
      </c>
      <c r="G365" t="s">
        <v>5091</v>
      </c>
      <c r="H365" t="s">
        <v>5238</v>
      </c>
      <c r="I365" t="s">
        <v>7309</v>
      </c>
      <c r="M365" t="s">
        <v>2087</v>
      </c>
      <c r="N365" t="s">
        <v>2088</v>
      </c>
      <c r="O365" t="s">
        <v>2085</v>
      </c>
      <c r="P365" t="s">
        <v>2086</v>
      </c>
      <c r="Q365" t="s">
        <v>7310</v>
      </c>
    </row>
    <row r="366" spans="1:17" x14ac:dyDescent="0.25">
      <c r="A366" t="s">
        <v>7311</v>
      </c>
      <c r="B366" t="s">
        <v>7312</v>
      </c>
      <c r="C366" t="s">
        <v>7313</v>
      </c>
      <c r="D366" t="s">
        <v>2091</v>
      </c>
      <c r="E366">
        <v>2022</v>
      </c>
      <c r="F366" t="s">
        <v>7314</v>
      </c>
      <c r="G366" t="s">
        <v>5059</v>
      </c>
      <c r="H366" t="s">
        <v>5059</v>
      </c>
      <c r="I366" t="s">
        <v>5059</v>
      </c>
      <c r="J366">
        <v>267</v>
      </c>
      <c r="K366">
        <v>278</v>
      </c>
      <c r="L366">
        <v>11</v>
      </c>
      <c r="M366" t="s">
        <v>2094</v>
      </c>
      <c r="N366" t="s">
        <v>2095</v>
      </c>
      <c r="O366" t="s">
        <v>2092</v>
      </c>
      <c r="P366" t="s">
        <v>7315</v>
      </c>
      <c r="Q366" t="s">
        <v>7316</v>
      </c>
    </row>
    <row r="367" spans="1:17" x14ac:dyDescent="0.25">
      <c r="A367" t="s">
        <v>7317</v>
      </c>
      <c r="B367" t="s">
        <v>7318</v>
      </c>
      <c r="C367" t="s">
        <v>7319</v>
      </c>
      <c r="D367" t="s">
        <v>2098</v>
      </c>
      <c r="E367">
        <v>2022</v>
      </c>
      <c r="F367" t="s">
        <v>7320</v>
      </c>
      <c r="G367" t="s">
        <v>5059</v>
      </c>
      <c r="H367" t="s">
        <v>5059</v>
      </c>
      <c r="I367" t="s">
        <v>5059</v>
      </c>
      <c r="M367" t="s">
        <v>2101</v>
      </c>
      <c r="N367" t="s">
        <v>2102</v>
      </c>
      <c r="O367" t="s">
        <v>2099</v>
      </c>
      <c r="P367" t="s">
        <v>5059</v>
      </c>
      <c r="Q367" t="s">
        <v>7321</v>
      </c>
    </row>
    <row r="368" spans="1:17" x14ac:dyDescent="0.25">
      <c r="A368" t="s">
        <v>7322</v>
      </c>
      <c r="B368" t="s">
        <v>7323</v>
      </c>
      <c r="C368" t="s">
        <v>7324</v>
      </c>
      <c r="D368" t="s">
        <v>2105</v>
      </c>
      <c r="E368">
        <v>2022</v>
      </c>
      <c r="F368" t="s">
        <v>7325</v>
      </c>
      <c r="G368" t="s">
        <v>5071</v>
      </c>
      <c r="H368" t="s">
        <v>5059</v>
      </c>
      <c r="I368" t="s">
        <v>5059</v>
      </c>
      <c r="J368">
        <v>85</v>
      </c>
      <c r="K368">
        <v>94</v>
      </c>
      <c r="L368">
        <v>9</v>
      </c>
      <c r="M368" t="s">
        <v>2108</v>
      </c>
      <c r="N368" t="s">
        <v>2109</v>
      </c>
      <c r="O368" t="s">
        <v>2106</v>
      </c>
      <c r="P368" t="s">
        <v>7326</v>
      </c>
      <c r="Q368" t="s">
        <v>7327</v>
      </c>
    </row>
    <row r="369" spans="1:17" x14ac:dyDescent="0.25">
      <c r="A369" t="s">
        <v>5059</v>
      </c>
      <c r="B369" t="s">
        <v>5059</v>
      </c>
      <c r="C369" t="s">
        <v>5059</v>
      </c>
      <c r="D369" t="s">
        <v>2111</v>
      </c>
      <c r="E369">
        <v>2022</v>
      </c>
      <c r="F369" t="s">
        <v>5905</v>
      </c>
      <c r="G369" t="s">
        <v>7328</v>
      </c>
      <c r="H369" t="s">
        <v>5202</v>
      </c>
      <c r="I369" t="s">
        <v>5059</v>
      </c>
      <c r="L369">
        <v>165</v>
      </c>
      <c r="M369" t="s">
        <v>5059</v>
      </c>
      <c r="N369" t="s">
        <v>2113</v>
      </c>
      <c r="O369" t="s">
        <v>2112</v>
      </c>
      <c r="P369" t="s">
        <v>5059</v>
      </c>
      <c r="Q369" t="s">
        <v>7329</v>
      </c>
    </row>
    <row r="370" spans="1:17" x14ac:dyDescent="0.25">
      <c r="A370" t="s">
        <v>7330</v>
      </c>
      <c r="B370" t="s">
        <v>7331</v>
      </c>
      <c r="C370" t="s">
        <v>7332</v>
      </c>
      <c r="D370" t="s">
        <v>2116</v>
      </c>
      <c r="E370">
        <v>2022</v>
      </c>
      <c r="F370" t="s">
        <v>7333</v>
      </c>
      <c r="G370" t="s">
        <v>7334</v>
      </c>
      <c r="H370" t="s">
        <v>5059</v>
      </c>
      <c r="I370" t="s">
        <v>5059</v>
      </c>
      <c r="J370">
        <v>222</v>
      </c>
      <c r="K370">
        <v>227</v>
      </c>
      <c r="L370">
        <v>5</v>
      </c>
      <c r="M370" t="s">
        <v>2119</v>
      </c>
      <c r="N370" t="s">
        <v>2120</v>
      </c>
      <c r="O370" t="s">
        <v>2117</v>
      </c>
      <c r="P370" t="s">
        <v>7335</v>
      </c>
      <c r="Q370" t="s">
        <v>7336</v>
      </c>
    </row>
    <row r="371" spans="1:17" x14ac:dyDescent="0.25">
      <c r="A371" t="s">
        <v>7337</v>
      </c>
      <c r="B371" t="s">
        <v>7338</v>
      </c>
      <c r="C371" t="s">
        <v>7339</v>
      </c>
      <c r="D371" t="s">
        <v>1347</v>
      </c>
      <c r="E371">
        <v>2023</v>
      </c>
      <c r="F371" t="s">
        <v>5487</v>
      </c>
      <c r="G371" t="s">
        <v>5102</v>
      </c>
      <c r="H371" t="s">
        <v>5202</v>
      </c>
      <c r="I371" t="s">
        <v>5059</v>
      </c>
      <c r="J371">
        <v>120</v>
      </c>
      <c r="K371">
        <v>132</v>
      </c>
      <c r="L371">
        <v>12</v>
      </c>
      <c r="M371" t="s">
        <v>1350</v>
      </c>
      <c r="N371" t="s">
        <v>1351</v>
      </c>
      <c r="O371" t="s">
        <v>1348</v>
      </c>
      <c r="P371" t="s">
        <v>7340</v>
      </c>
      <c r="Q371" t="s">
        <v>7341</v>
      </c>
    </row>
    <row r="372" spans="1:17" x14ac:dyDescent="0.25">
      <c r="A372" t="s">
        <v>7342</v>
      </c>
      <c r="B372" t="s">
        <v>7343</v>
      </c>
      <c r="C372" t="s">
        <v>7344</v>
      </c>
      <c r="D372" t="s">
        <v>2130</v>
      </c>
      <c r="E372">
        <v>2022</v>
      </c>
      <c r="F372" t="s">
        <v>7345</v>
      </c>
      <c r="G372" t="s">
        <v>5754</v>
      </c>
      <c r="H372" t="s">
        <v>5059</v>
      </c>
      <c r="I372" t="s">
        <v>7346</v>
      </c>
      <c r="M372" t="s">
        <v>2133</v>
      </c>
      <c r="N372" t="s">
        <v>2134</v>
      </c>
      <c r="O372" t="s">
        <v>2131</v>
      </c>
      <c r="P372" t="s">
        <v>2132</v>
      </c>
      <c r="Q372" t="s">
        <v>7347</v>
      </c>
    </row>
    <row r="373" spans="1:17" x14ac:dyDescent="0.25">
      <c r="A373" t="s">
        <v>7348</v>
      </c>
      <c r="B373" t="s">
        <v>7349</v>
      </c>
      <c r="C373" t="s">
        <v>7350</v>
      </c>
      <c r="D373" t="s">
        <v>1361</v>
      </c>
      <c r="E373">
        <v>2023</v>
      </c>
      <c r="F373" t="s">
        <v>5186</v>
      </c>
      <c r="G373" t="s">
        <v>5549</v>
      </c>
      <c r="H373" t="s">
        <v>5059</v>
      </c>
      <c r="I373" t="s">
        <v>5059</v>
      </c>
      <c r="J373">
        <v>55233</v>
      </c>
      <c r="K373">
        <v>55280</v>
      </c>
      <c r="L373">
        <v>47</v>
      </c>
      <c r="M373" t="s">
        <v>1364</v>
      </c>
      <c r="N373" t="s">
        <v>1365</v>
      </c>
      <c r="O373" t="s">
        <v>1362</v>
      </c>
      <c r="P373" t="s">
        <v>7351</v>
      </c>
      <c r="Q373" t="s">
        <v>7352</v>
      </c>
    </row>
    <row r="374" spans="1:17" x14ac:dyDescent="0.25">
      <c r="A374" t="s">
        <v>6525</v>
      </c>
      <c r="B374" t="s">
        <v>6526</v>
      </c>
      <c r="C374" t="s">
        <v>6527</v>
      </c>
      <c r="D374" t="s">
        <v>2136</v>
      </c>
      <c r="E374">
        <v>2022</v>
      </c>
      <c r="F374" t="s">
        <v>4039</v>
      </c>
      <c r="G374" t="s">
        <v>7186</v>
      </c>
      <c r="H374" t="s">
        <v>5059</v>
      </c>
      <c r="I374" t="s">
        <v>5059</v>
      </c>
      <c r="M374" t="s">
        <v>2139</v>
      </c>
      <c r="N374" t="s">
        <v>2140</v>
      </c>
      <c r="O374" t="s">
        <v>2137</v>
      </c>
      <c r="P374" t="s">
        <v>7353</v>
      </c>
      <c r="Q374" t="s">
        <v>7354</v>
      </c>
    </row>
    <row r="375" spans="1:17" x14ac:dyDescent="0.25">
      <c r="A375" t="s">
        <v>7355</v>
      </c>
      <c r="B375" t="s">
        <v>7356</v>
      </c>
      <c r="C375" t="s">
        <v>7357</v>
      </c>
      <c r="D375" t="s">
        <v>1368</v>
      </c>
      <c r="E375">
        <v>2023</v>
      </c>
      <c r="F375" t="s">
        <v>5186</v>
      </c>
      <c r="G375" t="s">
        <v>5549</v>
      </c>
      <c r="H375" t="s">
        <v>5059</v>
      </c>
      <c r="I375" t="s">
        <v>5059</v>
      </c>
      <c r="J375">
        <v>44559</v>
      </c>
      <c r="K375">
        <v>44577</v>
      </c>
      <c r="L375">
        <v>18</v>
      </c>
      <c r="M375" t="s">
        <v>1371</v>
      </c>
      <c r="N375" t="s">
        <v>1372</v>
      </c>
      <c r="O375" t="s">
        <v>1369</v>
      </c>
      <c r="P375" t="s">
        <v>7358</v>
      </c>
      <c r="Q375" t="s">
        <v>7359</v>
      </c>
    </row>
    <row r="376" spans="1:17" x14ac:dyDescent="0.25">
      <c r="A376" t="s">
        <v>7360</v>
      </c>
      <c r="B376" t="s">
        <v>7361</v>
      </c>
      <c r="C376" t="s">
        <v>7362</v>
      </c>
      <c r="D376" t="s">
        <v>1375</v>
      </c>
      <c r="E376">
        <v>2022</v>
      </c>
      <c r="F376" t="s">
        <v>7363</v>
      </c>
      <c r="G376" t="s">
        <v>7364</v>
      </c>
      <c r="H376" t="s">
        <v>5202</v>
      </c>
      <c r="I376" t="s">
        <v>7365</v>
      </c>
      <c r="M376" t="s">
        <v>1378</v>
      </c>
      <c r="N376" t="s">
        <v>1379</v>
      </c>
      <c r="O376" t="s">
        <v>1376</v>
      </c>
      <c r="P376" t="s">
        <v>5059</v>
      </c>
      <c r="Q376" t="s">
        <v>7366</v>
      </c>
    </row>
    <row r="377" spans="1:17" x14ac:dyDescent="0.25">
      <c r="A377" t="s">
        <v>7367</v>
      </c>
      <c r="B377" t="s">
        <v>7368</v>
      </c>
      <c r="C377" t="s">
        <v>7369</v>
      </c>
      <c r="D377" t="s">
        <v>2143</v>
      </c>
      <c r="E377">
        <v>2022</v>
      </c>
      <c r="F377" t="s">
        <v>7370</v>
      </c>
      <c r="G377" t="s">
        <v>5059</v>
      </c>
      <c r="H377" t="s">
        <v>5059</v>
      </c>
      <c r="I377" t="s">
        <v>5059</v>
      </c>
      <c r="J377">
        <v>627</v>
      </c>
      <c r="K377">
        <v>632</v>
      </c>
      <c r="L377">
        <v>5</v>
      </c>
      <c r="M377" t="s">
        <v>2146</v>
      </c>
      <c r="N377" t="s">
        <v>2147</v>
      </c>
      <c r="O377" t="s">
        <v>2144</v>
      </c>
      <c r="P377" t="s">
        <v>7371</v>
      </c>
      <c r="Q377" t="s">
        <v>7372</v>
      </c>
    </row>
    <row r="378" spans="1:17" x14ac:dyDescent="0.25">
      <c r="A378" t="s">
        <v>7373</v>
      </c>
      <c r="B378" t="s">
        <v>7374</v>
      </c>
      <c r="C378" t="s">
        <v>7375</v>
      </c>
      <c r="D378" t="s">
        <v>2156</v>
      </c>
      <c r="E378">
        <v>2022</v>
      </c>
      <c r="F378" t="s">
        <v>4039</v>
      </c>
      <c r="G378" t="s">
        <v>7186</v>
      </c>
      <c r="H378" t="s">
        <v>5059</v>
      </c>
      <c r="I378" t="s">
        <v>5059</v>
      </c>
      <c r="M378" t="s">
        <v>2159</v>
      </c>
      <c r="N378" t="s">
        <v>2160</v>
      </c>
      <c r="O378" t="s">
        <v>2157</v>
      </c>
      <c r="P378" t="s">
        <v>7376</v>
      </c>
      <c r="Q378" t="s">
        <v>7377</v>
      </c>
    </row>
    <row r="379" spans="1:17" x14ac:dyDescent="0.25">
      <c r="A379" t="s">
        <v>5059</v>
      </c>
      <c r="B379" t="s">
        <v>5059</v>
      </c>
      <c r="C379" t="s">
        <v>5059</v>
      </c>
      <c r="D379" t="s">
        <v>1388</v>
      </c>
      <c r="E379">
        <v>2023</v>
      </c>
      <c r="F379" t="s">
        <v>5214</v>
      </c>
      <c r="G379" t="s">
        <v>7378</v>
      </c>
      <c r="H379" t="s">
        <v>5059</v>
      </c>
      <c r="I379" t="s">
        <v>5059</v>
      </c>
      <c r="L379">
        <v>595</v>
      </c>
      <c r="M379" t="s">
        <v>5059</v>
      </c>
      <c r="N379" t="s">
        <v>1390</v>
      </c>
      <c r="O379" t="s">
        <v>1389</v>
      </c>
      <c r="P379" t="s">
        <v>5059</v>
      </c>
      <c r="Q379" t="s">
        <v>7379</v>
      </c>
    </row>
    <row r="380" spans="1:17" x14ac:dyDescent="0.25">
      <c r="A380" t="s">
        <v>7380</v>
      </c>
      <c r="B380" t="s">
        <v>7381</v>
      </c>
      <c r="C380" t="s">
        <v>7382</v>
      </c>
      <c r="D380" t="s">
        <v>2184</v>
      </c>
      <c r="E380">
        <v>2022</v>
      </c>
      <c r="F380" t="s">
        <v>7383</v>
      </c>
      <c r="G380" t="s">
        <v>5059</v>
      </c>
      <c r="H380" t="s">
        <v>5059</v>
      </c>
      <c r="I380" t="s">
        <v>5059</v>
      </c>
      <c r="J380">
        <v>473</v>
      </c>
      <c r="K380">
        <v>477</v>
      </c>
      <c r="L380">
        <v>4</v>
      </c>
      <c r="M380" t="s">
        <v>2187</v>
      </c>
      <c r="N380" t="s">
        <v>2188</v>
      </c>
      <c r="O380" t="s">
        <v>2185</v>
      </c>
      <c r="P380" t="s">
        <v>7384</v>
      </c>
      <c r="Q380" t="s">
        <v>7385</v>
      </c>
    </row>
    <row r="381" spans="1:17" x14ac:dyDescent="0.25">
      <c r="A381" t="s">
        <v>7386</v>
      </c>
      <c r="B381" t="s">
        <v>7387</v>
      </c>
      <c r="C381" t="s">
        <v>7388</v>
      </c>
      <c r="D381" t="s">
        <v>2191</v>
      </c>
      <c r="E381">
        <v>2022</v>
      </c>
      <c r="F381" t="s">
        <v>5049</v>
      </c>
      <c r="G381" t="s">
        <v>5367</v>
      </c>
      <c r="H381" t="s">
        <v>5180</v>
      </c>
      <c r="I381" t="s">
        <v>7389</v>
      </c>
      <c r="M381" t="s">
        <v>2194</v>
      </c>
      <c r="N381" t="s">
        <v>2195</v>
      </c>
      <c r="O381" t="s">
        <v>2192</v>
      </c>
      <c r="P381" t="s">
        <v>7390</v>
      </c>
      <c r="Q381" t="s">
        <v>7391</v>
      </c>
    </row>
    <row r="382" spans="1:17" x14ac:dyDescent="0.25">
      <c r="A382" t="s">
        <v>7392</v>
      </c>
      <c r="B382" t="s">
        <v>7393</v>
      </c>
      <c r="C382" t="s">
        <v>7394</v>
      </c>
      <c r="D382" t="s">
        <v>2198</v>
      </c>
      <c r="E382">
        <v>2022</v>
      </c>
      <c r="F382" t="s">
        <v>7395</v>
      </c>
      <c r="G382" t="s">
        <v>7396</v>
      </c>
      <c r="H382" t="s">
        <v>5059</v>
      </c>
      <c r="I382" t="s">
        <v>5059</v>
      </c>
      <c r="J382">
        <v>1242</v>
      </c>
      <c r="K382">
        <v>1247</v>
      </c>
      <c r="L382">
        <v>5</v>
      </c>
      <c r="M382" t="s">
        <v>2201</v>
      </c>
      <c r="N382" t="s">
        <v>2202</v>
      </c>
      <c r="O382" t="s">
        <v>2199</v>
      </c>
      <c r="P382" t="s">
        <v>7397</v>
      </c>
      <c r="Q382" t="s">
        <v>7398</v>
      </c>
    </row>
    <row r="383" spans="1:17" x14ac:dyDescent="0.25">
      <c r="A383" t="s">
        <v>7399</v>
      </c>
      <c r="B383" t="s">
        <v>7400</v>
      </c>
      <c r="C383" t="s">
        <v>7401</v>
      </c>
      <c r="D383" t="s">
        <v>1429</v>
      </c>
      <c r="E383">
        <v>2022</v>
      </c>
      <c r="F383" t="s">
        <v>5290</v>
      </c>
      <c r="G383" t="s">
        <v>5549</v>
      </c>
      <c r="H383" t="s">
        <v>6542</v>
      </c>
      <c r="I383" t="s">
        <v>7402</v>
      </c>
      <c r="M383" t="s">
        <v>1432</v>
      </c>
      <c r="N383" t="s">
        <v>1433</v>
      </c>
      <c r="O383" t="s">
        <v>1430</v>
      </c>
      <c r="P383" t="s">
        <v>1431</v>
      </c>
      <c r="Q383" t="s">
        <v>7403</v>
      </c>
    </row>
    <row r="384" spans="1:17" x14ac:dyDescent="0.25">
      <c r="A384" t="s">
        <v>7299</v>
      </c>
      <c r="B384" t="s">
        <v>7300</v>
      </c>
      <c r="C384" t="s">
        <v>7301</v>
      </c>
      <c r="D384" t="s">
        <v>1305</v>
      </c>
      <c r="E384">
        <v>2022</v>
      </c>
      <c r="F384" t="s">
        <v>7404</v>
      </c>
      <c r="G384" t="s">
        <v>7405</v>
      </c>
      <c r="H384" t="s">
        <v>5059</v>
      </c>
      <c r="I384" t="s">
        <v>5059</v>
      </c>
      <c r="J384">
        <v>545</v>
      </c>
      <c r="K384">
        <v>554</v>
      </c>
      <c r="L384">
        <v>9</v>
      </c>
      <c r="M384" t="s">
        <v>1308</v>
      </c>
      <c r="N384" t="s">
        <v>2204</v>
      </c>
      <c r="O384" t="s">
        <v>1306</v>
      </c>
      <c r="P384" t="s">
        <v>7304</v>
      </c>
      <c r="Q384" t="s">
        <v>7406</v>
      </c>
    </row>
    <row r="385" spans="1:17" x14ac:dyDescent="0.25">
      <c r="A385" t="s">
        <v>7407</v>
      </c>
      <c r="B385" t="s">
        <v>7408</v>
      </c>
      <c r="C385" t="s">
        <v>7409</v>
      </c>
      <c r="D385" t="s">
        <v>1436</v>
      </c>
      <c r="E385">
        <v>2023</v>
      </c>
      <c r="F385" t="s">
        <v>7410</v>
      </c>
      <c r="G385" t="s">
        <v>5059</v>
      </c>
      <c r="H385" t="s">
        <v>5059</v>
      </c>
      <c r="I385" t="s">
        <v>5059</v>
      </c>
      <c r="J385">
        <v>1320</v>
      </c>
      <c r="K385">
        <v>1325</v>
      </c>
      <c r="L385">
        <v>5</v>
      </c>
      <c r="M385" t="s">
        <v>1439</v>
      </c>
      <c r="N385" t="s">
        <v>1440</v>
      </c>
      <c r="O385" t="s">
        <v>1437</v>
      </c>
      <c r="P385" t="s">
        <v>7411</v>
      </c>
      <c r="Q385" t="s">
        <v>7412</v>
      </c>
    </row>
    <row r="386" spans="1:17" x14ac:dyDescent="0.25">
      <c r="A386" t="s">
        <v>7413</v>
      </c>
      <c r="B386" t="s">
        <v>7414</v>
      </c>
      <c r="C386" t="s">
        <v>7415</v>
      </c>
      <c r="D386" t="s">
        <v>1443</v>
      </c>
      <c r="E386">
        <v>2023</v>
      </c>
      <c r="F386" t="s">
        <v>7416</v>
      </c>
      <c r="G386" t="s">
        <v>5157</v>
      </c>
      <c r="H386" t="s">
        <v>5103</v>
      </c>
      <c r="I386" t="s">
        <v>5059</v>
      </c>
      <c r="J386">
        <v>197</v>
      </c>
      <c r="K386">
        <v>206</v>
      </c>
      <c r="L386">
        <v>9</v>
      </c>
      <c r="M386" t="s">
        <v>1446</v>
      </c>
      <c r="N386" t="s">
        <v>1447</v>
      </c>
      <c r="O386" t="s">
        <v>1444</v>
      </c>
      <c r="P386" t="s">
        <v>7417</v>
      </c>
      <c r="Q386" t="s">
        <v>7418</v>
      </c>
    </row>
    <row r="387" spans="1:17" x14ac:dyDescent="0.25">
      <c r="A387" t="s">
        <v>7419</v>
      </c>
      <c r="B387" t="s">
        <v>7420</v>
      </c>
      <c r="C387" t="s">
        <v>7421</v>
      </c>
      <c r="D387" t="s">
        <v>2207</v>
      </c>
      <c r="E387">
        <v>2022</v>
      </c>
      <c r="F387" t="s">
        <v>7422</v>
      </c>
      <c r="G387" t="s">
        <v>5059</v>
      </c>
      <c r="H387" t="s">
        <v>5059</v>
      </c>
      <c r="I387" t="s">
        <v>5059</v>
      </c>
      <c r="M387" t="s">
        <v>2210</v>
      </c>
      <c r="N387" t="s">
        <v>2211</v>
      </c>
      <c r="O387" t="s">
        <v>2208</v>
      </c>
      <c r="P387" t="s">
        <v>7423</v>
      </c>
      <c r="Q387" t="s">
        <v>7424</v>
      </c>
    </row>
    <row r="388" spans="1:17" x14ac:dyDescent="0.25">
      <c r="A388" t="s">
        <v>7425</v>
      </c>
      <c r="B388" t="s">
        <v>7426</v>
      </c>
      <c r="C388" t="s">
        <v>7427</v>
      </c>
      <c r="D388" t="s">
        <v>2214</v>
      </c>
      <c r="E388">
        <v>2022</v>
      </c>
      <c r="F388" t="s">
        <v>7428</v>
      </c>
      <c r="G388" t="s">
        <v>5854</v>
      </c>
      <c r="H388" t="s">
        <v>5195</v>
      </c>
      <c r="I388" t="s">
        <v>7429</v>
      </c>
      <c r="M388" t="s">
        <v>2217</v>
      </c>
      <c r="N388" t="s">
        <v>2218</v>
      </c>
      <c r="O388" t="s">
        <v>2215</v>
      </c>
      <c r="P388" t="s">
        <v>7430</v>
      </c>
      <c r="Q388" t="s">
        <v>7431</v>
      </c>
    </row>
    <row r="389" spans="1:17" x14ac:dyDescent="0.25">
      <c r="A389" t="s">
        <v>7432</v>
      </c>
      <c r="B389" t="s">
        <v>7433</v>
      </c>
      <c r="C389" t="s">
        <v>7434</v>
      </c>
      <c r="D389" t="s">
        <v>2228</v>
      </c>
      <c r="E389">
        <v>2022</v>
      </c>
      <c r="F389" t="s">
        <v>5155</v>
      </c>
      <c r="G389" t="s">
        <v>5463</v>
      </c>
      <c r="H389" t="s">
        <v>5180</v>
      </c>
      <c r="I389" t="s">
        <v>7435</v>
      </c>
      <c r="M389" t="s">
        <v>2231</v>
      </c>
      <c r="N389" t="s">
        <v>2232</v>
      </c>
      <c r="O389" t="s">
        <v>2229</v>
      </c>
      <c r="P389" t="s">
        <v>7436</v>
      </c>
      <c r="Q389" t="s">
        <v>7437</v>
      </c>
    </row>
    <row r="390" spans="1:17" x14ac:dyDescent="0.25">
      <c r="A390" t="s">
        <v>7438</v>
      </c>
      <c r="B390" t="s">
        <v>7439</v>
      </c>
      <c r="C390" t="s">
        <v>7440</v>
      </c>
      <c r="D390" t="s">
        <v>2235</v>
      </c>
      <c r="E390">
        <v>2022</v>
      </c>
      <c r="F390" t="s">
        <v>5155</v>
      </c>
      <c r="G390" t="s">
        <v>5463</v>
      </c>
      <c r="H390" t="s">
        <v>5754</v>
      </c>
      <c r="I390" t="s">
        <v>7441</v>
      </c>
      <c r="M390" t="s">
        <v>2238</v>
      </c>
      <c r="N390" t="s">
        <v>2239</v>
      </c>
      <c r="O390" t="s">
        <v>2236</v>
      </c>
      <c r="P390" t="s">
        <v>7442</v>
      </c>
      <c r="Q390" t="s">
        <v>7443</v>
      </c>
    </row>
    <row r="391" spans="1:17" x14ac:dyDescent="0.25">
      <c r="A391" t="s">
        <v>5059</v>
      </c>
      <c r="B391" t="s">
        <v>5059</v>
      </c>
      <c r="C391" t="s">
        <v>5059</v>
      </c>
      <c r="D391" t="s">
        <v>1460</v>
      </c>
      <c r="E391">
        <v>2023</v>
      </c>
      <c r="F391" t="s">
        <v>5836</v>
      </c>
      <c r="G391" t="s">
        <v>7444</v>
      </c>
      <c r="H391" t="s">
        <v>5059</v>
      </c>
      <c r="I391" t="s">
        <v>5059</v>
      </c>
      <c r="L391">
        <v>3926</v>
      </c>
      <c r="M391" t="s">
        <v>5059</v>
      </c>
      <c r="N391" t="s">
        <v>1462</v>
      </c>
      <c r="O391" t="s">
        <v>7445</v>
      </c>
      <c r="P391" t="s">
        <v>5059</v>
      </c>
      <c r="Q391" t="s">
        <v>7446</v>
      </c>
    </row>
    <row r="392" spans="1:17" x14ac:dyDescent="0.25">
      <c r="A392" t="s">
        <v>7447</v>
      </c>
      <c r="B392" t="s">
        <v>7448</v>
      </c>
      <c r="C392" t="s">
        <v>7449</v>
      </c>
      <c r="D392" t="s">
        <v>1486</v>
      </c>
      <c r="E392">
        <v>2022</v>
      </c>
      <c r="F392" t="s">
        <v>7428</v>
      </c>
      <c r="G392" t="s">
        <v>5854</v>
      </c>
      <c r="H392" t="s">
        <v>5156</v>
      </c>
      <c r="I392" t="s">
        <v>7450</v>
      </c>
      <c r="M392" t="s">
        <v>1489</v>
      </c>
      <c r="N392" t="s">
        <v>1490</v>
      </c>
      <c r="O392" t="s">
        <v>1487</v>
      </c>
      <c r="P392" t="s">
        <v>7451</v>
      </c>
      <c r="Q392" t="s">
        <v>7452</v>
      </c>
    </row>
    <row r="393" spans="1:17" x14ac:dyDescent="0.25">
      <c r="A393" t="s">
        <v>7453</v>
      </c>
      <c r="B393" t="s">
        <v>7454</v>
      </c>
      <c r="C393" t="s">
        <v>7455</v>
      </c>
      <c r="D393" t="s">
        <v>1507</v>
      </c>
      <c r="E393">
        <v>2022</v>
      </c>
      <c r="F393" t="s">
        <v>5178</v>
      </c>
      <c r="G393" t="s">
        <v>7085</v>
      </c>
      <c r="H393" t="s">
        <v>5463</v>
      </c>
      <c r="I393" t="s">
        <v>5059</v>
      </c>
      <c r="J393">
        <v>394</v>
      </c>
      <c r="K393">
        <v>399</v>
      </c>
      <c r="L393">
        <v>5</v>
      </c>
      <c r="M393" t="s">
        <v>1510</v>
      </c>
      <c r="N393" t="s">
        <v>1511</v>
      </c>
      <c r="O393" t="s">
        <v>1508</v>
      </c>
      <c r="P393" t="s">
        <v>7456</v>
      </c>
      <c r="Q393" t="s">
        <v>7457</v>
      </c>
    </row>
    <row r="394" spans="1:17" x14ac:dyDescent="0.25">
      <c r="A394" t="s">
        <v>7458</v>
      </c>
      <c r="B394" t="s">
        <v>7459</v>
      </c>
      <c r="C394" t="s">
        <v>7460</v>
      </c>
      <c r="D394" t="s">
        <v>2256</v>
      </c>
      <c r="E394">
        <v>2022</v>
      </c>
      <c r="F394" t="s">
        <v>7461</v>
      </c>
      <c r="G394" t="s">
        <v>5059</v>
      </c>
      <c r="H394" t="s">
        <v>5059</v>
      </c>
      <c r="I394" t="s">
        <v>5059</v>
      </c>
      <c r="M394" t="s">
        <v>2259</v>
      </c>
      <c r="N394" t="s">
        <v>2260</v>
      </c>
      <c r="O394" t="s">
        <v>2257</v>
      </c>
      <c r="P394" t="s">
        <v>7462</v>
      </c>
      <c r="Q394" t="s">
        <v>7463</v>
      </c>
    </row>
    <row r="395" spans="1:17" x14ac:dyDescent="0.25">
      <c r="A395" t="s">
        <v>7464</v>
      </c>
      <c r="B395" t="s">
        <v>7465</v>
      </c>
      <c r="C395" t="s">
        <v>7466</v>
      </c>
      <c r="D395" t="s">
        <v>1514</v>
      </c>
      <c r="E395">
        <v>2023</v>
      </c>
      <c r="F395" t="s">
        <v>7467</v>
      </c>
      <c r="G395" t="s">
        <v>5059</v>
      </c>
      <c r="H395" t="s">
        <v>5059</v>
      </c>
      <c r="I395" t="s">
        <v>5059</v>
      </c>
      <c r="J395">
        <v>57</v>
      </c>
      <c r="K395">
        <v>62</v>
      </c>
      <c r="L395">
        <v>5</v>
      </c>
      <c r="M395" t="s">
        <v>1517</v>
      </c>
      <c r="N395" t="s">
        <v>1518</v>
      </c>
      <c r="O395" t="s">
        <v>1515</v>
      </c>
      <c r="P395" t="s">
        <v>7468</v>
      </c>
      <c r="Q395" t="s">
        <v>7469</v>
      </c>
    </row>
    <row r="396" spans="1:17" x14ac:dyDescent="0.25">
      <c r="A396" t="s">
        <v>5059</v>
      </c>
      <c r="B396" t="s">
        <v>5059</v>
      </c>
      <c r="C396" t="s">
        <v>5059</v>
      </c>
      <c r="D396" t="s">
        <v>2269</v>
      </c>
      <c r="E396">
        <v>2022</v>
      </c>
      <c r="F396" t="s">
        <v>5806</v>
      </c>
      <c r="G396" t="s">
        <v>7470</v>
      </c>
      <c r="H396" t="s">
        <v>5059</v>
      </c>
      <c r="I396" t="s">
        <v>5059</v>
      </c>
      <c r="L396">
        <v>466</v>
      </c>
      <c r="M396" t="s">
        <v>5059</v>
      </c>
      <c r="N396" t="s">
        <v>2271</v>
      </c>
      <c r="O396" t="s">
        <v>7471</v>
      </c>
      <c r="P396" t="s">
        <v>5059</v>
      </c>
      <c r="Q396" t="s">
        <v>7472</v>
      </c>
    </row>
    <row r="397" spans="1:17" x14ac:dyDescent="0.25">
      <c r="A397" t="s">
        <v>7473</v>
      </c>
      <c r="B397" t="s">
        <v>7474</v>
      </c>
      <c r="C397" t="s">
        <v>7475</v>
      </c>
      <c r="D397" t="s">
        <v>2274</v>
      </c>
      <c r="E397">
        <v>2022</v>
      </c>
      <c r="F397" t="s">
        <v>7476</v>
      </c>
      <c r="G397" t="s">
        <v>5291</v>
      </c>
      <c r="H397" t="s">
        <v>5367</v>
      </c>
      <c r="I397" t="s">
        <v>7477</v>
      </c>
      <c r="M397" t="s">
        <v>2277</v>
      </c>
      <c r="N397" t="s">
        <v>2278</v>
      </c>
      <c r="O397" t="s">
        <v>2275</v>
      </c>
      <c r="P397" t="s">
        <v>7478</v>
      </c>
      <c r="Q397" t="s">
        <v>7479</v>
      </c>
    </row>
    <row r="398" spans="1:17" x14ac:dyDescent="0.25">
      <c r="A398" t="s">
        <v>7480</v>
      </c>
      <c r="B398" t="s">
        <v>7481</v>
      </c>
      <c r="C398" t="s">
        <v>7482</v>
      </c>
      <c r="D398" t="s">
        <v>2281</v>
      </c>
      <c r="E398">
        <v>2022</v>
      </c>
      <c r="F398" t="s">
        <v>7483</v>
      </c>
      <c r="G398" t="s">
        <v>5059</v>
      </c>
      <c r="H398" t="s">
        <v>5059</v>
      </c>
      <c r="I398" t="s">
        <v>5059</v>
      </c>
      <c r="M398" t="s">
        <v>2284</v>
      </c>
      <c r="N398" t="s">
        <v>2285</v>
      </c>
      <c r="O398" t="s">
        <v>2282</v>
      </c>
      <c r="P398" t="s">
        <v>7484</v>
      </c>
      <c r="Q398" t="s">
        <v>7485</v>
      </c>
    </row>
    <row r="399" spans="1:17" x14ac:dyDescent="0.25">
      <c r="A399" t="s">
        <v>7486</v>
      </c>
      <c r="B399" t="s">
        <v>7487</v>
      </c>
      <c r="C399" t="s">
        <v>7488</v>
      </c>
      <c r="D399" t="s">
        <v>2288</v>
      </c>
      <c r="E399">
        <v>2022</v>
      </c>
      <c r="F399" t="s">
        <v>7489</v>
      </c>
      <c r="G399" t="s">
        <v>5059</v>
      </c>
      <c r="H399" t="s">
        <v>5059</v>
      </c>
      <c r="I399" t="s">
        <v>5059</v>
      </c>
      <c r="M399" t="s">
        <v>2291</v>
      </c>
      <c r="N399" t="s">
        <v>2292</v>
      </c>
      <c r="O399" t="s">
        <v>2289</v>
      </c>
      <c r="P399" t="s">
        <v>7490</v>
      </c>
      <c r="Q399" t="s">
        <v>7491</v>
      </c>
    </row>
    <row r="400" spans="1:17" x14ac:dyDescent="0.25">
      <c r="A400" t="s">
        <v>7492</v>
      </c>
      <c r="B400" t="s">
        <v>7493</v>
      </c>
      <c r="C400" t="s">
        <v>7494</v>
      </c>
      <c r="D400" t="s">
        <v>2309</v>
      </c>
      <c r="E400">
        <v>2022</v>
      </c>
      <c r="F400" t="s">
        <v>7495</v>
      </c>
      <c r="G400" t="s">
        <v>5059</v>
      </c>
      <c r="H400" t="s">
        <v>5059</v>
      </c>
      <c r="I400" t="s">
        <v>5059</v>
      </c>
      <c r="J400">
        <v>274</v>
      </c>
      <c r="K400">
        <v>279</v>
      </c>
      <c r="L400">
        <v>5</v>
      </c>
      <c r="M400" t="s">
        <v>2312</v>
      </c>
      <c r="N400" t="s">
        <v>2313</v>
      </c>
      <c r="O400" t="s">
        <v>2310</v>
      </c>
      <c r="P400" t="s">
        <v>5059</v>
      </c>
      <c r="Q400" t="s">
        <v>7496</v>
      </c>
    </row>
    <row r="401" spans="1:17" x14ac:dyDescent="0.25">
      <c r="A401" t="s">
        <v>7497</v>
      </c>
      <c r="B401" t="s">
        <v>7498</v>
      </c>
      <c r="C401" t="s">
        <v>7499</v>
      </c>
      <c r="D401" t="s">
        <v>1553</v>
      </c>
      <c r="E401">
        <v>2022</v>
      </c>
      <c r="F401" t="s">
        <v>5155</v>
      </c>
      <c r="G401" t="s">
        <v>5463</v>
      </c>
      <c r="H401" t="s">
        <v>5070</v>
      </c>
      <c r="I401" t="s">
        <v>7500</v>
      </c>
      <c r="M401" t="s">
        <v>1556</v>
      </c>
      <c r="N401" t="s">
        <v>1557</v>
      </c>
      <c r="O401" t="s">
        <v>1554</v>
      </c>
      <c r="P401" t="s">
        <v>7501</v>
      </c>
      <c r="Q401" t="s">
        <v>7502</v>
      </c>
    </row>
    <row r="402" spans="1:17" x14ac:dyDescent="0.25">
      <c r="A402" t="s">
        <v>7503</v>
      </c>
      <c r="B402" t="s">
        <v>7504</v>
      </c>
      <c r="C402" t="s">
        <v>7505</v>
      </c>
      <c r="D402" t="s">
        <v>2316</v>
      </c>
      <c r="E402">
        <v>2021</v>
      </c>
      <c r="F402" t="s">
        <v>7506</v>
      </c>
      <c r="G402" t="s">
        <v>5059</v>
      </c>
      <c r="H402" t="s">
        <v>5059</v>
      </c>
      <c r="I402" t="s">
        <v>7507</v>
      </c>
      <c r="M402" t="s">
        <v>2319</v>
      </c>
      <c r="N402" t="s">
        <v>2320</v>
      </c>
      <c r="O402" t="s">
        <v>2317</v>
      </c>
      <c r="P402" t="s">
        <v>5059</v>
      </c>
      <c r="Q402" t="s">
        <v>7508</v>
      </c>
    </row>
    <row r="403" spans="1:17" x14ac:dyDescent="0.25">
      <c r="A403" t="s">
        <v>7509</v>
      </c>
      <c r="B403" t="s">
        <v>7510</v>
      </c>
      <c r="C403" t="s">
        <v>7511</v>
      </c>
      <c r="D403" t="s">
        <v>2323</v>
      </c>
      <c r="E403">
        <v>2021</v>
      </c>
      <c r="F403" t="s">
        <v>7192</v>
      </c>
      <c r="G403" t="s">
        <v>7512</v>
      </c>
      <c r="H403" t="s">
        <v>5059</v>
      </c>
      <c r="I403" t="s">
        <v>7513</v>
      </c>
      <c r="M403" t="s">
        <v>2326</v>
      </c>
      <c r="N403" t="s">
        <v>2327</v>
      </c>
      <c r="O403" t="s">
        <v>2324</v>
      </c>
      <c r="P403" t="s">
        <v>5059</v>
      </c>
      <c r="Q403" t="s">
        <v>7514</v>
      </c>
    </row>
    <row r="404" spans="1:17" x14ac:dyDescent="0.25">
      <c r="A404" t="s">
        <v>7515</v>
      </c>
      <c r="B404" t="s">
        <v>7516</v>
      </c>
      <c r="C404" t="s">
        <v>7517</v>
      </c>
      <c r="D404" t="s">
        <v>1560</v>
      </c>
      <c r="E404">
        <v>2021</v>
      </c>
      <c r="F404" t="s">
        <v>7518</v>
      </c>
      <c r="G404" t="s">
        <v>5195</v>
      </c>
      <c r="H404" t="s">
        <v>5059</v>
      </c>
      <c r="I404" t="s">
        <v>5059</v>
      </c>
      <c r="J404">
        <v>7925</v>
      </c>
      <c r="K404">
        <v>7939</v>
      </c>
      <c r="L404">
        <v>14</v>
      </c>
      <c r="M404" t="s">
        <v>1563</v>
      </c>
      <c r="N404" t="s">
        <v>1564</v>
      </c>
      <c r="O404" t="s">
        <v>1561</v>
      </c>
      <c r="P404" t="s">
        <v>7519</v>
      </c>
      <c r="Q404" t="s">
        <v>7520</v>
      </c>
    </row>
    <row r="405" spans="1:17" x14ac:dyDescent="0.25">
      <c r="A405" t="s">
        <v>7521</v>
      </c>
      <c r="B405" t="s">
        <v>7522</v>
      </c>
      <c r="C405" t="s">
        <v>7523</v>
      </c>
      <c r="D405" t="s">
        <v>1567</v>
      </c>
      <c r="E405">
        <v>2022</v>
      </c>
      <c r="F405" t="s">
        <v>6361</v>
      </c>
      <c r="G405" t="s">
        <v>6887</v>
      </c>
      <c r="H405" t="s">
        <v>5202</v>
      </c>
      <c r="I405" t="s">
        <v>5059</v>
      </c>
      <c r="J405">
        <v>166</v>
      </c>
      <c r="K405">
        <v>173</v>
      </c>
      <c r="L405">
        <v>7</v>
      </c>
      <c r="M405" t="s">
        <v>1570</v>
      </c>
      <c r="N405" t="s">
        <v>1571</v>
      </c>
      <c r="O405" t="s">
        <v>1568</v>
      </c>
      <c r="P405" t="s">
        <v>5059</v>
      </c>
      <c r="Q405" t="s">
        <v>7524</v>
      </c>
    </row>
    <row r="406" spans="1:17" x14ac:dyDescent="0.25">
      <c r="A406" t="s">
        <v>7525</v>
      </c>
      <c r="B406" t="s">
        <v>7526</v>
      </c>
      <c r="C406" t="s">
        <v>7527</v>
      </c>
      <c r="D406" t="s">
        <v>1574</v>
      </c>
      <c r="E406">
        <v>2022</v>
      </c>
      <c r="F406" t="s">
        <v>7528</v>
      </c>
      <c r="G406" t="s">
        <v>5059</v>
      </c>
      <c r="H406" t="s">
        <v>5059</v>
      </c>
      <c r="I406" t="s">
        <v>7529</v>
      </c>
      <c r="M406" t="s">
        <v>1577</v>
      </c>
      <c r="N406" t="s">
        <v>1578</v>
      </c>
      <c r="O406" t="s">
        <v>1575</v>
      </c>
      <c r="P406" t="s">
        <v>5059</v>
      </c>
      <c r="Q406" t="s">
        <v>7530</v>
      </c>
    </row>
    <row r="407" spans="1:17" x14ac:dyDescent="0.25">
      <c r="A407" t="s">
        <v>7531</v>
      </c>
      <c r="B407" t="s">
        <v>7532</v>
      </c>
      <c r="C407" t="s">
        <v>7533</v>
      </c>
      <c r="D407" t="s">
        <v>2337</v>
      </c>
      <c r="E407">
        <v>2021</v>
      </c>
      <c r="F407" t="s">
        <v>7534</v>
      </c>
      <c r="G407" t="s">
        <v>5059</v>
      </c>
      <c r="H407" t="s">
        <v>5059</v>
      </c>
      <c r="I407" t="s">
        <v>5059</v>
      </c>
      <c r="J407">
        <v>417</v>
      </c>
      <c r="K407">
        <v>422</v>
      </c>
      <c r="L407">
        <v>5</v>
      </c>
      <c r="M407" t="s">
        <v>2340</v>
      </c>
      <c r="N407" t="s">
        <v>2341</v>
      </c>
      <c r="O407" t="s">
        <v>2338</v>
      </c>
      <c r="P407" t="s">
        <v>7535</v>
      </c>
      <c r="Q407" t="s">
        <v>7536</v>
      </c>
    </row>
    <row r="408" spans="1:17" x14ac:dyDescent="0.25">
      <c r="A408" t="s">
        <v>7537</v>
      </c>
      <c r="B408" t="s">
        <v>7538</v>
      </c>
      <c r="C408" t="s">
        <v>7539</v>
      </c>
      <c r="D408" t="s">
        <v>2351</v>
      </c>
      <c r="E408">
        <v>2021</v>
      </c>
      <c r="F408" t="s">
        <v>5396</v>
      </c>
      <c r="G408" t="s">
        <v>5291</v>
      </c>
      <c r="H408" t="s">
        <v>5754</v>
      </c>
      <c r="I408" t="s">
        <v>7540</v>
      </c>
      <c r="M408" t="s">
        <v>2354</v>
      </c>
      <c r="N408" t="s">
        <v>2355</v>
      </c>
      <c r="O408" t="s">
        <v>2352</v>
      </c>
      <c r="P408" t="s">
        <v>7541</v>
      </c>
      <c r="Q408" t="s">
        <v>7542</v>
      </c>
    </row>
    <row r="409" spans="1:17" x14ac:dyDescent="0.25">
      <c r="A409" t="s">
        <v>7543</v>
      </c>
      <c r="B409" t="s">
        <v>7544</v>
      </c>
      <c r="C409" t="s">
        <v>7545</v>
      </c>
      <c r="D409" t="s">
        <v>1602</v>
      </c>
      <c r="E409">
        <v>2021</v>
      </c>
      <c r="F409" t="s">
        <v>6938</v>
      </c>
      <c r="G409" t="s">
        <v>5059</v>
      </c>
      <c r="H409" t="s">
        <v>5059</v>
      </c>
      <c r="I409" t="s">
        <v>5059</v>
      </c>
      <c r="J409">
        <v>64</v>
      </c>
      <c r="K409">
        <v>69</v>
      </c>
      <c r="L409">
        <v>5</v>
      </c>
      <c r="M409" t="s">
        <v>1605</v>
      </c>
      <c r="N409" t="s">
        <v>1606</v>
      </c>
      <c r="O409" t="s">
        <v>1603</v>
      </c>
      <c r="P409" t="s">
        <v>7546</v>
      </c>
      <c r="Q409" t="s">
        <v>7547</v>
      </c>
    </row>
    <row r="410" spans="1:17" x14ac:dyDescent="0.25">
      <c r="A410" t="s">
        <v>7548</v>
      </c>
      <c r="B410" t="s">
        <v>7549</v>
      </c>
      <c r="C410" t="s">
        <v>7550</v>
      </c>
      <c r="D410" t="s">
        <v>2365</v>
      </c>
      <c r="E410">
        <v>2021</v>
      </c>
      <c r="F410" t="s">
        <v>6985</v>
      </c>
      <c r="G410" t="s">
        <v>7551</v>
      </c>
      <c r="H410" t="s">
        <v>5059</v>
      </c>
      <c r="I410" t="s">
        <v>5059</v>
      </c>
      <c r="J410">
        <v>316</v>
      </c>
      <c r="K410">
        <v>322</v>
      </c>
      <c r="L410">
        <v>6</v>
      </c>
      <c r="M410" t="s">
        <v>2368</v>
      </c>
      <c r="N410" t="s">
        <v>2369</v>
      </c>
      <c r="O410" t="s">
        <v>2366</v>
      </c>
      <c r="P410" t="s">
        <v>7552</v>
      </c>
      <c r="Q410" t="s">
        <v>7553</v>
      </c>
    </row>
    <row r="411" spans="1:17" x14ac:dyDescent="0.25">
      <c r="A411" t="s">
        <v>7554</v>
      </c>
      <c r="B411" t="s">
        <v>7555</v>
      </c>
      <c r="C411" t="s">
        <v>7556</v>
      </c>
      <c r="D411" t="s">
        <v>1616</v>
      </c>
      <c r="E411">
        <v>2022</v>
      </c>
      <c r="F411" t="s">
        <v>5186</v>
      </c>
      <c r="G411" t="s">
        <v>5102</v>
      </c>
      <c r="H411" t="s">
        <v>5059</v>
      </c>
      <c r="I411" t="s">
        <v>5059</v>
      </c>
      <c r="J411">
        <v>16859</v>
      </c>
      <c r="K411">
        <v>16870</v>
      </c>
      <c r="L411">
        <v>11</v>
      </c>
      <c r="M411" t="s">
        <v>1619</v>
      </c>
      <c r="N411" t="s">
        <v>1620</v>
      </c>
      <c r="O411" t="s">
        <v>1617</v>
      </c>
      <c r="P411" t="s">
        <v>7557</v>
      </c>
      <c r="Q411" t="s">
        <v>7558</v>
      </c>
    </row>
    <row r="412" spans="1:17" x14ac:dyDescent="0.25">
      <c r="A412" t="s">
        <v>7559</v>
      </c>
      <c r="B412" t="s">
        <v>7560</v>
      </c>
      <c r="C412" t="s">
        <v>7561</v>
      </c>
      <c r="D412" t="s">
        <v>2372</v>
      </c>
      <c r="E412">
        <v>2021</v>
      </c>
      <c r="F412" t="s">
        <v>6487</v>
      </c>
      <c r="G412" t="s">
        <v>6887</v>
      </c>
      <c r="H412" t="s">
        <v>5051</v>
      </c>
      <c r="I412" t="s">
        <v>7562</v>
      </c>
      <c r="J412">
        <v>4</v>
      </c>
      <c r="K412">
        <v>29</v>
      </c>
      <c r="L412">
        <v>25</v>
      </c>
      <c r="M412" t="s">
        <v>2375</v>
      </c>
      <c r="N412" t="s">
        <v>2376</v>
      </c>
      <c r="O412" t="s">
        <v>2373</v>
      </c>
      <c r="P412" t="s">
        <v>5059</v>
      </c>
      <c r="Q412" t="s">
        <v>7563</v>
      </c>
    </row>
    <row r="413" spans="1:17" x14ac:dyDescent="0.25">
      <c r="A413" t="s">
        <v>5059</v>
      </c>
      <c r="B413" t="s">
        <v>5059</v>
      </c>
      <c r="C413" t="s">
        <v>5059</v>
      </c>
      <c r="D413" t="s">
        <v>2398</v>
      </c>
      <c r="E413">
        <v>2021</v>
      </c>
      <c r="F413" t="s">
        <v>5214</v>
      </c>
      <c r="G413" t="s">
        <v>7564</v>
      </c>
      <c r="H413" t="s">
        <v>5059</v>
      </c>
      <c r="I413" t="s">
        <v>5059</v>
      </c>
      <c r="L413">
        <v>274</v>
      </c>
      <c r="M413" t="s">
        <v>5059</v>
      </c>
      <c r="N413" t="s">
        <v>2400</v>
      </c>
      <c r="O413" t="s">
        <v>2399</v>
      </c>
      <c r="P413" t="s">
        <v>5059</v>
      </c>
      <c r="Q413" t="s">
        <v>7565</v>
      </c>
    </row>
    <row r="414" spans="1:17" x14ac:dyDescent="0.25">
      <c r="A414" t="s">
        <v>7566</v>
      </c>
      <c r="B414" t="s">
        <v>7567</v>
      </c>
      <c r="C414" t="s">
        <v>7568</v>
      </c>
      <c r="D414" t="s">
        <v>2403</v>
      </c>
      <c r="E414">
        <v>2021</v>
      </c>
      <c r="F414" t="s">
        <v>7569</v>
      </c>
      <c r="G414" t="s">
        <v>5202</v>
      </c>
      <c r="H414" t="s">
        <v>5102</v>
      </c>
      <c r="I414" t="s">
        <v>5059</v>
      </c>
      <c r="J414">
        <v>146</v>
      </c>
      <c r="K414">
        <v>153</v>
      </c>
      <c r="L414">
        <v>7</v>
      </c>
      <c r="M414" t="s">
        <v>2406</v>
      </c>
      <c r="N414" t="s">
        <v>2407</v>
      </c>
      <c r="O414" t="s">
        <v>2404</v>
      </c>
      <c r="P414" t="s">
        <v>7570</v>
      </c>
      <c r="Q414" t="s">
        <v>7571</v>
      </c>
    </row>
    <row r="415" spans="1:17" x14ac:dyDescent="0.25">
      <c r="A415" t="s">
        <v>7572</v>
      </c>
      <c r="B415" t="s">
        <v>7573</v>
      </c>
      <c r="C415" t="s">
        <v>7574</v>
      </c>
      <c r="D415" t="s">
        <v>2410</v>
      </c>
      <c r="E415">
        <v>2021</v>
      </c>
      <c r="F415" t="s">
        <v>7575</v>
      </c>
      <c r="G415" t="s">
        <v>5059</v>
      </c>
      <c r="H415" t="s">
        <v>5059</v>
      </c>
      <c r="I415" t="s">
        <v>5059</v>
      </c>
      <c r="M415" t="s">
        <v>5059</v>
      </c>
      <c r="N415" t="s">
        <v>2413</v>
      </c>
      <c r="O415" t="s">
        <v>2411</v>
      </c>
      <c r="P415" t="s">
        <v>5059</v>
      </c>
      <c r="Q415" t="s">
        <v>7576</v>
      </c>
    </row>
    <row r="416" spans="1:17" x14ac:dyDescent="0.25">
      <c r="A416" t="s">
        <v>7577</v>
      </c>
      <c r="B416" t="s">
        <v>7578</v>
      </c>
      <c r="C416" t="s">
        <v>7579</v>
      </c>
      <c r="D416" t="s">
        <v>1651</v>
      </c>
      <c r="E416">
        <v>2022</v>
      </c>
      <c r="F416" t="s">
        <v>7580</v>
      </c>
      <c r="G416" t="s">
        <v>5059</v>
      </c>
      <c r="H416" t="s">
        <v>5059</v>
      </c>
      <c r="I416" t="s">
        <v>5059</v>
      </c>
      <c r="M416" t="s">
        <v>1654</v>
      </c>
      <c r="N416" t="s">
        <v>1655</v>
      </c>
      <c r="O416" t="s">
        <v>1652</v>
      </c>
      <c r="P416" t="s">
        <v>7581</v>
      </c>
      <c r="Q416" t="s">
        <v>7582</v>
      </c>
    </row>
    <row r="417" spans="1:17" x14ac:dyDescent="0.25">
      <c r="A417" t="s">
        <v>7583</v>
      </c>
      <c r="B417" t="s">
        <v>7584</v>
      </c>
      <c r="C417" t="s">
        <v>7585</v>
      </c>
      <c r="D417" t="s">
        <v>1658</v>
      </c>
      <c r="E417">
        <v>2022</v>
      </c>
      <c r="F417" t="s">
        <v>7586</v>
      </c>
      <c r="G417" t="s">
        <v>6542</v>
      </c>
      <c r="H417" t="s">
        <v>5051</v>
      </c>
      <c r="I417" t="s">
        <v>5059</v>
      </c>
      <c r="J417">
        <v>224</v>
      </c>
      <c r="K417">
        <v>245</v>
      </c>
      <c r="L417">
        <v>21</v>
      </c>
      <c r="M417" t="s">
        <v>1661</v>
      </c>
      <c r="N417" t="s">
        <v>1662</v>
      </c>
      <c r="O417" t="s">
        <v>1659</v>
      </c>
      <c r="P417" t="s">
        <v>7587</v>
      </c>
      <c r="Q417" t="s">
        <v>7588</v>
      </c>
    </row>
    <row r="418" spans="1:17" x14ac:dyDescent="0.25">
      <c r="A418" t="s">
        <v>7589</v>
      </c>
      <c r="B418" t="s">
        <v>7590</v>
      </c>
      <c r="C418" t="s">
        <v>7591</v>
      </c>
      <c r="D418" t="s">
        <v>1672</v>
      </c>
      <c r="E418">
        <v>2022</v>
      </c>
      <c r="F418" t="s">
        <v>7592</v>
      </c>
      <c r="G418" t="s">
        <v>5367</v>
      </c>
      <c r="H418" t="s">
        <v>5059</v>
      </c>
      <c r="I418" t="s">
        <v>5059</v>
      </c>
      <c r="J418">
        <v>220</v>
      </c>
      <c r="K418">
        <v>228</v>
      </c>
      <c r="L418">
        <v>8</v>
      </c>
      <c r="M418" t="s">
        <v>1675</v>
      </c>
      <c r="N418" t="s">
        <v>1676</v>
      </c>
      <c r="O418" t="s">
        <v>1673</v>
      </c>
      <c r="P418" t="s">
        <v>7593</v>
      </c>
      <c r="Q418" t="s">
        <v>7594</v>
      </c>
    </row>
    <row r="419" spans="1:17" x14ac:dyDescent="0.25">
      <c r="A419" t="s">
        <v>6041</v>
      </c>
      <c r="B419" t="s">
        <v>6042</v>
      </c>
      <c r="C419" t="s">
        <v>6043</v>
      </c>
      <c r="D419" t="s">
        <v>2429</v>
      </c>
      <c r="E419">
        <v>2021</v>
      </c>
      <c r="F419" t="s">
        <v>7595</v>
      </c>
      <c r="G419" t="s">
        <v>5059</v>
      </c>
      <c r="H419" t="s">
        <v>5059</v>
      </c>
      <c r="I419" t="s">
        <v>7596</v>
      </c>
      <c r="M419" t="s">
        <v>2432</v>
      </c>
      <c r="N419" t="s">
        <v>2433</v>
      </c>
      <c r="O419" t="s">
        <v>2430</v>
      </c>
      <c r="P419" t="s">
        <v>7597</v>
      </c>
      <c r="Q419" t="s">
        <v>7598</v>
      </c>
    </row>
    <row r="420" spans="1:17" x14ac:dyDescent="0.25">
      <c r="A420" t="s">
        <v>7599</v>
      </c>
      <c r="B420" t="s">
        <v>7600</v>
      </c>
      <c r="C420" t="s">
        <v>7601</v>
      </c>
      <c r="D420" t="s">
        <v>1686</v>
      </c>
      <c r="E420">
        <v>2021</v>
      </c>
      <c r="F420" t="s">
        <v>7602</v>
      </c>
      <c r="G420" t="s">
        <v>5291</v>
      </c>
      <c r="H420" t="s">
        <v>6542</v>
      </c>
      <c r="I420" t="s">
        <v>7603</v>
      </c>
      <c r="M420" t="s">
        <v>1689</v>
      </c>
      <c r="N420" t="s">
        <v>1690</v>
      </c>
      <c r="O420" t="s">
        <v>1687</v>
      </c>
      <c r="P420" t="s">
        <v>7604</v>
      </c>
      <c r="Q420" t="s">
        <v>7605</v>
      </c>
    </row>
    <row r="421" spans="1:17" x14ac:dyDescent="0.25">
      <c r="A421" t="s">
        <v>7606</v>
      </c>
      <c r="B421" t="s">
        <v>7607</v>
      </c>
      <c r="C421" t="s">
        <v>7608</v>
      </c>
      <c r="D421" t="s">
        <v>1693</v>
      </c>
      <c r="E421">
        <v>2021</v>
      </c>
      <c r="F421" t="s">
        <v>7609</v>
      </c>
      <c r="G421" t="s">
        <v>5059</v>
      </c>
      <c r="H421" t="s">
        <v>5059</v>
      </c>
      <c r="I421" t="s">
        <v>5059</v>
      </c>
      <c r="J421">
        <v>498</v>
      </c>
      <c r="K421">
        <v>503</v>
      </c>
      <c r="L421">
        <v>5</v>
      </c>
      <c r="M421" t="s">
        <v>1696</v>
      </c>
      <c r="N421" t="s">
        <v>1697</v>
      </c>
      <c r="O421" t="s">
        <v>1694</v>
      </c>
      <c r="P421" t="s">
        <v>7610</v>
      </c>
      <c r="Q421" t="s">
        <v>7611</v>
      </c>
    </row>
    <row r="422" spans="1:17" x14ac:dyDescent="0.25">
      <c r="A422" t="s">
        <v>7612</v>
      </c>
      <c r="B422" t="s">
        <v>7613</v>
      </c>
      <c r="C422" t="s">
        <v>7614</v>
      </c>
      <c r="D422" t="s">
        <v>2456</v>
      </c>
      <c r="E422">
        <v>2021</v>
      </c>
      <c r="F422" t="s">
        <v>7615</v>
      </c>
      <c r="G422" t="s">
        <v>6381</v>
      </c>
      <c r="H422" t="s">
        <v>5367</v>
      </c>
      <c r="I422" t="s">
        <v>5059</v>
      </c>
      <c r="M422" t="s">
        <v>5059</v>
      </c>
      <c r="N422" t="s">
        <v>2459</v>
      </c>
      <c r="O422" t="s">
        <v>2457</v>
      </c>
      <c r="P422" t="s">
        <v>5059</v>
      </c>
      <c r="Q422" t="s">
        <v>7616</v>
      </c>
    </row>
    <row r="423" spans="1:17" x14ac:dyDescent="0.25">
      <c r="A423" t="s">
        <v>7617</v>
      </c>
      <c r="B423" t="s">
        <v>7618</v>
      </c>
      <c r="C423" t="s">
        <v>7619</v>
      </c>
      <c r="D423" t="s">
        <v>2462</v>
      </c>
      <c r="E423">
        <v>2021</v>
      </c>
      <c r="F423" t="s">
        <v>5186</v>
      </c>
      <c r="G423" t="s">
        <v>5754</v>
      </c>
      <c r="H423" t="s">
        <v>5059</v>
      </c>
      <c r="I423" t="s">
        <v>5059</v>
      </c>
      <c r="J423">
        <v>148244</v>
      </c>
      <c r="K423">
        <v>148263</v>
      </c>
      <c r="L423">
        <v>19</v>
      </c>
      <c r="M423" t="s">
        <v>2465</v>
      </c>
      <c r="N423" t="s">
        <v>2466</v>
      </c>
      <c r="O423" t="s">
        <v>2463</v>
      </c>
      <c r="P423" t="s">
        <v>7620</v>
      </c>
      <c r="Q423" t="s">
        <v>7621</v>
      </c>
    </row>
    <row r="424" spans="1:17" x14ac:dyDescent="0.25">
      <c r="A424" t="s">
        <v>7622</v>
      </c>
      <c r="B424" t="s">
        <v>7623</v>
      </c>
      <c r="C424" t="s">
        <v>7624</v>
      </c>
      <c r="D424" t="s">
        <v>2476</v>
      </c>
      <c r="E424">
        <v>2021</v>
      </c>
      <c r="F424" t="s">
        <v>7625</v>
      </c>
      <c r="G424" t="s">
        <v>5304</v>
      </c>
      <c r="H424" t="s">
        <v>5103</v>
      </c>
      <c r="I424" t="s">
        <v>7149</v>
      </c>
      <c r="M424" t="s">
        <v>2479</v>
      </c>
      <c r="N424" t="s">
        <v>2480</v>
      </c>
      <c r="O424" t="s">
        <v>2477</v>
      </c>
      <c r="P424" t="s">
        <v>7626</v>
      </c>
      <c r="Q424" t="s">
        <v>7627</v>
      </c>
    </row>
    <row r="425" spans="1:17" x14ac:dyDescent="0.25">
      <c r="A425" t="s">
        <v>7628</v>
      </c>
      <c r="B425" t="s">
        <v>7629</v>
      </c>
      <c r="C425" t="s">
        <v>7630</v>
      </c>
      <c r="D425" t="s">
        <v>1728</v>
      </c>
      <c r="E425">
        <v>2021</v>
      </c>
      <c r="F425" t="s">
        <v>7631</v>
      </c>
      <c r="G425" t="s">
        <v>7632</v>
      </c>
      <c r="H425" t="s">
        <v>5059</v>
      </c>
      <c r="I425" t="s">
        <v>7633</v>
      </c>
      <c r="M425" t="s">
        <v>1731</v>
      </c>
      <c r="N425" t="s">
        <v>1732</v>
      </c>
      <c r="O425" t="s">
        <v>1729</v>
      </c>
      <c r="P425" t="s">
        <v>7634</v>
      </c>
      <c r="Q425" t="s">
        <v>7635</v>
      </c>
    </row>
    <row r="426" spans="1:17" x14ac:dyDescent="0.25">
      <c r="A426" t="s">
        <v>7636</v>
      </c>
      <c r="B426" t="s">
        <v>7637</v>
      </c>
      <c r="C426" t="s">
        <v>7638</v>
      </c>
      <c r="D426" t="s">
        <v>1742</v>
      </c>
      <c r="E426">
        <v>2022</v>
      </c>
      <c r="F426" t="s">
        <v>7639</v>
      </c>
      <c r="G426" t="s">
        <v>5059</v>
      </c>
      <c r="H426" t="s">
        <v>5059</v>
      </c>
      <c r="I426" t="s">
        <v>5059</v>
      </c>
      <c r="J426">
        <v>8</v>
      </c>
      <c r="K426">
        <v>12</v>
      </c>
      <c r="L426">
        <v>4</v>
      </c>
      <c r="M426" t="s">
        <v>1745</v>
      </c>
      <c r="N426" t="s">
        <v>1746</v>
      </c>
      <c r="O426" t="s">
        <v>1743</v>
      </c>
      <c r="P426" t="s">
        <v>7640</v>
      </c>
      <c r="Q426" t="s">
        <v>7641</v>
      </c>
    </row>
    <row r="427" spans="1:17" x14ac:dyDescent="0.25">
      <c r="A427" t="s">
        <v>7642</v>
      </c>
      <c r="B427" t="s">
        <v>7643</v>
      </c>
      <c r="C427" t="s">
        <v>7644</v>
      </c>
      <c r="D427" t="s">
        <v>2483</v>
      </c>
      <c r="E427">
        <v>2021</v>
      </c>
      <c r="F427" t="s">
        <v>7645</v>
      </c>
      <c r="G427" t="s">
        <v>7646</v>
      </c>
      <c r="H427" t="s">
        <v>5059</v>
      </c>
      <c r="I427" t="s">
        <v>5059</v>
      </c>
      <c r="J427">
        <v>1214</v>
      </c>
      <c r="K427">
        <v>1218</v>
      </c>
      <c r="L427">
        <v>4</v>
      </c>
      <c r="M427" t="s">
        <v>2486</v>
      </c>
      <c r="N427" t="s">
        <v>2487</v>
      </c>
      <c r="O427" t="s">
        <v>2484</v>
      </c>
      <c r="P427" t="s">
        <v>7647</v>
      </c>
      <c r="Q427" t="s">
        <v>7648</v>
      </c>
    </row>
    <row r="428" spans="1:17" x14ac:dyDescent="0.25">
      <c r="A428" t="s">
        <v>7649</v>
      </c>
      <c r="B428" t="s">
        <v>7650</v>
      </c>
      <c r="C428" t="s">
        <v>7651</v>
      </c>
      <c r="D428" t="s">
        <v>2490</v>
      </c>
      <c r="E428">
        <v>2021</v>
      </c>
      <c r="F428" t="s">
        <v>7652</v>
      </c>
      <c r="G428" t="s">
        <v>5998</v>
      </c>
      <c r="H428" t="s">
        <v>5103</v>
      </c>
      <c r="I428" t="s">
        <v>7653</v>
      </c>
      <c r="J428">
        <v>1</v>
      </c>
      <c r="K428">
        <v>17</v>
      </c>
      <c r="L428">
        <v>16</v>
      </c>
      <c r="M428" t="s">
        <v>2493</v>
      </c>
      <c r="N428" t="s">
        <v>2494</v>
      </c>
      <c r="O428" t="s">
        <v>2491</v>
      </c>
      <c r="P428" t="s">
        <v>7654</v>
      </c>
      <c r="Q428" t="s">
        <v>7655</v>
      </c>
    </row>
    <row r="429" spans="1:17" x14ac:dyDescent="0.25">
      <c r="A429" t="s">
        <v>7656</v>
      </c>
      <c r="B429" t="s">
        <v>7657</v>
      </c>
      <c r="C429" t="s">
        <v>7658</v>
      </c>
      <c r="D429" t="s">
        <v>2497</v>
      </c>
      <c r="E429">
        <v>2021</v>
      </c>
      <c r="F429" t="s">
        <v>7659</v>
      </c>
      <c r="G429" t="s">
        <v>5059</v>
      </c>
      <c r="H429" t="s">
        <v>5059</v>
      </c>
      <c r="I429" t="s">
        <v>5059</v>
      </c>
      <c r="M429" t="s">
        <v>2500</v>
      </c>
      <c r="N429" t="s">
        <v>2501</v>
      </c>
      <c r="O429" t="s">
        <v>2498</v>
      </c>
      <c r="P429" t="s">
        <v>5059</v>
      </c>
      <c r="Q429" t="s">
        <v>7660</v>
      </c>
    </row>
    <row r="430" spans="1:17" x14ac:dyDescent="0.25">
      <c r="A430" t="s">
        <v>7661</v>
      </c>
      <c r="B430" t="s">
        <v>7662</v>
      </c>
      <c r="C430" t="s">
        <v>5505</v>
      </c>
      <c r="D430" t="s">
        <v>2504</v>
      </c>
      <c r="E430">
        <v>2021</v>
      </c>
      <c r="F430" t="s">
        <v>7663</v>
      </c>
      <c r="G430" t="s">
        <v>5059</v>
      </c>
      <c r="H430" t="s">
        <v>5059</v>
      </c>
      <c r="I430" t="s">
        <v>5059</v>
      </c>
      <c r="J430">
        <v>819</v>
      </c>
      <c r="K430">
        <v>824</v>
      </c>
      <c r="L430">
        <v>5</v>
      </c>
      <c r="M430" t="s">
        <v>2507</v>
      </c>
      <c r="N430" t="s">
        <v>2508</v>
      </c>
      <c r="O430" t="s">
        <v>2505</v>
      </c>
      <c r="P430" t="s">
        <v>7664</v>
      </c>
      <c r="Q430" t="s">
        <v>7665</v>
      </c>
    </row>
    <row r="431" spans="1:17" x14ac:dyDescent="0.25">
      <c r="A431" t="s">
        <v>7666</v>
      </c>
      <c r="B431" t="s">
        <v>7667</v>
      </c>
      <c r="C431" t="s">
        <v>7668</v>
      </c>
      <c r="D431" t="s">
        <v>2511</v>
      </c>
      <c r="E431">
        <v>2021</v>
      </c>
      <c r="F431" t="s">
        <v>7669</v>
      </c>
      <c r="G431" t="s">
        <v>5059</v>
      </c>
      <c r="H431" t="s">
        <v>5059</v>
      </c>
      <c r="I431" t="s">
        <v>5059</v>
      </c>
      <c r="J431">
        <v>356</v>
      </c>
      <c r="K431">
        <v>359</v>
      </c>
      <c r="L431">
        <v>3</v>
      </c>
      <c r="M431" t="s">
        <v>2514</v>
      </c>
      <c r="N431" t="s">
        <v>2515</v>
      </c>
      <c r="O431" t="s">
        <v>2512</v>
      </c>
      <c r="P431" t="s">
        <v>7670</v>
      </c>
      <c r="Q431" t="s">
        <v>7671</v>
      </c>
    </row>
    <row r="432" spans="1:17" x14ac:dyDescent="0.25">
      <c r="A432" t="s">
        <v>7672</v>
      </c>
      <c r="B432" t="s">
        <v>7673</v>
      </c>
      <c r="C432" t="s">
        <v>7674</v>
      </c>
      <c r="D432" t="s">
        <v>2518</v>
      </c>
      <c r="E432">
        <v>2021</v>
      </c>
      <c r="F432" t="s">
        <v>2518</v>
      </c>
      <c r="G432" t="s">
        <v>5059</v>
      </c>
      <c r="H432" t="s">
        <v>5059</v>
      </c>
      <c r="I432" t="s">
        <v>5059</v>
      </c>
      <c r="J432">
        <v>1</v>
      </c>
      <c r="K432">
        <v>317</v>
      </c>
      <c r="L432">
        <v>316</v>
      </c>
      <c r="M432" t="s">
        <v>2520</v>
      </c>
      <c r="N432" t="s">
        <v>2521</v>
      </c>
      <c r="O432" t="s">
        <v>2519</v>
      </c>
      <c r="P432" t="s">
        <v>5059</v>
      </c>
      <c r="Q432" t="s">
        <v>7675</v>
      </c>
    </row>
    <row r="433" spans="1:17" x14ac:dyDescent="0.25">
      <c r="A433" t="s">
        <v>7676</v>
      </c>
      <c r="B433" t="s">
        <v>7677</v>
      </c>
      <c r="C433" t="s">
        <v>7678</v>
      </c>
      <c r="D433" t="s">
        <v>2531</v>
      </c>
      <c r="E433">
        <v>2021</v>
      </c>
      <c r="F433" t="s">
        <v>7679</v>
      </c>
      <c r="G433" t="s">
        <v>7632</v>
      </c>
      <c r="H433" t="s">
        <v>5202</v>
      </c>
      <c r="I433" t="s">
        <v>5059</v>
      </c>
      <c r="J433">
        <v>239</v>
      </c>
      <c r="K433">
        <v>255</v>
      </c>
      <c r="L433">
        <v>16</v>
      </c>
      <c r="M433" t="s">
        <v>2534</v>
      </c>
      <c r="N433" t="s">
        <v>2535</v>
      </c>
      <c r="O433" t="s">
        <v>2532</v>
      </c>
      <c r="P433" t="s">
        <v>7680</v>
      </c>
      <c r="Q433" t="s">
        <v>7681</v>
      </c>
    </row>
    <row r="434" spans="1:17" x14ac:dyDescent="0.25">
      <c r="A434" t="s">
        <v>7682</v>
      </c>
      <c r="B434" t="s">
        <v>7683</v>
      </c>
      <c r="C434" t="s">
        <v>7684</v>
      </c>
      <c r="D434" t="s">
        <v>2538</v>
      </c>
      <c r="E434">
        <v>2021</v>
      </c>
      <c r="F434" t="s">
        <v>7685</v>
      </c>
      <c r="G434" t="s">
        <v>5059</v>
      </c>
      <c r="H434" t="s">
        <v>5059</v>
      </c>
      <c r="I434" t="s">
        <v>7686</v>
      </c>
      <c r="J434">
        <v>200</v>
      </c>
      <c r="K434">
        <v>205</v>
      </c>
      <c r="L434">
        <v>5</v>
      </c>
      <c r="M434" t="s">
        <v>2541</v>
      </c>
      <c r="N434" t="s">
        <v>2542</v>
      </c>
      <c r="O434" t="s">
        <v>2539</v>
      </c>
      <c r="P434" t="s">
        <v>7687</v>
      </c>
      <c r="Q434" t="s">
        <v>7688</v>
      </c>
    </row>
    <row r="435" spans="1:17" x14ac:dyDescent="0.25">
      <c r="A435" t="s">
        <v>7689</v>
      </c>
      <c r="B435" t="s">
        <v>7690</v>
      </c>
      <c r="C435" t="s">
        <v>7691</v>
      </c>
      <c r="D435" t="s">
        <v>1790</v>
      </c>
      <c r="E435">
        <v>2022</v>
      </c>
      <c r="F435" t="s">
        <v>7625</v>
      </c>
      <c r="G435" t="s">
        <v>7692</v>
      </c>
      <c r="H435" t="s">
        <v>5202</v>
      </c>
      <c r="I435" t="s">
        <v>5180</v>
      </c>
      <c r="M435" t="s">
        <v>1793</v>
      </c>
      <c r="N435" t="s">
        <v>1794</v>
      </c>
      <c r="O435" t="s">
        <v>1791</v>
      </c>
      <c r="P435" t="s">
        <v>7693</v>
      </c>
      <c r="Q435" t="s">
        <v>7694</v>
      </c>
    </row>
    <row r="436" spans="1:17" x14ac:dyDescent="0.25">
      <c r="A436" t="s">
        <v>7695</v>
      </c>
      <c r="B436" t="s">
        <v>7696</v>
      </c>
      <c r="C436" t="s">
        <v>7697</v>
      </c>
      <c r="D436" t="s">
        <v>1804</v>
      </c>
      <c r="E436">
        <v>2022</v>
      </c>
      <c r="F436" t="s">
        <v>7698</v>
      </c>
      <c r="G436" t="s">
        <v>7699</v>
      </c>
      <c r="H436" t="s">
        <v>5059</v>
      </c>
      <c r="I436" t="s">
        <v>5059</v>
      </c>
      <c r="J436">
        <v>3</v>
      </c>
      <c r="K436">
        <v>19</v>
      </c>
      <c r="L436">
        <v>16</v>
      </c>
      <c r="M436" t="s">
        <v>1807</v>
      </c>
      <c r="N436" t="s">
        <v>1808</v>
      </c>
      <c r="O436" t="s">
        <v>1805</v>
      </c>
      <c r="P436" t="s">
        <v>1806</v>
      </c>
      <c r="Q436" t="s">
        <v>7700</v>
      </c>
    </row>
    <row r="437" spans="1:17" x14ac:dyDescent="0.25">
      <c r="A437" t="s">
        <v>7701</v>
      </c>
      <c r="B437" t="s">
        <v>7702</v>
      </c>
      <c r="C437" t="s">
        <v>7703</v>
      </c>
      <c r="D437" t="s">
        <v>2579</v>
      </c>
      <c r="E437">
        <v>2021</v>
      </c>
      <c r="F437" t="s">
        <v>5245</v>
      </c>
      <c r="G437" t="s">
        <v>5549</v>
      </c>
      <c r="H437" t="s">
        <v>5180</v>
      </c>
      <c r="I437" t="s">
        <v>7704</v>
      </c>
      <c r="J437">
        <v>1</v>
      </c>
      <c r="K437">
        <v>19</v>
      </c>
      <c r="L437">
        <v>18</v>
      </c>
      <c r="M437" t="s">
        <v>2582</v>
      </c>
      <c r="N437" t="s">
        <v>2583</v>
      </c>
      <c r="O437" t="s">
        <v>2580</v>
      </c>
      <c r="P437" t="s">
        <v>2581</v>
      </c>
      <c r="Q437" t="s">
        <v>7705</v>
      </c>
    </row>
    <row r="438" spans="1:17" x14ac:dyDescent="0.25">
      <c r="A438" t="s">
        <v>7706</v>
      </c>
      <c r="B438" t="s">
        <v>7707</v>
      </c>
      <c r="C438" t="s">
        <v>7708</v>
      </c>
      <c r="D438" t="s">
        <v>2586</v>
      </c>
      <c r="E438">
        <v>2021</v>
      </c>
      <c r="F438" t="s">
        <v>7137</v>
      </c>
      <c r="G438" t="s">
        <v>7646</v>
      </c>
      <c r="H438" t="s">
        <v>5059</v>
      </c>
      <c r="I438" t="s">
        <v>5059</v>
      </c>
      <c r="J438">
        <v>143</v>
      </c>
      <c r="K438">
        <v>152</v>
      </c>
      <c r="L438">
        <v>9</v>
      </c>
      <c r="M438" t="s">
        <v>2589</v>
      </c>
      <c r="N438" t="s">
        <v>2590</v>
      </c>
      <c r="O438" t="s">
        <v>2587</v>
      </c>
      <c r="P438" t="s">
        <v>7709</v>
      </c>
      <c r="Q438" t="s">
        <v>7710</v>
      </c>
    </row>
    <row r="439" spans="1:17" x14ac:dyDescent="0.25">
      <c r="A439" t="s">
        <v>7711</v>
      </c>
      <c r="B439" t="s">
        <v>7712</v>
      </c>
      <c r="C439" t="s">
        <v>7713</v>
      </c>
      <c r="D439" t="s">
        <v>2607</v>
      </c>
      <c r="E439">
        <v>2021</v>
      </c>
      <c r="F439" t="s">
        <v>7714</v>
      </c>
      <c r="G439" t="s">
        <v>5059</v>
      </c>
      <c r="H439" t="s">
        <v>5059</v>
      </c>
      <c r="I439" t="s">
        <v>7715</v>
      </c>
      <c r="M439" t="s">
        <v>2610</v>
      </c>
      <c r="N439" t="s">
        <v>2611</v>
      </c>
      <c r="O439" t="s">
        <v>2608</v>
      </c>
      <c r="P439" t="s">
        <v>7716</v>
      </c>
      <c r="Q439" t="s">
        <v>7717</v>
      </c>
    </row>
    <row r="440" spans="1:17" x14ac:dyDescent="0.25">
      <c r="A440" t="s">
        <v>7718</v>
      </c>
      <c r="B440" t="s">
        <v>7719</v>
      </c>
      <c r="C440" t="s">
        <v>7720</v>
      </c>
      <c r="D440" t="s">
        <v>2620</v>
      </c>
      <c r="E440">
        <v>2021</v>
      </c>
      <c r="F440" t="s">
        <v>6430</v>
      </c>
      <c r="G440" t="s">
        <v>7721</v>
      </c>
      <c r="H440" t="s">
        <v>5103</v>
      </c>
      <c r="I440" t="s">
        <v>7722</v>
      </c>
      <c r="M440" t="s">
        <v>2623</v>
      </c>
      <c r="N440" t="s">
        <v>2624</v>
      </c>
      <c r="O440" t="s">
        <v>2621</v>
      </c>
      <c r="P440" t="s">
        <v>7723</v>
      </c>
      <c r="Q440" t="s">
        <v>7724</v>
      </c>
    </row>
    <row r="441" spans="1:17" x14ac:dyDescent="0.25">
      <c r="A441" t="s">
        <v>7725</v>
      </c>
      <c r="B441" t="s">
        <v>7726</v>
      </c>
      <c r="C441" t="s">
        <v>7727</v>
      </c>
      <c r="D441" t="s">
        <v>2627</v>
      </c>
      <c r="E441">
        <v>2021</v>
      </c>
      <c r="F441" t="s">
        <v>7728</v>
      </c>
      <c r="G441" t="s">
        <v>5059</v>
      </c>
      <c r="H441" t="s">
        <v>5059</v>
      </c>
      <c r="I441" t="s">
        <v>5059</v>
      </c>
      <c r="J441">
        <v>1</v>
      </c>
      <c r="K441">
        <v>25</v>
      </c>
      <c r="L441">
        <v>24</v>
      </c>
      <c r="M441" t="s">
        <v>2629</v>
      </c>
      <c r="N441" t="s">
        <v>2630</v>
      </c>
      <c r="O441" t="s">
        <v>2628</v>
      </c>
      <c r="P441" t="s">
        <v>5059</v>
      </c>
      <c r="Q441" t="s">
        <v>7729</v>
      </c>
    </row>
    <row r="442" spans="1:17" x14ac:dyDescent="0.25">
      <c r="A442" t="s">
        <v>7730</v>
      </c>
      <c r="B442" t="s">
        <v>7731</v>
      </c>
      <c r="C442" t="s">
        <v>7732</v>
      </c>
      <c r="D442" t="s">
        <v>2633</v>
      </c>
      <c r="E442">
        <v>2021</v>
      </c>
      <c r="F442" t="s">
        <v>7733</v>
      </c>
      <c r="G442" t="s">
        <v>5059</v>
      </c>
      <c r="H442" t="s">
        <v>5059</v>
      </c>
      <c r="I442" t="s">
        <v>5059</v>
      </c>
      <c r="J442">
        <v>42</v>
      </c>
      <c r="K442">
        <v>45</v>
      </c>
      <c r="L442">
        <v>3</v>
      </c>
      <c r="M442" t="s">
        <v>2636</v>
      </c>
      <c r="N442" t="s">
        <v>2637</v>
      </c>
      <c r="O442" t="s">
        <v>2634</v>
      </c>
      <c r="P442" t="s">
        <v>7734</v>
      </c>
      <c r="Q442" t="s">
        <v>7735</v>
      </c>
    </row>
    <row r="443" spans="1:17" x14ac:dyDescent="0.25">
      <c r="A443" t="s">
        <v>7736</v>
      </c>
      <c r="B443" t="s">
        <v>7737</v>
      </c>
      <c r="C443" t="s">
        <v>7738</v>
      </c>
      <c r="D443" t="s">
        <v>2640</v>
      </c>
      <c r="E443">
        <v>2021</v>
      </c>
      <c r="F443" t="s">
        <v>7739</v>
      </c>
      <c r="G443" t="s">
        <v>5059</v>
      </c>
      <c r="H443" t="s">
        <v>5059</v>
      </c>
      <c r="I443" t="s">
        <v>5059</v>
      </c>
      <c r="M443" t="s">
        <v>2643</v>
      </c>
      <c r="N443" t="s">
        <v>2644</v>
      </c>
      <c r="O443" t="s">
        <v>2641</v>
      </c>
      <c r="P443" t="s">
        <v>7740</v>
      </c>
      <c r="Q443" t="s">
        <v>7741</v>
      </c>
    </row>
    <row r="444" spans="1:17" x14ac:dyDescent="0.25">
      <c r="A444" t="s">
        <v>7742</v>
      </c>
      <c r="B444" t="s">
        <v>7743</v>
      </c>
      <c r="C444" t="s">
        <v>7744</v>
      </c>
      <c r="D444" t="s">
        <v>1846</v>
      </c>
      <c r="E444">
        <v>2021</v>
      </c>
      <c r="F444" t="s">
        <v>7745</v>
      </c>
      <c r="G444" t="s">
        <v>5059</v>
      </c>
      <c r="H444" t="s">
        <v>5059</v>
      </c>
      <c r="I444" t="s">
        <v>5059</v>
      </c>
      <c r="J444">
        <v>1</v>
      </c>
      <c r="K444">
        <v>2</v>
      </c>
      <c r="L444">
        <v>1</v>
      </c>
      <c r="M444" t="s">
        <v>1849</v>
      </c>
      <c r="N444" t="s">
        <v>1850</v>
      </c>
      <c r="O444" t="s">
        <v>1847</v>
      </c>
      <c r="P444" t="s">
        <v>7746</v>
      </c>
      <c r="Q444" t="s">
        <v>7747</v>
      </c>
    </row>
    <row r="445" spans="1:17" x14ac:dyDescent="0.25">
      <c r="A445" t="s">
        <v>7748</v>
      </c>
      <c r="B445" t="s">
        <v>7749</v>
      </c>
      <c r="C445" t="s">
        <v>7750</v>
      </c>
      <c r="D445" t="s">
        <v>2654</v>
      </c>
      <c r="E445">
        <v>2021</v>
      </c>
      <c r="F445" t="s">
        <v>2952</v>
      </c>
      <c r="G445" t="s">
        <v>5059</v>
      </c>
      <c r="H445" t="s">
        <v>5059</v>
      </c>
      <c r="I445" t="s">
        <v>5059</v>
      </c>
      <c r="J445">
        <v>35</v>
      </c>
      <c r="K445">
        <v>39</v>
      </c>
      <c r="L445">
        <v>4</v>
      </c>
      <c r="M445" t="s">
        <v>2657</v>
      </c>
      <c r="N445" t="s">
        <v>2658</v>
      </c>
      <c r="O445" t="s">
        <v>2655</v>
      </c>
      <c r="P445" t="s">
        <v>7751</v>
      </c>
      <c r="Q445" t="s">
        <v>7752</v>
      </c>
    </row>
    <row r="446" spans="1:17" x14ac:dyDescent="0.25">
      <c r="A446" t="s">
        <v>6088</v>
      </c>
      <c r="B446" t="s">
        <v>6089</v>
      </c>
      <c r="C446" t="s">
        <v>6090</v>
      </c>
      <c r="D446" t="s">
        <v>1873</v>
      </c>
      <c r="E446">
        <v>2022</v>
      </c>
      <c r="F446" t="s">
        <v>7753</v>
      </c>
      <c r="G446" t="s">
        <v>5059</v>
      </c>
      <c r="H446" t="s">
        <v>5059</v>
      </c>
      <c r="I446" t="s">
        <v>5059</v>
      </c>
      <c r="J446">
        <v>51</v>
      </c>
      <c r="K446">
        <v>65</v>
      </c>
      <c r="L446">
        <v>14</v>
      </c>
      <c r="M446" t="s">
        <v>1876</v>
      </c>
      <c r="N446" t="s">
        <v>1877</v>
      </c>
      <c r="O446" t="s">
        <v>1874</v>
      </c>
      <c r="P446" t="s">
        <v>1875</v>
      </c>
      <c r="Q446" t="s">
        <v>7754</v>
      </c>
    </row>
    <row r="447" spans="1:17" x14ac:dyDescent="0.25">
      <c r="A447" t="s">
        <v>7755</v>
      </c>
      <c r="B447" t="s">
        <v>7756</v>
      </c>
      <c r="C447" t="s">
        <v>7757</v>
      </c>
      <c r="D447" t="s">
        <v>2668</v>
      </c>
      <c r="E447">
        <v>2021</v>
      </c>
      <c r="F447" t="s">
        <v>7758</v>
      </c>
      <c r="G447" t="s">
        <v>5059</v>
      </c>
      <c r="H447" t="s">
        <v>5059</v>
      </c>
      <c r="I447" t="s">
        <v>5059</v>
      </c>
      <c r="M447" t="s">
        <v>2671</v>
      </c>
      <c r="N447" t="s">
        <v>2672</v>
      </c>
      <c r="O447" t="s">
        <v>2669</v>
      </c>
      <c r="P447" t="s">
        <v>7759</v>
      </c>
      <c r="Q447" t="s">
        <v>7760</v>
      </c>
    </row>
    <row r="448" spans="1:17" x14ac:dyDescent="0.25">
      <c r="A448" t="s">
        <v>7761</v>
      </c>
      <c r="B448" t="s">
        <v>7762</v>
      </c>
      <c r="C448" t="s">
        <v>7763</v>
      </c>
      <c r="D448" t="s">
        <v>2682</v>
      </c>
      <c r="E448">
        <v>2021</v>
      </c>
      <c r="F448" t="s">
        <v>6985</v>
      </c>
      <c r="G448" t="s">
        <v>7551</v>
      </c>
      <c r="H448" t="s">
        <v>5059</v>
      </c>
      <c r="I448" t="s">
        <v>5059</v>
      </c>
      <c r="J448">
        <v>589</v>
      </c>
      <c r="K448">
        <v>594</v>
      </c>
      <c r="L448">
        <v>5</v>
      </c>
      <c r="M448" t="s">
        <v>2685</v>
      </c>
      <c r="N448" t="s">
        <v>2686</v>
      </c>
      <c r="O448" t="s">
        <v>2683</v>
      </c>
      <c r="P448" t="s">
        <v>5059</v>
      </c>
      <c r="Q448" t="s">
        <v>7764</v>
      </c>
    </row>
    <row r="449" spans="1:17" x14ac:dyDescent="0.25">
      <c r="A449" t="s">
        <v>7765</v>
      </c>
      <c r="B449" t="s">
        <v>7766</v>
      </c>
      <c r="C449" t="s">
        <v>7767</v>
      </c>
      <c r="D449" t="s">
        <v>2689</v>
      </c>
      <c r="E449">
        <v>2021</v>
      </c>
      <c r="F449" t="s">
        <v>7768</v>
      </c>
      <c r="G449" t="s">
        <v>5059</v>
      </c>
      <c r="H449" t="s">
        <v>5059</v>
      </c>
      <c r="I449" t="s">
        <v>5059</v>
      </c>
      <c r="M449" t="s">
        <v>2692</v>
      </c>
      <c r="N449" t="s">
        <v>2693</v>
      </c>
      <c r="O449" t="s">
        <v>2690</v>
      </c>
      <c r="P449" t="s">
        <v>7769</v>
      </c>
      <c r="Q449" t="s">
        <v>7770</v>
      </c>
    </row>
    <row r="450" spans="1:17" x14ac:dyDescent="0.25">
      <c r="A450" t="s">
        <v>7771</v>
      </c>
      <c r="B450" t="s">
        <v>7772</v>
      </c>
      <c r="C450" t="s">
        <v>7773</v>
      </c>
      <c r="D450" t="s">
        <v>2702</v>
      </c>
      <c r="E450">
        <v>2021</v>
      </c>
      <c r="F450" t="s">
        <v>7774</v>
      </c>
      <c r="G450" t="s">
        <v>5071</v>
      </c>
      <c r="H450" t="s">
        <v>5103</v>
      </c>
      <c r="I450" t="s">
        <v>5059</v>
      </c>
      <c r="J450">
        <v>120</v>
      </c>
      <c r="K450">
        <v>137</v>
      </c>
      <c r="L450">
        <v>17</v>
      </c>
      <c r="M450" t="s">
        <v>2705</v>
      </c>
      <c r="N450" t="s">
        <v>2706</v>
      </c>
      <c r="O450" t="s">
        <v>2703</v>
      </c>
      <c r="P450" t="s">
        <v>7775</v>
      </c>
      <c r="Q450" t="s">
        <v>7776</v>
      </c>
    </row>
    <row r="451" spans="1:17" x14ac:dyDescent="0.25">
      <c r="A451" t="s">
        <v>7777</v>
      </c>
      <c r="B451" t="s">
        <v>7778</v>
      </c>
      <c r="C451" t="s">
        <v>7779</v>
      </c>
      <c r="D451" t="s">
        <v>2709</v>
      </c>
      <c r="E451">
        <v>2021</v>
      </c>
      <c r="F451" t="s">
        <v>5214</v>
      </c>
      <c r="G451" t="s">
        <v>6468</v>
      </c>
      <c r="H451" t="s">
        <v>5059</v>
      </c>
      <c r="I451" t="s">
        <v>5059</v>
      </c>
      <c r="J451">
        <v>319</v>
      </c>
      <c r="K451">
        <v>328</v>
      </c>
      <c r="L451">
        <v>9</v>
      </c>
      <c r="M451" t="s">
        <v>2712</v>
      </c>
      <c r="N451" t="s">
        <v>2713</v>
      </c>
      <c r="O451" t="s">
        <v>2710</v>
      </c>
      <c r="P451" t="s">
        <v>2711</v>
      </c>
      <c r="Q451" t="s">
        <v>7780</v>
      </c>
    </row>
    <row r="452" spans="1:17" x14ac:dyDescent="0.25">
      <c r="A452" t="s">
        <v>7781</v>
      </c>
      <c r="B452" t="s">
        <v>7782</v>
      </c>
      <c r="C452" t="s">
        <v>7783</v>
      </c>
      <c r="D452" t="s">
        <v>2722</v>
      </c>
      <c r="E452">
        <v>2021</v>
      </c>
      <c r="F452" t="s">
        <v>7784</v>
      </c>
      <c r="G452" t="s">
        <v>5070</v>
      </c>
      <c r="H452" t="s">
        <v>5180</v>
      </c>
      <c r="I452" t="s">
        <v>5059</v>
      </c>
      <c r="J452">
        <v>2802</v>
      </c>
      <c r="K452">
        <v>2832</v>
      </c>
      <c r="L452">
        <v>30</v>
      </c>
      <c r="M452" t="s">
        <v>2725</v>
      </c>
      <c r="N452" t="s">
        <v>2726</v>
      </c>
      <c r="O452" t="s">
        <v>2723</v>
      </c>
      <c r="P452" t="s">
        <v>7785</v>
      </c>
      <c r="Q452" t="s">
        <v>7786</v>
      </c>
    </row>
    <row r="453" spans="1:17" x14ac:dyDescent="0.25">
      <c r="A453" t="s">
        <v>7787</v>
      </c>
      <c r="B453" t="s">
        <v>7788</v>
      </c>
      <c r="C453" t="s">
        <v>7789</v>
      </c>
      <c r="D453" t="s">
        <v>1887</v>
      </c>
      <c r="E453">
        <v>2022</v>
      </c>
      <c r="F453" t="s">
        <v>7790</v>
      </c>
      <c r="G453" t="s">
        <v>5059</v>
      </c>
      <c r="H453" t="s">
        <v>5059</v>
      </c>
      <c r="I453" t="s">
        <v>5059</v>
      </c>
      <c r="M453" t="s">
        <v>1890</v>
      </c>
      <c r="N453" t="s">
        <v>1891</v>
      </c>
      <c r="O453" t="s">
        <v>1888</v>
      </c>
      <c r="P453" t="s">
        <v>7791</v>
      </c>
      <c r="Q453" t="s">
        <v>7792</v>
      </c>
    </row>
    <row r="454" spans="1:17" x14ac:dyDescent="0.25">
      <c r="A454" t="s">
        <v>7793</v>
      </c>
      <c r="B454" t="s">
        <v>7794</v>
      </c>
      <c r="C454" t="s">
        <v>7795</v>
      </c>
      <c r="D454" t="s">
        <v>2729</v>
      </c>
      <c r="E454">
        <v>2021</v>
      </c>
      <c r="F454" t="s">
        <v>7796</v>
      </c>
      <c r="G454" t="s">
        <v>5059</v>
      </c>
      <c r="H454" t="s">
        <v>5059</v>
      </c>
      <c r="I454" t="s">
        <v>7797</v>
      </c>
      <c r="J454">
        <v>1081</v>
      </c>
      <c r="K454">
        <v>1087</v>
      </c>
      <c r="L454">
        <v>6</v>
      </c>
      <c r="M454" t="s">
        <v>2732</v>
      </c>
      <c r="N454" t="s">
        <v>2733</v>
      </c>
      <c r="O454" t="s">
        <v>2730</v>
      </c>
      <c r="P454" t="s">
        <v>7798</v>
      </c>
      <c r="Q454" t="s">
        <v>7799</v>
      </c>
    </row>
    <row r="455" spans="1:17" x14ac:dyDescent="0.25">
      <c r="A455" t="s">
        <v>7800</v>
      </c>
      <c r="B455" t="s">
        <v>7801</v>
      </c>
      <c r="C455" t="s">
        <v>7802</v>
      </c>
      <c r="D455" t="s">
        <v>2736</v>
      </c>
      <c r="E455">
        <v>2021</v>
      </c>
      <c r="F455" t="s">
        <v>5186</v>
      </c>
      <c r="G455" t="s">
        <v>5754</v>
      </c>
      <c r="H455" t="s">
        <v>5059</v>
      </c>
      <c r="I455" t="s">
        <v>5059</v>
      </c>
      <c r="J455">
        <v>134369</v>
      </c>
      <c r="K455">
        <v>134383</v>
      </c>
      <c r="L455">
        <v>14</v>
      </c>
      <c r="M455" t="s">
        <v>2739</v>
      </c>
      <c r="N455" t="s">
        <v>2740</v>
      </c>
      <c r="O455" t="s">
        <v>2737</v>
      </c>
      <c r="P455" t="s">
        <v>7803</v>
      </c>
      <c r="Q455" t="s">
        <v>7804</v>
      </c>
    </row>
    <row r="456" spans="1:17" x14ac:dyDescent="0.25">
      <c r="A456" t="s">
        <v>7805</v>
      </c>
      <c r="B456" t="s">
        <v>7806</v>
      </c>
      <c r="C456" t="s">
        <v>7807</v>
      </c>
      <c r="D456" t="s">
        <v>1898</v>
      </c>
      <c r="E456">
        <v>2022</v>
      </c>
      <c r="F456" t="s">
        <v>7808</v>
      </c>
      <c r="G456" t="s">
        <v>5059</v>
      </c>
      <c r="H456" t="s">
        <v>5059</v>
      </c>
      <c r="I456" t="s">
        <v>5059</v>
      </c>
      <c r="M456" t="s">
        <v>1901</v>
      </c>
      <c r="N456" t="s">
        <v>1902</v>
      </c>
      <c r="O456" t="s">
        <v>1899</v>
      </c>
      <c r="P456" t="s">
        <v>7809</v>
      </c>
      <c r="Q456" t="s">
        <v>7810</v>
      </c>
    </row>
    <row r="457" spans="1:17" x14ac:dyDescent="0.25">
      <c r="A457" t="s">
        <v>7811</v>
      </c>
      <c r="B457" t="s">
        <v>7812</v>
      </c>
      <c r="C457" t="s">
        <v>7813</v>
      </c>
      <c r="D457" t="s">
        <v>1905</v>
      </c>
      <c r="E457">
        <v>2021</v>
      </c>
      <c r="F457" t="s">
        <v>5117</v>
      </c>
      <c r="G457" t="s">
        <v>5821</v>
      </c>
      <c r="H457" t="s">
        <v>5102</v>
      </c>
      <c r="I457" t="s">
        <v>5059</v>
      </c>
      <c r="J457">
        <v>10780</v>
      </c>
      <c r="K457">
        <v>10791</v>
      </c>
      <c r="L457">
        <v>11</v>
      </c>
      <c r="M457" t="s">
        <v>1908</v>
      </c>
      <c r="N457" t="s">
        <v>1909</v>
      </c>
      <c r="O457" t="s">
        <v>1906</v>
      </c>
      <c r="P457" t="s">
        <v>7814</v>
      </c>
      <c r="Q457" t="s">
        <v>7815</v>
      </c>
    </row>
    <row r="458" spans="1:17" x14ac:dyDescent="0.25">
      <c r="A458" t="s">
        <v>7816</v>
      </c>
      <c r="B458" t="s">
        <v>7817</v>
      </c>
      <c r="C458" t="s">
        <v>7818</v>
      </c>
      <c r="D458" t="s">
        <v>2743</v>
      </c>
      <c r="E458">
        <v>2021</v>
      </c>
      <c r="F458" t="s">
        <v>7819</v>
      </c>
      <c r="G458" t="s">
        <v>7820</v>
      </c>
      <c r="H458" t="s">
        <v>5195</v>
      </c>
      <c r="I458" t="s">
        <v>7821</v>
      </c>
      <c r="M458" t="s">
        <v>2746</v>
      </c>
      <c r="N458" t="s">
        <v>2747</v>
      </c>
      <c r="O458" t="s">
        <v>2744</v>
      </c>
      <c r="P458" t="s">
        <v>5059</v>
      </c>
      <c r="Q458" t="s">
        <v>7822</v>
      </c>
    </row>
    <row r="459" spans="1:17" x14ac:dyDescent="0.25">
      <c r="A459" t="s">
        <v>7823</v>
      </c>
      <c r="B459" t="s">
        <v>7824</v>
      </c>
      <c r="C459" t="s">
        <v>7825</v>
      </c>
      <c r="D459" t="s">
        <v>1940</v>
      </c>
      <c r="E459">
        <v>2021</v>
      </c>
      <c r="F459" t="s">
        <v>6361</v>
      </c>
      <c r="G459" t="s">
        <v>7149</v>
      </c>
      <c r="H459" t="s">
        <v>5071</v>
      </c>
      <c r="I459" t="s">
        <v>5059</v>
      </c>
      <c r="J459">
        <v>100</v>
      </c>
      <c r="K459">
        <v>106</v>
      </c>
      <c r="L459">
        <v>6</v>
      </c>
      <c r="M459" t="s">
        <v>1943</v>
      </c>
      <c r="N459" t="s">
        <v>1944</v>
      </c>
      <c r="O459" t="s">
        <v>1941</v>
      </c>
      <c r="P459" t="s">
        <v>5059</v>
      </c>
      <c r="Q459" t="s">
        <v>7826</v>
      </c>
    </row>
    <row r="460" spans="1:17" x14ac:dyDescent="0.25">
      <c r="A460" t="s">
        <v>7827</v>
      </c>
      <c r="B460" t="s">
        <v>7828</v>
      </c>
      <c r="C460" t="s">
        <v>7829</v>
      </c>
      <c r="D460" t="s">
        <v>1954</v>
      </c>
      <c r="E460">
        <v>2021</v>
      </c>
      <c r="F460" t="s">
        <v>7830</v>
      </c>
      <c r="G460" t="s">
        <v>7831</v>
      </c>
      <c r="H460" t="s">
        <v>5059</v>
      </c>
      <c r="I460" t="s">
        <v>7832</v>
      </c>
      <c r="M460" t="s">
        <v>1957</v>
      </c>
      <c r="N460" t="s">
        <v>1958</v>
      </c>
      <c r="O460" t="s">
        <v>1955</v>
      </c>
      <c r="P460" t="s">
        <v>7833</v>
      </c>
      <c r="Q460" t="s">
        <v>7834</v>
      </c>
    </row>
    <row r="461" spans="1:17" x14ac:dyDescent="0.25">
      <c r="A461" t="s">
        <v>7835</v>
      </c>
      <c r="B461" t="s">
        <v>7836</v>
      </c>
      <c r="C461" t="s">
        <v>7837</v>
      </c>
      <c r="D461" t="s">
        <v>2764</v>
      </c>
      <c r="E461">
        <v>2021</v>
      </c>
      <c r="F461" t="s">
        <v>5472</v>
      </c>
      <c r="G461" t="s">
        <v>5463</v>
      </c>
      <c r="H461" t="s">
        <v>5195</v>
      </c>
      <c r="I461" t="s">
        <v>7838</v>
      </c>
      <c r="J461">
        <v>4160</v>
      </c>
      <c r="K461">
        <v>4170</v>
      </c>
      <c r="L461">
        <v>10</v>
      </c>
      <c r="M461" t="s">
        <v>2767</v>
      </c>
      <c r="N461" t="s">
        <v>2768</v>
      </c>
      <c r="O461" t="s">
        <v>2765</v>
      </c>
      <c r="P461" t="s">
        <v>7839</v>
      </c>
      <c r="Q461" t="s">
        <v>7840</v>
      </c>
    </row>
    <row r="462" spans="1:17" x14ac:dyDescent="0.25">
      <c r="A462" t="s">
        <v>7841</v>
      </c>
      <c r="B462" t="s">
        <v>7842</v>
      </c>
      <c r="C462" t="s">
        <v>7843</v>
      </c>
      <c r="D462" t="s">
        <v>1968</v>
      </c>
      <c r="E462">
        <v>2022</v>
      </c>
      <c r="F462" t="s">
        <v>7844</v>
      </c>
      <c r="G462" t="s">
        <v>5059</v>
      </c>
      <c r="H462" t="s">
        <v>5059</v>
      </c>
      <c r="I462" t="s">
        <v>5059</v>
      </c>
      <c r="M462" t="s">
        <v>1971</v>
      </c>
      <c r="N462" t="s">
        <v>1972</v>
      </c>
      <c r="O462" t="s">
        <v>1969</v>
      </c>
      <c r="P462" t="s">
        <v>7845</v>
      </c>
      <c r="Q462" t="s">
        <v>7846</v>
      </c>
    </row>
    <row r="463" spans="1:17" x14ac:dyDescent="0.25">
      <c r="A463" t="s">
        <v>7793</v>
      </c>
      <c r="B463" t="s">
        <v>7794</v>
      </c>
      <c r="C463" t="s">
        <v>7795</v>
      </c>
      <c r="D463" t="s">
        <v>2770</v>
      </c>
      <c r="E463">
        <v>2021</v>
      </c>
      <c r="F463" t="s">
        <v>5049</v>
      </c>
      <c r="G463" t="s">
        <v>5071</v>
      </c>
      <c r="H463" t="s">
        <v>5103</v>
      </c>
      <c r="I463" t="s">
        <v>6172</v>
      </c>
      <c r="M463" t="s">
        <v>2773</v>
      </c>
      <c r="N463" t="s">
        <v>2774</v>
      </c>
      <c r="O463" t="s">
        <v>2771</v>
      </c>
      <c r="P463" t="s">
        <v>7847</v>
      </c>
      <c r="Q463" t="s">
        <v>7848</v>
      </c>
    </row>
    <row r="464" spans="1:17" x14ac:dyDescent="0.25">
      <c r="A464" t="s">
        <v>7849</v>
      </c>
      <c r="B464" t="s">
        <v>7850</v>
      </c>
      <c r="C464" t="s">
        <v>7851</v>
      </c>
      <c r="D464" t="s">
        <v>2777</v>
      </c>
      <c r="E464">
        <v>2021</v>
      </c>
      <c r="F464" t="s">
        <v>5905</v>
      </c>
      <c r="G464" t="s">
        <v>7852</v>
      </c>
      <c r="H464" t="s">
        <v>5202</v>
      </c>
      <c r="I464" t="s">
        <v>7853</v>
      </c>
      <c r="M464" t="s">
        <v>2780</v>
      </c>
      <c r="N464" t="s">
        <v>2781</v>
      </c>
      <c r="O464" t="s">
        <v>2778</v>
      </c>
      <c r="P464" t="s">
        <v>7854</v>
      </c>
      <c r="Q464" t="s">
        <v>7855</v>
      </c>
    </row>
    <row r="465" spans="1:17" x14ac:dyDescent="0.25">
      <c r="A465" t="s">
        <v>7856</v>
      </c>
      <c r="B465" t="s">
        <v>7857</v>
      </c>
      <c r="C465" t="s">
        <v>7858</v>
      </c>
      <c r="D465" t="s">
        <v>2784</v>
      </c>
      <c r="E465">
        <v>2021</v>
      </c>
      <c r="F465" t="s">
        <v>7859</v>
      </c>
      <c r="G465" t="s">
        <v>5059</v>
      </c>
      <c r="H465" t="s">
        <v>5059</v>
      </c>
      <c r="I465" t="s">
        <v>5059</v>
      </c>
      <c r="J465">
        <v>57</v>
      </c>
      <c r="K465">
        <v>83</v>
      </c>
      <c r="L465">
        <v>26</v>
      </c>
      <c r="M465" t="s">
        <v>2786</v>
      </c>
      <c r="N465" t="s">
        <v>2787</v>
      </c>
      <c r="O465" t="s">
        <v>2785</v>
      </c>
      <c r="P465" t="s">
        <v>5059</v>
      </c>
      <c r="Q465" t="s">
        <v>7860</v>
      </c>
    </row>
    <row r="466" spans="1:17" x14ac:dyDescent="0.25">
      <c r="A466" t="s">
        <v>7861</v>
      </c>
      <c r="B466" t="s">
        <v>7862</v>
      </c>
      <c r="C466" t="s">
        <v>7863</v>
      </c>
      <c r="D466" t="s">
        <v>2790</v>
      </c>
      <c r="E466">
        <v>2021</v>
      </c>
      <c r="F466" t="s">
        <v>7864</v>
      </c>
      <c r="G466" t="s">
        <v>5059</v>
      </c>
      <c r="H466" t="s">
        <v>5059</v>
      </c>
      <c r="I466" t="s">
        <v>5059</v>
      </c>
      <c r="J466">
        <v>8507</v>
      </c>
      <c r="K466">
        <v>8510</v>
      </c>
      <c r="L466">
        <v>3</v>
      </c>
      <c r="M466" t="s">
        <v>2793</v>
      </c>
      <c r="N466" t="s">
        <v>2794</v>
      </c>
      <c r="O466" t="s">
        <v>2791</v>
      </c>
      <c r="P466" t="s">
        <v>7865</v>
      </c>
      <c r="Q466" t="s">
        <v>7866</v>
      </c>
    </row>
    <row r="467" spans="1:17" x14ac:dyDescent="0.25">
      <c r="A467" t="s">
        <v>7867</v>
      </c>
      <c r="B467" t="s">
        <v>7868</v>
      </c>
      <c r="C467" t="s">
        <v>7869</v>
      </c>
      <c r="D467" t="s">
        <v>2803</v>
      </c>
      <c r="E467">
        <v>2021</v>
      </c>
      <c r="F467" t="s">
        <v>5109</v>
      </c>
      <c r="G467" t="s">
        <v>7870</v>
      </c>
      <c r="H467" t="s">
        <v>5059</v>
      </c>
      <c r="I467" t="s">
        <v>7871</v>
      </c>
      <c r="M467" t="s">
        <v>2806</v>
      </c>
      <c r="N467" t="s">
        <v>2807</v>
      </c>
      <c r="O467" t="s">
        <v>2804</v>
      </c>
      <c r="P467" t="s">
        <v>7872</v>
      </c>
      <c r="Q467" t="s">
        <v>7873</v>
      </c>
    </row>
    <row r="468" spans="1:17" x14ac:dyDescent="0.25">
      <c r="A468" t="s">
        <v>7874</v>
      </c>
      <c r="B468" t="s">
        <v>7875</v>
      </c>
      <c r="C468" t="s">
        <v>7876</v>
      </c>
      <c r="D468" t="s">
        <v>2009</v>
      </c>
      <c r="E468">
        <v>2022</v>
      </c>
      <c r="F468" t="s">
        <v>5214</v>
      </c>
      <c r="G468" t="s">
        <v>7877</v>
      </c>
      <c r="H468" t="s">
        <v>5059</v>
      </c>
      <c r="I468" t="s">
        <v>5059</v>
      </c>
      <c r="J468">
        <v>439</v>
      </c>
      <c r="K468">
        <v>453</v>
      </c>
      <c r="L468">
        <v>14</v>
      </c>
      <c r="M468" t="s">
        <v>2012</v>
      </c>
      <c r="N468" t="s">
        <v>2013</v>
      </c>
      <c r="O468" t="s">
        <v>2010</v>
      </c>
      <c r="P468" t="s">
        <v>2011</v>
      </c>
      <c r="Q468" t="s">
        <v>7878</v>
      </c>
    </row>
    <row r="469" spans="1:17" x14ac:dyDescent="0.25">
      <c r="A469" t="s">
        <v>7879</v>
      </c>
      <c r="B469" t="s">
        <v>7880</v>
      </c>
      <c r="C469" t="s">
        <v>7881</v>
      </c>
      <c r="D469" t="s">
        <v>2831</v>
      </c>
      <c r="E469">
        <v>2021</v>
      </c>
      <c r="F469" t="s">
        <v>7882</v>
      </c>
      <c r="G469" t="s">
        <v>7883</v>
      </c>
      <c r="H469" t="s">
        <v>5059</v>
      </c>
      <c r="I469" t="s">
        <v>5059</v>
      </c>
      <c r="M469" t="s">
        <v>2834</v>
      </c>
      <c r="N469" t="s">
        <v>2835</v>
      </c>
      <c r="O469" t="s">
        <v>2832</v>
      </c>
      <c r="P469" t="s">
        <v>7884</v>
      </c>
      <c r="Q469" t="s">
        <v>7885</v>
      </c>
    </row>
    <row r="470" spans="1:17" x14ac:dyDescent="0.25">
      <c r="A470" t="s">
        <v>7886</v>
      </c>
      <c r="B470" t="s">
        <v>7887</v>
      </c>
      <c r="C470" t="s">
        <v>7888</v>
      </c>
      <c r="D470" t="s">
        <v>2838</v>
      </c>
      <c r="E470">
        <v>2021</v>
      </c>
      <c r="F470" t="s">
        <v>7889</v>
      </c>
      <c r="G470" t="s">
        <v>7890</v>
      </c>
      <c r="H470" t="s">
        <v>5059</v>
      </c>
      <c r="I470" t="s">
        <v>5059</v>
      </c>
      <c r="J470">
        <v>316</v>
      </c>
      <c r="K470">
        <v>323</v>
      </c>
      <c r="L470">
        <v>7</v>
      </c>
      <c r="M470" t="s">
        <v>5059</v>
      </c>
      <c r="N470" t="s">
        <v>2841</v>
      </c>
      <c r="O470" t="s">
        <v>2839</v>
      </c>
      <c r="P470" t="s">
        <v>7891</v>
      </c>
      <c r="Q470" t="s">
        <v>7892</v>
      </c>
    </row>
    <row r="471" spans="1:17" x14ac:dyDescent="0.25">
      <c r="A471" t="s">
        <v>7893</v>
      </c>
      <c r="B471" t="s">
        <v>7894</v>
      </c>
      <c r="C471" t="s">
        <v>7895</v>
      </c>
      <c r="D471" t="s">
        <v>2029</v>
      </c>
      <c r="E471">
        <v>2021</v>
      </c>
      <c r="F471" t="s">
        <v>7896</v>
      </c>
      <c r="G471" t="s">
        <v>5463</v>
      </c>
      <c r="H471" t="s">
        <v>5071</v>
      </c>
      <c r="I471" t="s">
        <v>5059</v>
      </c>
      <c r="J471">
        <v>1119</v>
      </c>
      <c r="K471">
        <v>1140</v>
      </c>
      <c r="L471">
        <v>21</v>
      </c>
      <c r="M471" t="s">
        <v>2032</v>
      </c>
      <c r="N471" t="s">
        <v>2033</v>
      </c>
      <c r="O471" t="s">
        <v>2030</v>
      </c>
      <c r="P471" t="s">
        <v>7897</v>
      </c>
      <c r="Q471" t="s">
        <v>7898</v>
      </c>
    </row>
    <row r="472" spans="1:17" x14ac:dyDescent="0.25">
      <c r="A472" t="s">
        <v>7899</v>
      </c>
      <c r="B472" t="s">
        <v>7900</v>
      </c>
      <c r="C472" t="s">
        <v>7901</v>
      </c>
      <c r="D472" t="s">
        <v>2036</v>
      </c>
      <c r="E472">
        <v>2021</v>
      </c>
      <c r="F472" t="s">
        <v>7902</v>
      </c>
      <c r="G472" t="s">
        <v>5059</v>
      </c>
      <c r="H472" t="s">
        <v>5059</v>
      </c>
      <c r="I472" t="s">
        <v>5059</v>
      </c>
      <c r="M472" t="s">
        <v>2039</v>
      </c>
      <c r="N472" t="s">
        <v>2040</v>
      </c>
      <c r="O472" t="s">
        <v>2037</v>
      </c>
      <c r="P472" t="s">
        <v>7903</v>
      </c>
      <c r="Q472" t="s">
        <v>7904</v>
      </c>
    </row>
    <row r="473" spans="1:17" x14ac:dyDescent="0.25">
      <c r="A473" t="s">
        <v>7905</v>
      </c>
      <c r="B473" t="s">
        <v>7906</v>
      </c>
      <c r="C473" t="s">
        <v>7907</v>
      </c>
      <c r="D473" t="s">
        <v>2851</v>
      </c>
      <c r="E473">
        <v>2021</v>
      </c>
      <c r="F473" t="s">
        <v>7908</v>
      </c>
      <c r="G473" t="s">
        <v>5059</v>
      </c>
      <c r="H473" t="s">
        <v>5059</v>
      </c>
      <c r="I473" t="s">
        <v>5059</v>
      </c>
      <c r="J473">
        <v>61</v>
      </c>
      <c r="K473">
        <v>66</v>
      </c>
      <c r="L473">
        <v>5</v>
      </c>
      <c r="M473" t="s">
        <v>2854</v>
      </c>
      <c r="N473" t="s">
        <v>2855</v>
      </c>
      <c r="O473" t="s">
        <v>2852</v>
      </c>
      <c r="P473" t="s">
        <v>7909</v>
      </c>
      <c r="Q473" t="s">
        <v>7910</v>
      </c>
    </row>
    <row r="474" spans="1:17" x14ac:dyDescent="0.25">
      <c r="A474" t="s">
        <v>7911</v>
      </c>
      <c r="B474" t="s">
        <v>7912</v>
      </c>
      <c r="C474" t="s">
        <v>7913</v>
      </c>
      <c r="D474" t="s">
        <v>2858</v>
      </c>
      <c r="E474">
        <v>2021</v>
      </c>
      <c r="F474" t="s">
        <v>7914</v>
      </c>
      <c r="G474" t="s">
        <v>7915</v>
      </c>
      <c r="H474" t="s">
        <v>5059</v>
      </c>
      <c r="I474" t="s">
        <v>5059</v>
      </c>
      <c r="J474">
        <v>333</v>
      </c>
      <c r="K474">
        <v>342</v>
      </c>
      <c r="L474">
        <v>9</v>
      </c>
      <c r="M474" t="s">
        <v>2861</v>
      </c>
      <c r="N474" t="s">
        <v>2862</v>
      </c>
      <c r="O474" t="s">
        <v>2859</v>
      </c>
      <c r="P474" t="s">
        <v>7916</v>
      </c>
      <c r="Q474" t="s">
        <v>7917</v>
      </c>
    </row>
    <row r="475" spans="1:17" x14ac:dyDescent="0.25">
      <c r="A475" t="s">
        <v>7918</v>
      </c>
      <c r="B475" t="s">
        <v>7919</v>
      </c>
      <c r="C475" t="s">
        <v>7920</v>
      </c>
      <c r="D475" t="s">
        <v>2865</v>
      </c>
      <c r="E475">
        <v>2021</v>
      </c>
      <c r="F475" t="s">
        <v>7921</v>
      </c>
      <c r="G475" t="s">
        <v>5549</v>
      </c>
      <c r="H475" t="s">
        <v>5202</v>
      </c>
      <c r="I475" t="s">
        <v>5059</v>
      </c>
      <c r="J475">
        <v>1</v>
      </c>
      <c r="K475">
        <v>13</v>
      </c>
      <c r="L475">
        <v>12</v>
      </c>
      <c r="M475" t="s">
        <v>2868</v>
      </c>
      <c r="N475" t="s">
        <v>2869</v>
      </c>
      <c r="O475" t="s">
        <v>2866</v>
      </c>
      <c r="P475" t="s">
        <v>2867</v>
      </c>
      <c r="Q475" t="s">
        <v>7922</v>
      </c>
    </row>
    <row r="476" spans="1:17" x14ac:dyDescent="0.25">
      <c r="A476" t="s">
        <v>7923</v>
      </c>
      <c r="B476" t="s">
        <v>7924</v>
      </c>
      <c r="C476" t="s">
        <v>7925</v>
      </c>
      <c r="D476" t="s">
        <v>2872</v>
      </c>
      <c r="E476">
        <v>2021</v>
      </c>
      <c r="F476" t="s">
        <v>5905</v>
      </c>
      <c r="G476" t="s">
        <v>7926</v>
      </c>
      <c r="H476" t="s">
        <v>5202</v>
      </c>
      <c r="I476" t="s">
        <v>7927</v>
      </c>
      <c r="M476" t="s">
        <v>2875</v>
      </c>
      <c r="N476" t="s">
        <v>2876</v>
      </c>
      <c r="O476" t="s">
        <v>2873</v>
      </c>
      <c r="P476" t="s">
        <v>5059</v>
      </c>
      <c r="Q476" t="s">
        <v>7928</v>
      </c>
    </row>
    <row r="477" spans="1:17" x14ac:dyDescent="0.25">
      <c r="A477" t="s">
        <v>7929</v>
      </c>
      <c r="B477" t="s">
        <v>7930</v>
      </c>
      <c r="C477" t="s">
        <v>7931</v>
      </c>
      <c r="D477" t="s">
        <v>2886</v>
      </c>
      <c r="E477">
        <v>2021</v>
      </c>
      <c r="F477" t="s">
        <v>5155</v>
      </c>
      <c r="G477" t="s">
        <v>5998</v>
      </c>
      <c r="H477" t="s">
        <v>5367</v>
      </c>
      <c r="I477" t="s">
        <v>7932</v>
      </c>
      <c r="J477">
        <v>1</v>
      </c>
      <c r="K477">
        <v>25</v>
      </c>
      <c r="L477">
        <v>24</v>
      </c>
      <c r="M477" t="s">
        <v>2889</v>
      </c>
      <c r="N477" t="s">
        <v>2890</v>
      </c>
      <c r="O477" t="s">
        <v>2887</v>
      </c>
      <c r="P477" t="s">
        <v>7933</v>
      </c>
      <c r="Q477" t="s">
        <v>7934</v>
      </c>
    </row>
    <row r="478" spans="1:17" x14ac:dyDescent="0.25">
      <c r="A478" t="s">
        <v>7935</v>
      </c>
      <c r="B478" t="s">
        <v>7936</v>
      </c>
      <c r="C478" t="s">
        <v>7937</v>
      </c>
      <c r="D478" t="s">
        <v>2893</v>
      </c>
      <c r="E478">
        <v>2021</v>
      </c>
      <c r="F478" t="s">
        <v>7938</v>
      </c>
      <c r="G478" t="s">
        <v>5059</v>
      </c>
      <c r="H478" t="s">
        <v>5059</v>
      </c>
      <c r="I478" t="s">
        <v>7939</v>
      </c>
      <c r="J478">
        <v>206</v>
      </c>
      <c r="K478">
        <v>214</v>
      </c>
      <c r="L478">
        <v>8</v>
      </c>
      <c r="M478" t="s">
        <v>5059</v>
      </c>
      <c r="N478" t="s">
        <v>2896</v>
      </c>
      <c r="O478" t="s">
        <v>2894</v>
      </c>
      <c r="P478" t="s">
        <v>7940</v>
      </c>
      <c r="Q478" t="s">
        <v>7941</v>
      </c>
    </row>
    <row r="479" spans="1:17" x14ac:dyDescent="0.25">
      <c r="A479" t="s">
        <v>7942</v>
      </c>
      <c r="B479" t="s">
        <v>7943</v>
      </c>
      <c r="C479" t="s">
        <v>7944</v>
      </c>
      <c r="D479" t="s">
        <v>2906</v>
      </c>
      <c r="E479">
        <v>2021</v>
      </c>
      <c r="F479" t="s">
        <v>7945</v>
      </c>
      <c r="G479" t="s">
        <v>5059</v>
      </c>
      <c r="H479" t="s">
        <v>5059</v>
      </c>
      <c r="I479" t="s">
        <v>5059</v>
      </c>
      <c r="J479">
        <v>1456</v>
      </c>
      <c r="K479">
        <v>1461</v>
      </c>
      <c r="L479">
        <v>5</v>
      </c>
      <c r="M479" t="s">
        <v>2909</v>
      </c>
      <c r="N479" t="s">
        <v>2910</v>
      </c>
      <c r="O479" t="s">
        <v>2907</v>
      </c>
      <c r="P479" t="s">
        <v>7946</v>
      </c>
      <c r="Q479" t="s">
        <v>7947</v>
      </c>
    </row>
    <row r="480" spans="1:17" x14ac:dyDescent="0.25">
      <c r="A480" t="s">
        <v>7948</v>
      </c>
      <c r="B480" t="s">
        <v>7949</v>
      </c>
      <c r="C480" t="s">
        <v>7950</v>
      </c>
      <c r="D480" t="s">
        <v>2913</v>
      </c>
      <c r="E480">
        <v>2021</v>
      </c>
      <c r="F480" t="s">
        <v>7951</v>
      </c>
      <c r="G480" t="s">
        <v>5059</v>
      </c>
      <c r="H480" t="s">
        <v>5059</v>
      </c>
      <c r="I480" t="s">
        <v>5059</v>
      </c>
      <c r="M480" t="s">
        <v>2916</v>
      </c>
      <c r="N480" t="s">
        <v>2917</v>
      </c>
      <c r="O480" t="s">
        <v>2914</v>
      </c>
      <c r="P480" t="s">
        <v>7952</v>
      </c>
      <c r="Q480" t="s">
        <v>7953</v>
      </c>
    </row>
    <row r="481" spans="1:17" x14ac:dyDescent="0.25">
      <c r="A481" t="s">
        <v>7954</v>
      </c>
      <c r="B481" t="s">
        <v>7955</v>
      </c>
      <c r="C481" t="s">
        <v>7956</v>
      </c>
      <c r="D481" t="s">
        <v>2920</v>
      </c>
      <c r="E481">
        <v>2021</v>
      </c>
      <c r="F481" t="s">
        <v>7506</v>
      </c>
      <c r="G481" t="s">
        <v>5059</v>
      </c>
      <c r="H481" t="s">
        <v>5059</v>
      </c>
      <c r="I481" t="s">
        <v>7957</v>
      </c>
      <c r="M481" t="s">
        <v>2923</v>
      </c>
      <c r="N481" t="s">
        <v>2924</v>
      </c>
      <c r="O481" t="s">
        <v>2921</v>
      </c>
      <c r="P481" t="s">
        <v>5059</v>
      </c>
      <c r="Q481" t="s">
        <v>7958</v>
      </c>
    </row>
    <row r="482" spans="1:17" x14ac:dyDescent="0.25">
      <c r="A482" t="s">
        <v>7959</v>
      </c>
      <c r="B482" t="s">
        <v>7960</v>
      </c>
      <c r="C482" t="s">
        <v>7961</v>
      </c>
      <c r="D482" t="s">
        <v>2927</v>
      </c>
      <c r="E482">
        <v>2021</v>
      </c>
      <c r="F482" t="s">
        <v>6487</v>
      </c>
      <c r="G482" t="s">
        <v>6887</v>
      </c>
      <c r="H482" t="s">
        <v>5180</v>
      </c>
      <c r="I482" t="s">
        <v>7962</v>
      </c>
      <c r="J482">
        <v>46</v>
      </c>
      <c r="K482">
        <v>58</v>
      </c>
      <c r="L482">
        <v>12</v>
      </c>
      <c r="M482" t="s">
        <v>2930</v>
      </c>
      <c r="N482" t="s">
        <v>2931</v>
      </c>
      <c r="O482" t="s">
        <v>2928</v>
      </c>
      <c r="P482" t="s">
        <v>5059</v>
      </c>
      <c r="Q482" t="s">
        <v>7963</v>
      </c>
    </row>
    <row r="483" spans="1:17" x14ac:dyDescent="0.25">
      <c r="A483" t="s">
        <v>7964</v>
      </c>
      <c r="B483" t="s">
        <v>7965</v>
      </c>
      <c r="C483" t="s">
        <v>7966</v>
      </c>
      <c r="D483" t="s">
        <v>2123</v>
      </c>
      <c r="E483">
        <v>2022</v>
      </c>
      <c r="F483" t="s">
        <v>7967</v>
      </c>
      <c r="G483" t="s">
        <v>5059</v>
      </c>
      <c r="H483" t="s">
        <v>5059</v>
      </c>
      <c r="I483" t="s">
        <v>5059</v>
      </c>
      <c r="J483">
        <v>7</v>
      </c>
      <c r="K483">
        <v>11</v>
      </c>
      <c r="L483">
        <v>4</v>
      </c>
      <c r="M483" t="s">
        <v>2126</v>
      </c>
      <c r="N483" t="s">
        <v>2127</v>
      </c>
      <c r="O483" t="s">
        <v>2124</v>
      </c>
      <c r="P483" t="s">
        <v>7968</v>
      </c>
      <c r="Q483" t="s">
        <v>7969</v>
      </c>
    </row>
    <row r="484" spans="1:17" x14ac:dyDescent="0.25">
      <c r="A484" t="s">
        <v>7970</v>
      </c>
      <c r="B484" t="s">
        <v>7971</v>
      </c>
      <c r="C484" t="s">
        <v>7972</v>
      </c>
      <c r="D484" t="s">
        <v>2934</v>
      </c>
      <c r="E484">
        <v>2021</v>
      </c>
      <c r="F484" t="s">
        <v>5898</v>
      </c>
      <c r="G484" t="s">
        <v>7973</v>
      </c>
      <c r="H484" t="s">
        <v>5059</v>
      </c>
      <c r="I484" t="s">
        <v>5059</v>
      </c>
      <c r="J484">
        <v>25</v>
      </c>
      <c r="K484">
        <v>36</v>
      </c>
      <c r="L484">
        <v>11</v>
      </c>
      <c r="M484" t="s">
        <v>2937</v>
      </c>
      <c r="N484" t="s">
        <v>2938</v>
      </c>
      <c r="O484" t="s">
        <v>2935</v>
      </c>
      <c r="P484" t="s">
        <v>7974</v>
      </c>
      <c r="Q484" t="s">
        <v>7975</v>
      </c>
    </row>
    <row r="485" spans="1:17" x14ac:dyDescent="0.25">
      <c r="A485" t="s">
        <v>7976</v>
      </c>
      <c r="B485" t="s">
        <v>7977</v>
      </c>
      <c r="C485" t="s">
        <v>7978</v>
      </c>
      <c r="D485" t="s">
        <v>2163</v>
      </c>
      <c r="E485">
        <v>2022</v>
      </c>
      <c r="F485" t="s">
        <v>7979</v>
      </c>
      <c r="G485" t="s">
        <v>5059</v>
      </c>
      <c r="H485" t="s">
        <v>5059</v>
      </c>
      <c r="I485" t="s">
        <v>5059</v>
      </c>
      <c r="M485" t="s">
        <v>2166</v>
      </c>
      <c r="N485" t="s">
        <v>2167</v>
      </c>
      <c r="O485" t="s">
        <v>2164</v>
      </c>
      <c r="P485" t="s">
        <v>7980</v>
      </c>
      <c r="Q485" t="s">
        <v>7981</v>
      </c>
    </row>
    <row r="486" spans="1:17" x14ac:dyDescent="0.25">
      <c r="A486" t="s">
        <v>7982</v>
      </c>
      <c r="B486" t="s">
        <v>7983</v>
      </c>
      <c r="C486" t="s">
        <v>7984</v>
      </c>
      <c r="D486" t="s">
        <v>2946</v>
      </c>
      <c r="E486">
        <v>2021</v>
      </c>
      <c r="F486" t="s">
        <v>7506</v>
      </c>
      <c r="G486" t="s">
        <v>5059</v>
      </c>
      <c r="H486" t="s">
        <v>5059</v>
      </c>
      <c r="I486" t="s">
        <v>7985</v>
      </c>
      <c r="M486" t="s">
        <v>2949</v>
      </c>
      <c r="N486" t="s">
        <v>2950</v>
      </c>
      <c r="O486" t="s">
        <v>2947</v>
      </c>
      <c r="P486" t="s">
        <v>5059</v>
      </c>
      <c r="Q486" t="s">
        <v>7986</v>
      </c>
    </row>
    <row r="487" spans="1:17" x14ac:dyDescent="0.25">
      <c r="A487" t="s">
        <v>5059</v>
      </c>
      <c r="B487" t="s">
        <v>5059</v>
      </c>
      <c r="C487" t="s">
        <v>5059</v>
      </c>
      <c r="D487" t="s">
        <v>2952</v>
      </c>
      <c r="E487">
        <v>2021</v>
      </c>
      <c r="F487" t="s">
        <v>2952</v>
      </c>
      <c r="G487" t="s">
        <v>5059</v>
      </c>
      <c r="H487" t="s">
        <v>5059</v>
      </c>
      <c r="I487" t="s">
        <v>5059</v>
      </c>
      <c r="L487">
        <v>130</v>
      </c>
      <c r="M487" t="s">
        <v>5059</v>
      </c>
      <c r="N487" t="s">
        <v>2954</v>
      </c>
      <c r="O487" t="s">
        <v>7987</v>
      </c>
      <c r="P487" t="s">
        <v>5059</v>
      </c>
      <c r="Q487" t="s">
        <v>7988</v>
      </c>
    </row>
    <row r="488" spans="1:17" x14ac:dyDescent="0.25">
      <c r="A488" t="s">
        <v>7989</v>
      </c>
      <c r="B488" t="s">
        <v>7990</v>
      </c>
      <c r="C488" t="s">
        <v>7991</v>
      </c>
      <c r="D488" t="s">
        <v>2170</v>
      </c>
      <c r="E488">
        <v>2022</v>
      </c>
      <c r="F488" t="s">
        <v>7528</v>
      </c>
      <c r="G488" t="s">
        <v>5059</v>
      </c>
      <c r="H488" t="s">
        <v>5059</v>
      </c>
      <c r="I488" t="s">
        <v>7992</v>
      </c>
      <c r="M488" t="s">
        <v>2173</v>
      </c>
      <c r="N488" t="s">
        <v>2174</v>
      </c>
      <c r="O488" t="s">
        <v>2171</v>
      </c>
      <c r="P488" t="s">
        <v>5059</v>
      </c>
      <c r="Q488" t="s">
        <v>7993</v>
      </c>
    </row>
    <row r="489" spans="1:17" x14ac:dyDescent="0.25">
      <c r="A489" t="s">
        <v>7994</v>
      </c>
      <c r="B489" t="s">
        <v>7995</v>
      </c>
      <c r="C489" t="s">
        <v>7996</v>
      </c>
      <c r="D489" t="s">
        <v>2177</v>
      </c>
      <c r="E489">
        <v>2022</v>
      </c>
      <c r="F489" t="s">
        <v>7698</v>
      </c>
      <c r="G489" t="s">
        <v>7699</v>
      </c>
      <c r="H489" t="s">
        <v>5059</v>
      </c>
      <c r="I489" t="s">
        <v>5059</v>
      </c>
      <c r="J489">
        <v>411</v>
      </c>
      <c r="K489">
        <v>430</v>
      </c>
      <c r="L489">
        <v>19</v>
      </c>
      <c r="M489" t="s">
        <v>2180</v>
      </c>
      <c r="N489" t="s">
        <v>2181</v>
      </c>
      <c r="O489" t="s">
        <v>2178</v>
      </c>
      <c r="P489" t="s">
        <v>2179</v>
      </c>
      <c r="Q489" t="s">
        <v>7997</v>
      </c>
    </row>
    <row r="490" spans="1:17" x14ac:dyDescent="0.25">
      <c r="A490" t="s">
        <v>7998</v>
      </c>
      <c r="B490" t="s">
        <v>7999</v>
      </c>
      <c r="C490" t="s">
        <v>8000</v>
      </c>
      <c r="D490" t="s">
        <v>2964</v>
      </c>
      <c r="E490">
        <v>2021</v>
      </c>
      <c r="F490" t="s">
        <v>7575</v>
      </c>
      <c r="G490" t="s">
        <v>5059</v>
      </c>
      <c r="H490" t="s">
        <v>5059</v>
      </c>
      <c r="I490" t="s">
        <v>5059</v>
      </c>
      <c r="M490" t="s">
        <v>5059</v>
      </c>
      <c r="N490" t="s">
        <v>2967</v>
      </c>
      <c r="O490" t="s">
        <v>2965</v>
      </c>
      <c r="P490" t="s">
        <v>5059</v>
      </c>
      <c r="Q490" t="s">
        <v>8001</v>
      </c>
    </row>
    <row r="491" spans="1:17" x14ac:dyDescent="0.25">
      <c r="A491" t="s">
        <v>8002</v>
      </c>
      <c r="B491" t="s">
        <v>8003</v>
      </c>
      <c r="C491" t="s">
        <v>8004</v>
      </c>
      <c r="D491" t="s">
        <v>2977</v>
      </c>
      <c r="E491">
        <v>2021</v>
      </c>
      <c r="F491" t="s">
        <v>6846</v>
      </c>
      <c r="G491" t="s">
        <v>5821</v>
      </c>
      <c r="H491" t="s">
        <v>5202</v>
      </c>
      <c r="I491" t="s">
        <v>5059</v>
      </c>
      <c r="J491">
        <v>601</v>
      </c>
      <c r="K491">
        <v>618</v>
      </c>
      <c r="L491">
        <v>17</v>
      </c>
      <c r="M491" t="s">
        <v>2980</v>
      </c>
      <c r="N491" t="s">
        <v>2981</v>
      </c>
      <c r="O491" t="s">
        <v>2978</v>
      </c>
      <c r="P491" t="s">
        <v>8005</v>
      </c>
      <c r="Q491" t="s">
        <v>8006</v>
      </c>
    </row>
    <row r="492" spans="1:17" x14ac:dyDescent="0.25">
      <c r="A492" t="s">
        <v>8007</v>
      </c>
      <c r="B492" t="s">
        <v>8008</v>
      </c>
      <c r="C492" t="s">
        <v>8009</v>
      </c>
      <c r="D492" t="s">
        <v>2991</v>
      </c>
      <c r="E492">
        <v>2021</v>
      </c>
      <c r="F492" t="s">
        <v>6864</v>
      </c>
      <c r="G492" t="s">
        <v>8010</v>
      </c>
      <c r="H492" t="s">
        <v>5059</v>
      </c>
      <c r="I492" t="s">
        <v>5059</v>
      </c>
      <c r="M492" t="s">
        <v>2994</v>
      </c>
      <c r="N492" t="s">
        <v>2995</v>
      </c>
      <c r="O492" t="s">
        <v>2992</v>
      </c>
      <c r="P492" t="s">
        <v>8011</v>
      </c>
      <c r="Q492" t="s">
        <v>8012</v>
      </c>
    </row>
    <row r="493" spans="1:17" x14ac:dyDescent="0.25">
      <c r="A493" t="s">
        <v>8013</v>
      </c>
      <c r="B493" t="s">
        <v>8014</v>
      </c>
      <c r="C493" t="s">
        <v>8015</v>
      </c>
      <c r="D493" t="s">
        <v>2242</v>
      </c>
      <c r="E493">
        <v>2021</v>
      </c>
      <c r="F493" t="s">
        <v>5049</v>
      </c>
      <c r="G493" t="s">
        <v>5071</v>
      </c>
      <c r="H493" t="s">
        <v>5180</v>
      </c>
      <c r="I493" t="s">
        <v>7831</v>
      </c>
      <c r="M493" t="s">
        <v>2245</v>
      </c>
      <c r="N493" t="s">
        <v>2246</v>
      </c>
      <c r="O493" t="s">
        <v>2243</v>
      </c>
      <c r="P493" t="s">
        <v>8016</v>
      </c>
      <c r="Q493" t="s">
        <v>8017</v>
      </c>
    </row>
    <row r="494" spans="1:17" x14ac:dyDescent="0.25">
      <c r="A494" t="s">
        <v>8018</v>
      </c>
      <c r="B494" t="s">
        <v>8019</v>
      </c>
      <c r="C494" t="s">
        <v>8020</v>
      </c>
      <c r="D494" t="s">
        <v>2998</v>
      </c>
      <c r="E494">
        <v>2021</v>
      </c>
      <c r="F494" t="s">
        <v>8021</v>
      </c>
      <c r="G494" t="s">
        <v>5059</v>
      </c>
      <c r="H494" t="s">
        <v>5059</v>
      </c>
      <c r="I494" t="s">
        <v>5059</v>
      </c>
      <c r="J494">
        <v>3</v>
      </c>
      <c r="K494">
        <v>4</v>
      </c>
      <c r="L494">
        <v>1</v>
      </c>
      <c r="M494" t="s">
        <v>3001</v>
      </c>
      <c r="N494" t="s">
        <v>3002</v>
      </c>
      <c r="O494" t="s">
        <v>2999</v>
      </c>
      <c r="P494" t="s">
        <v>8022</v>
      </c>
      <c r="Q494" t="s">
        <v>8023</v>
      </c>
    </row>
    <row r="495" spans="1:17" x14ac:dyDescent="0.25">
      <c r="A495" t="s">
        <v>7661</v>
      </c>
      <c r="B495" t="s">
        <v>7662</v>
      </c>
      <c r="C495" t="s">
        <v>5505</v>
      </c>
      <c r="D495" t="s">
        <v>3004</v>
      </c>
      <c r="E495">
        <v>2021</v>
      </c>
      <c r="F495" t="s">
        <v>7663</v>
      </c>
      <c r="G495" t="s">
        <v>5059</v>
      </c>
      <c r="H495" t="s">
        <v>5059</v>
      </c>
      <c r="I495" t="s">
        <v>5059</v>
      </c>
      <c r="J495">
        <v>825</v>
      </c>
      <c r="K495">
        <v>830</v>
      </c>
      <c r="L495">
        <v>5</v>
      </c>
      <c r="M495" t="s">
        <v>3007</v>
      </c>
      <c r="N495" t="s">
        <v>3008</v>
      </c>
      <c r="O495" t="s">
        <v>3005</v>
      </c>
      <c r="P495" t="s">
        <v>8024</v>
      </c>
      <c r="Q495" t="s">
        <v>8025</v>
      </c>
    </row>
    <row r="496" spans="1:17" x14ac:dyDescent="0.25">
      <c r="A496" t="s">
        <v>8026</v>
      </c>
      <c r="B496" t="s">
        <v>8027</v>
      </c>
      <c r="C496" t="s">
        <v>8028</v>
      </c>
      <c r="D496" t="s">
        <v>8029</v>
      </c>
      <c r="E496">
        <v>2022</v>
      </c>
      <c r="F496" t="s">
        <v>8030</v>
      </c>
      <c r="G496" t="s">
        <v>8031</v>
      </c>
      <c r="H496" t="s">
        <v>5050</v>
      </c>
      <c r="I496" t="s">
        <v>5059</v>
      </c>
      <c r="J496">
        <v>624</v>
      </c>
      <c r="K496">
        <v>630</v>
      </c>
      <c r="L496">
        <v>6</v>
      </c>
      <c r="M496" t="s">
        <v>2252</v>
      </c>
      <c r="N496" t="s">
        <v>2253</v>
      </c>
      <c r="O496" t="s">
        <v>2250</v>
      </c>
      <c r="P496" t="s">
        <v>2251</v>
      </c>
      <c r="Q496" t="s">
        <v>8032</v>
      </c>
    </row>
    <row r="497" spans="1:17" x14ac:dyDescent="0.25">
      <c r="A497" t="s">
        <v>8033</v>
      </c>
      <c r="B497" t="s">
        <v>8034</v>
      </c>
      <c r="C497" t="s">
        <v>8035</v>
      </c>
      <c r="D497" t="s">
        <v>3011</v>
      </c>
      <c r="E497">
        <v>2021</v>
      </c>
      <c r="F497" t="s">
        <v>8036</v>
      </c>
      <c r="G497" t="s">
        <v>7646</v>
      </c>
      <c r="H497" t="s">
        <v>5059</v>
      </c>
      <c r="I497" t="s">
        <v>5059</v>
      </c>
      <c r="M497" t="s">
        <v>3014</v>
      </c>
      <c r="N497" t="s">
        <v>3015</v>
      </c>
      <c r="O497" t="s">
        <v>3012</v>
      </c>
      <c r="P497" t="s">
        <v>8037</v>
      </c>
      <c r="Q497" t="s">
        <v>8038</v>
      </c>
    </row>
    <row r="498" spans="1:17" x14ac:dyDescent="0.25">
      <c r="A498" t="s">
        <v>8039</v>
      </c>
      <c r="B498" t="s">
        <v>8040</v>
      </c>
      <c r="C498" t="s">
        <v>8041</v>
      </c>
      <c r="D498" t="s">
        <v>2263</v>
      </c>
      <c r="E498">
        <v>2022</v>
      </c>
      <c r="F498" t="s">
        <v>7302</v>
      </c>
      <c r="G498" t="s">
        <v>8042</v>
      </c>
      <c r="H498" t="s">
        <v>5059</v>
      </c>
      <c r="I498" t="s">
        <v>5059</v>
      </c>
      <c r="J498">
        <v>1294</v>
      </c>
      <c r="K498">
        <v>1300</v>
      </c>
      <c r="L498">
        <v>6</v>
      </c>
      <c r="M498" t="s">
        <v>2266</v>
      </c>
      <c r="N498" t="s">
        <v>2267</v>
      </c>
      <c r="O498" t="s">
        <v>2264</v>
      </c>
      <c r="P498" t="s">
        <v>8043</v>
      </c>
      <c r="Q498" t="s">
        <v>8044</v>
      </c>
    </row>
    <row r="499" spans="1:17" x14ac:dyDescent="0.25">
      <c r="A499" t="s">
        <v>8045</v>
      </c>
      <c r="B499" t="s">
        <v>8046</v>
      </c>
      <c r="C499" t="s">
        <v>8047</v>
      </c>
      <c r="D499" t="s">
        <v>3025</v>
      </c>
      <c r="E499">
        <v>2021</v>
      </c>
      <c r="F499" t="s">
        <v>6793</v>
      </c>
      <c r="G499" t="s">
        <v>5913</v>
      </c>
      <c r="H499" t="s">
        <v>5059</v>
      </c>
      <c r="I499" t="s">
        <v>8048</v>
      </c>
      <c r="M499" t="s">
        <v>3028</v>
      </c>
      <c r="N499" t="s">
        <v>3029</v>
      </c>
      <c r="O499" t="s">
        <v>3026</v>
      </c>
      <c r="P499" t="s">
        <v>8049</v>
      </c>
      <c r="Q499" t="s">
        <v>8050</v>
      </c>
    </row>
    <row r="500" spans="1:17" x14ac:dyDescent="0.25">
      <c r="A500" t="s">
        <v>8051</v>
      </c>
      <c r="B500" t="s">
        <v>8052</v>
      </c>
      <c r="C500" t="s">
        <v>8053</v>
      </c>
      <c r="D500" t="s">
        <v>3032</v>
      </c>
      <c r="E500">
        <v>2021</v>
      </c>
      <c r="F500" t="s">
        <v>8054</v>
      </c>
      <c r="G500" t="s">
        <v>5195</v>
      </c>
      <c r="H500" t="s">
        <v>5059</v>
      </c>
      <c r="I500" t="s">
        <v>5059</v>
      </c>
      <c r="J500">
        <v>1</v>
      </c>
      <c r="K500">
        <v>35</v>
      </c>
      <c r="L500">
        <v>34</v>
      </c>
      <c r="M500" t="s">
        <v>3035</v>
      </c>
      <c r="N500" t="s">
        <v>3036</v>
      </c>
      <c r="O500" t="s">
        <v>3033</v>
      </c>
      <c r="P500" t="s">
        <v>8055</v>
      </c>
      <c r="Q500" t="s">
        <v>8056</v>
      </c>
    </row>
    <row r="501" spans="1:17" x14ac:dyDescent="0.25">
      <c r="A501" t="s">
        <v>8057</v>
      </c>
      <c r="B501" t="s">
        <v>8058</v>
      </c>
      <c r="C501" t="s">
        <v>8059</v>
      </c>
      <c r="D501" t="s">
        <v>3039</v>
      </c>
      <c r="E501">
        <v>2021</v>
      </c>
      <c r="F501" t="s">
        <v>7595</v>
      </c>
      <c r="G501" t="s">
        <v>5059</v>
      </c>
      <c r="H501" t="s">
        <v>5059</v>
      </c>
      <c r="I501" t="s">
        <v>8060</v>
      </c>
      <c r="M501" t="s">
        <v>3042</v>
      </c>
      <c r="N501" t="s">
        <v>3043</v>
      </c>
      <c r="O501" t="s">
        <v>3040</v>
      </c>
      <c r="P501" t="s">
        <v>8061</v>
      </c>
      <c r="Q501" t="s">
        <v>8062</v>
      </c>
    </row>
    <row r="502" spans="1:17" x14ac:dyDescent="0.25">
      <c r="A502" t="s">
        <v>8063</v>
      </c>
      <c r="B502" t="s">
        <v>8064</v>
      </c>
      <c r="C502" t="s">
        <v>8065</v>
      </c>
      <c r="D502" t="s">
        <v>3067</v>
      </c>
      <c r="E502">
        <v>2020</v>
      </c>
      <c r="F502" t="s">
        <v>5186</v>
      </c>
      <c r="G502" t="s">
        <v>5050</v>
      </c>
      <c r="H502" t="s">
        <v>5059</v>
      </c>
      <c r="I502" t="s">
        <v>8066</v>
      </c>
      <c r="J502">
        <v>121843</v>
      </c>
      <c r="K502">
        <v>121857</v>
      </c>
      <c r="L502">
        <v>14</v>
      </c>
      <c r="M502" t="s">
        <v>3070</v>
      </c>
      <c r="N502" t="s">
        <v>3071</v>
      </c>
      <c r="O502" t="s">
        <v>3068</v>
      </c>
      <c r="P502" t="s">
        <v>8067</v>
      </c>
      <c r="Q502" t="s">
        <v>8068</v>
      </c>
    </row>
    <row r="503" spans="1:17" x14ac:dyDescent="0.25">
      <c r="A503" t="s">
        <v>8069</v>
      </c>
      <c r="B503" t="s">
        <v>8070</v>
      </c>
      <c r="C503" t="s">
        <v>8071</v>
      </c>
      <c r="D503" t="s">
        <v>2476</v>
      </c>
      <c r="E503">
        <v>2020</v>
      </c>
      <c r="F503" t="s">
        <v>8072</v>
      </c>
      <c r="G503" t="s">
        <v>5059</v>
      </c>
      <c r="H503" t="s">
        <v>5059</v>
      </c>
      <c r="I503" t="s">
        <v>8073</v>
      </c>
      <c r="J503">
        <v>1265</v>
      </c>
      <c r="K503">
        <v>1269</v>
      </c>
      <c r="L503">
        <v>4</v>
      </c>
      <c r="M503" t="s">
        <v>3076</v>
      </c>
      <c r="N503" t="s">
        <v>3077</v>
      </c>
      <c r="O503" t="s">
        <v>3074</v>
      </c>
      <c r="P503" t="s">
        <v>5059</v>
      </c>
      <c r="Q503" t="s">
        <v>8074</v>
      </c>
    </row>
    <row r="504" spans="1:17" x14ac:dyDescent="0.25">
      <c r="A504" t="s">
        <v>8075</v>
      </c>
      <c r="B504" t="s">
        <v>8076</v>
      </c>
      <c r="C504" t="s">
        <v>8077</v>
      </c>
      <c r="D504" t="s">
        <v>3087</v>
      </c>
      <c r="E504">
        <v>2019</v>
      </c>
      <c r="F504" t="s">
        <v>8078</v>
      </c>
      <c r="G504" t="s">
        <v>8079</v>
      </c>
      <c r="H504" t="s">
        <v>5202</v>
      </c>
      <c r="I504" t="s">
        <v>8080</v>
      </c>
      <c r="M504" t="s">
        <v>3090</v>
      </c>
      <c r="N504" t="s">
        <v>3091</v>
      </c>
      <c r="O504" t="s">
        <v>3088</v>
      </c>
      <c r="P504" t="s">
        <v>5059</v>
      </c>
      <c r="Q504" t="s">
        <v>8081</v>
      </c>
    </row>
    <row r="505" spans="1:17" x14ac:dyDescent="0.25">
      <c r="A505" t="s">
        <v>8082</v>
      </c>
      <c r="B505" t="s">
        <v>8083</v>
      </c>
      <c r="C505" t="s">
        <v>8084</v>
      </c>
      <c r="D505" t="s">
        <v>2330</v>
      </c>
      <c r="E505">
        <v>2020</v>
      </c>
      <c r="F505" t="s">
        <v>8085</v>
      </c>
      <c r="G505" t="s">
        <v>8086</v>
      </c>
      <c r="H505" t="s">
        <v>5549</v>
      </c>
      <c r="I505" t="s">
        <v>5059</v>
      </c>
      <c r="J505">
        <v>561</v>
      </c>
      <c r="K505">
        <v>573</v>
      </c>
      <c r="L505">
        <v>12</v>
      </c>
      <c r="M505" t="s">
        <v>2333</v>
      </c>
      <c r="N505" t="s">
        <v>2334</v>
      </c>
      <c r="O505" t="s">
        <v>2331</v>
      </c>
      <c r="P505" t="s">
        <v>5059</v>
      </c>
      <c r="Q505" t="s">
        <v>8087</v>
      </c>
    </row>
    <row r="506" spans="1:17" x14ac:dyDescent="0.25">
      <c r="A506" t="s">
        <v>8088</v>
      </c>
      <c r="B506" t="s">
        <v>8089</v>
      </c>
      <c r="C506" t="s">
        <v>8090</v>
      </c>
      <c r="D506" t="s">
        <v>2344</v>
      </c>
      <c r="E506">
        <v>2020</v>
      </c>
      <c r="F506" t="s">
        <v>6938</v>
      </c>
      <c r="G506" t="s">
        <v>5059</v>
      </c>
      <c r="H506" t="s">
        <v>5059</v>
      </c>
      <c r="I506" t="s">
        <v>8091</v>
      </c>
      <c r="J506">
        <v>304</v>
      </c>
      <c r="K506">
        <v>319</v>
      </c>
      <c r="L506">
        <v>15</v>
      </c>
      <c r="M506" t="s">
        <v>2347</v>
      </c>
      <c r="N506" t="s">
        <v>2348</v>
      </c>
      <c r="O506" t="s">
        <v>2345</v>
      </c>
      <c r="P506" t="s">
        <v>8092</v>
      </c>
      <c r="Q506" t="s">
        <v>8093</v>
      </c>
    </row>
    <row r="507" spans="1:17" x14ac:dyDescent="0.25">
      <c r="A507" t="s">
        <v>8094</v>
      </c>
      <c r="B507" t="s">
        <v>8095</v>
      </c>
      <c r="C507" t="s">
        <v>8096</v>
      </c>
      <c r="D507" t="s">
        <v>2358</v>
      </c>
      <c r="E507">
        <v>2020</v>
      </c>
      <c r="F507" t="s">
        <v>8097</v>
      </c>
      <c r="G507" t="s">
        <v>5059</v>
      </c>
      <c r="H507" t="s">
        <v>5059</v>
      </c>
      <c r="I507" t="s">
        <v>8098</v>
      </c>
      <c r="M507" t="s">
        <v>2361</v>
      </c>
      <c r="N507" t="s">
        <v>2362</v>
      </c>
      <c r="O507" t="s">
        <v>2359</v>
      </c>
      <c r="P507" t="s">
        <v>8099</v>
      </c>
      <c r="Q507" t="s">
        <v>8100</v>
      </c>
    </row>
    <row r="508" spans="1:17" x14ac:dyDescent="0.25">
      <c r="A508" t="s">
        <v>8101</v>
      </c>
      <c r="B508" t="s">
        <v>8102</v>
      </c>
      <c r="C508" t="s">
        <v>8103</v>
      </c>
      <c r="D508" t="s">
        <v>3106</v>
      </c>
      <c r="E508">
        <v>2020</v>
      </c>
      <c r="F508" t="s">
        <v>8104</v>
      </c>
      <c r="G508" t="s">
        <v>5059</v>
      </c>
      <c r="H508" t="s">
        <v>5059</v>
      </c>
      <c r="I508" t="s">
        <v>8105</v>
      </c>
      <c r="J508">
        <v>35</v>
      </c>
      <c r="K508">
        <v>42</v>
      </c>
      <c r="L508">
        <v>7</v>
      </c>
      <c r="M508" t="s">
        <v>3109</v>
      </c>
      <c r="N508" t="s">
        <v>3110</v>
      </c>
      <c r="O508" t="s">
        <v>3107</v>
      </c>
      <c r="P508" t="s">
        <v>8106</v>
      </c>
      <c r="Q508" t="s">
        <v>8107</v>
      </c>
    </row>
    <row r="509" spans="1:17" x14ac:dyDescent="0.25">
      <c r="A509" t="s">
        <v>8108</v>
      </c>
      <c r="B509" t="s">
        <v>8109</v>
      </c>
      <c r="C509" t="s">
        <v>8110</v>
      </c>
      <c r="D509" t="s">
        <v>3113</v>
      </c>
      <c r="E509">
        <v>2020</v>
      </c>
      <c r="F509" t="s">
        <v>5409</v>
      </c>
      <c r="G509" t="s">
        <v>8111</v>
      </c>
      <c r="H509" t="s">
        <v>5059</v>
      </c>
      <c r="I509" t="s">
        <v>5059</v>
      </c>
      <c r="J509">
        <v>519</v>
      </c>
      <c r="K509">
        <v>536</v>
      </c>
      <c r="L509">
        <v>17</v>
      </c>
      <c r="M509" t="s">
        <v>3116</v>
      </c>
      <c r="N509" t="s">
        <v>3117</v>
      </c>
      <c r="O509" t="s">
        <v>3114</v>
      </c>
      <c r="P509" t="s">
        <v>8112</v>
      </c>
      <c r="Q509" t="s">
        <v>8113</v>
      </c>
    </row>
    <row r="510" spans="1:17" x14ac:dyDescent="0.25">
      <c r="A510" t="s">
        <v>8114</v>
      </c>
      <c r="B510" t="s">
        <v>8115</v>
      </c>
      <c r="C510" t="s">
        <v>8116</v>
      </c>
      <c r="D510" t="s">
        <v>3120</v>
      </c>
      <c r="E510">
        <v>2019</v>
      </c>
      <c r="F510" t="s">
        <v>8117</v>
      </c>
      <c r="G510" t="s">
        <v>5059</v>
      </c>
      <c r="H510" t="s">
        <v>5059</v>
      </c>
      <c r="I510" t="s">
        <v>8118</v>
      </c>
      <c r="J510">
        <v>60</v>
      </c>
      <c r="K510">
        <v>69</v>
      </c>
      <c r="L510">
        <v>9</v>
      </c>
      <c r="M510" t="s">
        <v>3123</v>
      </c>
      <c r="N510" t="s">
        <v>3124</v>
      </c>
      <c r="O510" t="s">
        <v>3121</v>
      </c>
      <c r="P510" t="s">
        <v>5059</v>
      </c>
      <c r="Q510" t="s">
        <v>8119</v>
      </c>
    </row>
    <row r="511" spans="1:17" x14ac:dyDescent="0.25">
      <c r="A511" t="s">
        <v>8120</v>
      </c>
      <c r="B511" t="s">
        <v>8121</v>
      </c>
      <c r="C511" t="s">
        <v>8122</v>
      </c>
      <c r="D511" t="s">
        <v>2385</v>
      </c>
      <c r="E511">
        <v>2021</v>
      </c>
      <c r="F511" t="s">
        <v>4157</v>
      </c>
      <c r="G511" t="s">
        <v>8123</v>
      </c>
      <c r="H511" t="s">
        <v>5059</v>
      </c>
      <c r="I511" t="s">
        <v>8124</v>
      </c>
      <c r="M511" t="s">
        <v>2388</v>
      </c>
      <c r="N511" t="s">
        <v>2389</v>
      </c>
      <c r="O511" t="s">
        <v>2386</v>
      </c>
      <c r="P511" t="s">
        <v>8125</v>
      </c>
      <c r="Q511" t="s">
        <v>8126</v>
      </c>
    </row>
    <row r="512" spans="1:17" x14ac:dyDescent="0.25">
      <c r="A512" t="s">
        <v>8127</v>
      </c>
      <c r="B512" t="s">
        <v>8128</v>
      </c>
      <c r="C512" t="s">
        <v>8129</v>
      </c>
      <c r="D512" t="s">
        <v>2392</v>
      </c>
      <c r="E512">
        <v>2020</v>
      </c>
      <c r="F512" t="s">
        <v>8130</v>
      </c>
      <c r="G512" t="s">
        <v>8131</v>
      </c>
      <c r="H512" t="s">
        <v>5059</v>
      </c>
      <c r="I512" t="s">
        <v>8132</v>
      </c>
      <c r="M512" t="s">
        <v>2395</v>
      </c>
      <c r="N512" t="s">
        <v>2396</v>
      </c>
      <c r="O512" t="s">
        <v>2393</v>
      </c>
      <c r="P512" t="s">
        <v>8133</v>
      </c>
      <c r="Q512" t="s">
        <v>8134</v>
      </c>
    </row>
    <row r="513" spans="1:17" x14ac:dyDescent="0.25">
      <c r="A513" t="s">
        <v>8135</v>
      </c>
      <c r="B513" t="s">
        <v>8136</v>
      </c>
      <c r="C513" t="s">
        <v>8137</v>
      </c>
      <c r="D513" t="s">
        <v>3134</v>
      </c>
      <c r="E513">
        <v>2020</v>
      </c>
      <c r="F513" t="s">
        <v>8138</v>
      </c>
      <c r="G513" t="s">
        <v>6172</v>
      </c>
      <c r="H513" t="s">
        <v>5103</v>
      </c>
      <c r="I513" t="s">
        <v>5059</v>
      </c>
      <c r="J513">
        <v>479</v>
      </c>
      <c r="K513">
        <v>487</v>
      </c>
      <c r="L513">
        <v>8</v>
      </c>
      <c r="M513" t="s">
        <v>5059</v>
      </c>
      <c r="N513" t="s">
        <v>3137</v>
      </c>
      <c r="O513" t="s">
        <v>3135</v>
      </c>
      <c r="P513" t="s">
        <v>5059</v>
      </c>
      <c r="Q513" t="s">
        <v>8139</v>
      </c>
    </row>
    <row r="514" spans="1:17" x14ac:dyDescent="0.25">
      <c r="A514" t="s">
        <v>8140</v>
      </c>
      <c r="B514" t="s">
        <v>8141</v>
      </c>
      <c r="C514" t="s">
        <v>8142</v>
      </c>
      <c r="D514" t="s">
        <v>2416</v>
      </c>
      <c r="E514">
        <v>2020</v>
      </c>
      <c r="F514" t="s">
        <v>7395</v>
      </c>
      <c r="G514" t="s">
        <v>8131</v>
      </c>
      <c r="H514" t="s">
        <v>5059</v>
      </c>
      <c r="I514" t="s">
        <v>8143</v>
      </c>
      <c r="J514">
        <v>1672</v>
      </c>
      <c r="K514">
        <v>1674</v>
      </c>
      <c r="L514">
        <v>2</v>
      </c>
      <c r="M514" t="s">
        <v>2419</v>
      </c>
      <c r="N514" t="s">
        <v>2420</v>
      </c>
      <c r="O514" t="s">
        <v>2417</v>
      </c>
      <c r="P514" t="s">
        <v>8144</v>
      </c>
      <c r="Q514" t="s">
        <v>8145</v>
      </c>
    </row>
    <row r="515" spans="1:17" x14ac:dyDescent="0.25">
      <c r="A515" t="s">
        <v>8146</v>
      </c>
      <c r="B515" t="s">
        <v>8147</v>
      </c>
      <c r="C515" t="s">
        <v>8148</v>
      </c>
      <c r="D515" t="s">
        <v>3147</v>
      </c>
      <c r="E515">
        <v>2020</v>
      </c>
      <c r="F515" t="s">
        <v>7652</v>
      </c>
      <c r="G515" t="s">
        <v>5264</v>
      </c>
      <c r="H515" t="s">
        <v>5091</v>
      </c>
      <c r="I515" t="s">
        <v>8149</v>
      </c>
      <c r="J515">
        <v>1</v>
      </c>
      <c r="K515">
        <v>35</v>
      </c>
      <c r="L515">
        <v>34</v>
      </c>
      <c r="M515" t="s">
        <v>3150</v>
      </c>
      <c r="N515" t="s">
        <v>3151</v>
      </c>
      <c r="O515" t="s">
        <v>3148</v>
      </c>
      <c r="P515" t="s">
        <v>8150</v>
      </c>
      <c r="Q515" t="s">
        <v>8151</v>
      </c>
    </row>
    <row r="516" spans="1:17" x14ac:dyDescent="0.25">
      <c r="A516" t="s">
        <v>8152</v>
      </c>
      <c r="B516" t="s">
        <v>8153</v>
      </c>
      <c r="C516" t="s">
        <v>8154</v>
      </c>
      <c r="D516" t="s">
        <v>2423</v>
      </c>
      <c r="E516">
        <v>2020</v>
      </c>
      <c r="F516" t="s">
        <v>8155</v>
      </c>
      <c r="G516" t="s">
        <v>8156</v>
      </c>
      <c r="H516" t="s">
        <v>5180</v>
      </c>
      <c r="I516" t="s">
        <v>5059</v>
      </c>
      <c r="J516">
        <v>2729</v>
      </c>
      <c r="K516">
        <v>2754</v>
      </c>
      <c r="L516">
        <v>25</v>
      </c>
      <c r="M516" t="s">
        <v>2426</v>
      </c>
      <c r="N516" t="s">
        <v>2427</v>
      </c>
      <c r="O516" t="s">
        <v>2424</v>
      </c>
      <c r="P516" t="s">
        <v>8157</v>
      </c>
      <c r="Q516" t="s">
        <v>8158</v>
      </c>
    </row>
    <row r="517" spans="1:17" x14ac:dyDescent="0.25">
      <c r="A517" t="s">
        <v>8159</v>
      </c>
      <c r="B517" t="s">
        <v>8160</v>
      </c>
      <c r="C517" t="s">
        <v>8161</v>
      </c>
      <c r="D517" t="s">
        <v>2436</v>
      </c>
      <c r="E517">
        <v>2021</v>
      </c>
      <c r="F517" t="s">
        <v>5898</v>
      </c>
      <c r="G517" t="s">
        <v>8162</v>
      </c>
      <c r="H517" t="s">
        <v>5059</v>
      </c>
      <c r="I517" t="s">
        <v>5059</v>
      </c>
      <c r="J517">
        <v>159</v>
      </c>
      <c r="K517">
        <v>169</v>
      </c>
      <c r="L517">
        <v>10</v>
      </c>
      <c r="M517" t="s">
        <v>2439</v>
      </c>
      <c r="N517" t="s">
        <v>2440</v>
      </c>
      <c r="O517" t="s">
        <v>2437</v>
      </c>
      <c r="P517" t="s">
        <v>8163</v>
      </c>
      <c r="Q517" t="s">
        <v>8164</v>
      </c>
    </row>
    <row r="518" spans="1:17" x14ac:dyDescent="0.25">
      <c r="A518" t="s">
        <v>8165</v>
      </c>
      <c r="B518" t="s">
        <v>8166</v>
      </c>
      <c r="C518" t="s">
        <v>8167</v>
      </c>
      <c r="D518" t="s">
        <v>3161</v>
      </c>
      <c r="E518">
        <v>2020</v>
      </c>
      <c r="F518" t="s">
        <v>6721</v>
      </c>
      <c r="G518" t="s">
        <v>5549</v>
      </c>
      <c r="H518" t="s">
        <v>5059</v>
      </c>
      <c r="I518" t="s">
        <v>8168</v>
      </c>
      <c r="M518" t="s">
        <v>3164</v>
      </c>
      <c r="N518" t="s">
        <v>3165</v>
      </c>
      <c r="O518" t="s">
        <v>3162</v>
      </c>
      <c r="P518" t="s">
        <v>3163</v>
      </c>
      <c r="Q518" t="s">
        <v>8169</v>
      </c>
    </row>
    <row r="519" spans="1:17" x14ac:dyDescent="0.25">
      <c r="A519" t="s">
        <v>8170</v>
      </c>
      <c r="B519" t="s">
        <v>8171</v>
      </c>
      <c r="C519" t="s">
        <v>8172</v>
      </c>
      <c r="D519" t="s">
        <v>3168</v>
      </c>
      <c r="E519">
        <v>2020</v>
      </c>
      <c r="F519" t="s">
        <v>8173</v>
      </c>
      <c r="G519" t="s">
        <v>8174</v>
      </c>
      <c r="H519" t="s">
        <v>5059</v>
      </c>
      <c r="I519" t="s">
        <v>5059</v>
      </c>
      <c r="M519" t="s">
        <v>3171</v>
      </c>
      <c r="N519" t="s">
        <v>3172</v>
      </c>
      <c r="O519" t="s">
        <v>3169</v>
      </c>
      <c r="P519" t="s">
        <v>5059</v>
      </c>
      <c r="Q519" t="s">
        <v>8175</v>
      </c>
    </row>
    <row r="520" spans="1:17" x14ac:dyDescent="0.25">
      <c r="A520" t="s">
        <v>8176</v>
      </c>
      <c r="B520" t="s">
        <v>8177</v>
      </c>
      <c r="C520" t="s">
        <v>8178</v>
      </c>
      <c r="D520" t="s">
        <v>2442</v>
      </c>
      <c r="E520">
        <v>2021</v>
      </c>
      <c r="F520" t="s">
        <v>5186</v>
      </c>
      <c r="G520" t="s">
        <v>5754</v>
      </c>
      <c r="H520" t="s">
        <v>5059</v>
      </c>
      <c r="I520" t="s">
        <v>8179</v>
      </c>
      <c r="J520">
        <v>53190</v>
      </c>
      <c r="K520">
        <v>53204</v>
      </c>
      <c r="L520">
        <v>14</v>
      </c>
      <c r="M520" t="s">
        <v>2445</v>
      </c>
      <c r="N520" t="s">
        <v>2446</v>
      </c>
      <c r="O520" t="s">
        <v>2443</v>
      </c>
      <c r="P520" t="s">
        <v>8180</v>
      </c>
      <c r="Q520" t="s">
        <v>8181</v>
      </c>
    </row>
    <row r="521" spans="1:17" x14ac:dyDescent="0.25">
      <c r="A521" t="s">
        <v>8182</v>
      </c>
      <c r="B521" t="s">
        <v>8183</v>
      </c>
      <c r="C521" t="s">
        <v>8184</v>
      </c>
      <c r="D521" t="s">
        <v>3175</v>
      </c>
      <c r="E521">
        <v>2020</v>
      </c>
      <c r="F521" t="s">
        <v>8185</v>
      </c>
      <c r="G521" t="s">
        <v>5059</v>
      </c>
      <c r="H521" t="s">
        <v>5059</v>
      </c>
      <c r="I521" t="s">
        <v>5059</v>
      </c>
      <c r="J521">
        <v>61</v>
      </c>
      <c r="K521">
        <v>66</v>
      </c>
      <c r="L521">
        <v>5</v>
      </c>
      <c r="M521" t="s">
        <v>3178</v>
      </c>
      <c r="N521" t="s">
        <v>3179</v>
      </c>
      <c r="O521" t="s">
        <v>3176</v>
      </c>
      <c r="P521" t="s">
        <v>8186</v>
      </c>
      <c r="Q521" t="s">
        <v>8187</v>
      </c>
    </row>
    <row r="522" spans="1:17" x14ac:dyDescent="0.25">
      <c r="A522" t="s">
        <v>8188</v>
      </c>
      <c r="B522" t="s">
        <v>8189</v>
      </c>
      <c r="C522" t="s">
        <v>8190</v>
      </c>
      <c r="D522" t="s">
        <v>3189</v>
      </c>
      <c r="E522">
        <v>2020</v>
      </c>
      <c r="F522" t="s">
        <v>7575</v>
      </c>
      <c r="G522" t="s">
        <v>8191</v>
      </c>
      <c r="H522" t="s">
        <v>5059</v>
      </c>
      <c r="I522" t="s">
        <v>8192</v>
      </c>
      <c r="M522" t="s">
        <v>5059</v>
      </c>
      <c r="N522" t="s">
        <v>3192</v>
      </c>
      <c r="O522" t="s">
        <v>3190</v>
      </c>
      <c r="P522" t="s">
        <v>5059</v>
      </c>
      <c r="Q522" t="s">
        <v>8193</v>
      </c>
    </row>
    <row r="523" spans="1:17" x14ac:dyDescent="0.25">
      <c r="A523" t="s">
        <v>8194</v>
      </c>
      <c r="B523" t="s">
        <v>8195</v>
      </c>
      <c r="C523" t="s">
        <v>8196</v>
      </c>
      <c r="D523" t="s">
        <v>3195</v>
      </c>
      <c r="E523">
        <v>2020</v>
      </c>
      <c r="F523" t="s">
        <v>8197</v>
      </c>
      <c r="G523" t="s">
        <v>5050</v>
      </c>
      <c r="H523" t="s">
        <v>5180</v>
      </c>
      <c r="I523" t="s">
        <v>5059</v>
      </c>
      <c r="J523">
        <v>334</v>
      </c>
      <c r="K523">
        <v>363</v>
      </c>
      <c r="L523">
        <v>29</v>
      </c>
      <c r="M523" t="s">
        <v>3198</v>
      </c>
      <c r="N523" t="s">
        <v>3199</v>
      </c>
      <c r="O523" t="s">
        <v>3196</v>
      </c>
      <c r="P523" t="s">
        <v>8198</v>
      </c>
      <c r="Q523" t="s">
        <v>8199</v>
      </c>
    </row>
    <row r="524" spans="1:17" x14ac:dyDescent="0.25">
      <c r="A524" t="s">
        <v>8200</v>
      </c>
      <c r="B524" t="s">
        <v>8201</v>
      </c>
      <c r="C524" t="s">
        <v>8202</v>
      </c>
      <c r="D524" t="s">
        <v>2469</v>
      </c>
      <c r="E524">
        <v>2021</v>
      </c>
      <c r="F524" t="s">
        <v>7698</v>
      </c>
      <c r="G524" t="s">
        <v>8203</v>
      </c>
      <c r="H524" t="s">
        <v>5059</v>
      </c>
      <c r="I524" t="s">
        <v>5059</v>
      </c>
      <c r="J524">
        <v>185</v>
      </c>
      <c r="K524">
        <v>210</v>
      </c>
      <c r="L524">
        <v>25</v>
      </c>
      <c r="M524" t="s">
        <v>2472</v>
      </c>
      <c r="N524" t="s">
        <v>2473</v>
      </c>
      <c r="O524" t="s">
        <v>2470</v>
      </c>
      <c r="P524" t="s">
        <v>2471</v>
      </c>
      <c r="Q524" t="s">
        <v>8204</v>
      </c>
    </row>
    <row r="525" spans="1:17" x14ac:dyDescent="0.25">
      <c r="A525" t="s">
        <v>8205</v>
      </c>
      <c r="B525" t="s">
        <v>8206</v>
      </c>
      <c r="C525" t="s">
        <v>8207</v>
      </c>
      <c r="D525" t="s">
        <v>3209</v>
      </c>
      <c r="E525">
        <v>2020</v>
      </c>
      <c r="F525" t="s">
        <v>8208</v>
      </c>
      <c r="G525" t="s">
        <v>5059</v>
      </c>
      <c r="H525" t="s">
        <v>5059</v>
      </c>
      <c r="I525" t="s">
        <v>8209</v>
      </c>
      <c r="M525" t="s">
        <v>3212</v>
      </c>
      <c r="N525" t="s">
        <v>3213</v>
      </c>
      <c r="O525" t="s">
        <v>3210</v>
      </c>
      <c r="P525" t="s">
        <v>8210</v>
      </c>
      <c r="Q525" t="s">
        <v>8211</v>
      </c>
    </row>
    <row r="526" spans="1:17" x14ac:dyDescent="0.25">
      <c r="A526" t="s">
        <v>8212</v>
      </c>
      <c r="B526" t="s">
        <v>8213</v>
      </c>
      <c r="C526" t="s">
        <v>8214</v>
      </c>
      <c r="D526" t="s">
        <v>3216</v>
      </c>
      <c r="E526">
        <v>2020</v>
      </c>
      <c r="F526" t="s">
        <v>8072</v>
      </c>
      <c r="G526" t="s">
        <v>5059</v>
      </c>
      <c r="H526" t="s">
        <v>5059</v>
      </c>
      <c r="I526" t="s">
        <v>8215</v>
      </c>
      <c r="J526">
        <v>922</v>
      </c>
      <c r="K526">
        <v>931</v>
      </c>
      <c r="L526">
        <v>9</v>
      </c>
      <c r="M526" t="s">
        <v>3219</v>
      </c>
      <c r="N526" t="s">
        <v>3220</v>
      </c>
      <c r="O526" t="s">
        <v>3217</v>
      </c>
      <c r="P526" t="s">
        <v>5059</v>
      </c>
      <c r="Q526" t="s">
        <v>8216</v>
      </c>
    </row>
    <row r="527" spans="1:17" x14ac:dyDescent="0.25">
      <c r="A527" t="s">
        <v>8217</v>
      </c>
      <c r="B527" t="s">
        <v>8218</v>
      </c>
      <c r="C527" t="s">
        <v>8219</v>
      </c>
      <c r="D527" t="s">
        <v>3223</v>
      </c>
      <c r="E527">
        <v>2020</v>
      </c>
      <c r="F527" t="s">
        <v>8220</v>
      </c>
      <c r="G527" t="s">
        <v>5059</v>
      </c>
      <c r="H527" t="s">
        <v>5059</v>
      </c>
      <c r="I527" t="s">
        <v>5059</v>
      </c>
      <c r="J527">
        <v>14</v>
      </c>
      <c r="K527">
        <v>20</v>
      </c>
      <c r="L527">
        <v>6</v>
      </c>
      <c r="M527" t="s">
        <v>3226</v>
      </c>
      <c r="N527" t="s">
        <v>3227</v>
      </c>
      <c r="O527" t="s">
        <v>3224</v>
      </c>
      <c r="P527" t="s">
        <v>8221</v>
      </c>
      <c r="Q527" t="s">
        <v>8222</v>
      </c>
    </row>
    <row r="528" spans="1:17" x14ac:dyDescent="0.25">
      <c r="A528" t="s">
        <v>8223</v>
      </c>
      <c r="B528" t="s">
        <v>8224</v>
      </c>
      <c r="C528" t="s">
        <v>8225</v>
      </c>
      <c r="D528" t="s">
        <v>3237</v>
      </c>
      <c r="E528">
        <v>2020</v>
      </c>
      <c r="F528" t="s">
        <v>8226</v>
      </c>
      <c r="G528" t="s">
        <v>5059</v>
      </c>
      <c r="H528" t="s">
        <v>5059</v>
      </c>
      <c r="I528" t="s">
        <v>8227</v>
      </c>
      <c r="J528">
        <v>251</v>
      </c>
      <c r="K528">
        <v>255</v>
      </c>
      <c r="L528">
        <v>4</v>
      </c>
      <c r="M528" t="s">
        <v>3240</v>
      </c>
      <c r="N528" t="s">
        <v>3241</v>
      </c>
      <c r="O528" t="s">
        <v>3238</v>
      </c>
      <c r="P528" t="s">
        <v>8228</v>
      </c>
      <c r="Q528" t="s">
        <v>8229</v>
      </c>
    </row>
    <row r="529" spans="1:17" x14ac:dyDescent="0.25">
      <c r="A529" t="s">
        <v>8230</v>
      </c>
      <c r="B529" t="s">
        <v>8231</v>
      </c>
      <c r="C529" t="s">
        <v>8232</v>
      </c>
      <c r="D529" t="s">
        <v>3244</v>
      </c>
      <c r="E529">
        <v>2020</v>
      </c>
      <c r="F529" t="s">
        <v>8233</v>
      </c>
      <c r="G529" t="s">
        <v>8234</v>
      </c>
      <c r="H529" t="s">
        <v>5202</v>
      </c>
      <c r="I529" t="s">
        <v>6648</v>
      </c>
      <c r="M529" t="s">
        <v>3247</v>
      </c>
      <c r="N529" t="s">
        <v>3248</v>
      </c>
      <c r="O529" t="s">
        <v>3245</v>
      </c>
      <c r="P529" t="s">
        <v>8235</v>
      </c>
      <c r="Q529" t="s">
        <v>8236</v>
      </c>
    </row>
    <row r="530" spans="1:17" x14ac:dyDescent="0.25">
      <c r="A530" t="s">
        <v>7583</v>
      </c>
      <c r="B530" t="s">
        <v>7584</v>
      </c>
      <c r="C530" t="s">
        <v>7585</v>
      </c>
      <c r="D530" t="s">
        <v>3250</v>
      </c>
      <c r="E530">
        <v>2019</v>
      </c>
      <c r="F530" t="s">
        <v>4039</v>
      </c>
      <c r="G530" t="s">
        <v>8237</v>
      </c>
      <c r="H530" t="s">
        <v>5059</v>
      </c>
      <c r="I530" t="s">
        <v>8238</v>
      </c>
      <c r="M530" t="s">
        <v>3253</v>
      </c>
      <c r="N530" t="s">
        <v>3254</v>
      </c>
      <c r="O530" t="s">
        <v>3251</v>
      </c>
      <c r="P530" t="s">
        <v>8239</v>
      </c>
      <c r="Q530" t="s">
        <v>8240</v>
      </c>
    </row>
    <row r="531" spans="1:17" x14ac:dyDescent="0.25">
      <c r="A531" t="s">
        <v>8241</v>
      </c>
      <c r="B531" t="s">
        <v>8242</v>
      </c>
      <c r="C531" t="s">
        <v>8243</v>
      </c>
      <c r="D531" t="s">
        <v>2545</v>
      </c>
      <c r="E531">
        <v>2020</v>
      </c>
      <c r="F531" t="s">
        <v>8244</v>
      </c>
      <c r="G531" t="s">
        <v>5059</v>
      </c>
      <c r="H531" t="s">
        <v>5059</v>
      </c>
      <c r="I531" t="s">
        <v>8245</v>
      </c>
      <c r="J531">
        <v>70</v>
      </c>
      <c r="K531">
        <v>75</v>
      </c>
      <c r="L531">
        <v>5</v>
      </c>
      <c r="M531" t="s">
        <v>2548</v>
      </c>
      <c r="N531" t="s">
        <v>2549</v>
      </c>
      <c r="O531" t="s">
        <v>2546</v>
      </c>
      <c r="P531" t="s">
        <v>8246</v>
      </c>
      <c r="Q531" t="s">
        <v>8247</v>
      </c>
    </row>
    <row r="532" spans="1:17" x14ac:dyDescent="0.25">
      <c r="A532" t="s">
        <v>8248</v>
      </c>
      <c r="B532" t="s">
        <v>8249</v>
      </c>
      <c r="C532" t="s">
        <v>8250</v>
      </c>
      <c r="D532" t="s">
        <v>3257</v>
      </c>
      <c r="E532">
        <v>2020</v>
      </c>
      <c r="F532" t="s">
        <v>4157</v>
      </c>
      <c r="G532" t="s">
        <v>8251</v>
      </c>
      <c r="H532" t="s">
        <v>5059</v>
      </c>
      <c r="I532" t="s">
        <v>8252</v>
      </c>
      <c r="M532" t="s">
        <v>3260</v>
      </c>
      <c r="N532" t="s">
        <v>3261</v>
      </c>
      <c r="O532" t="s">
        <v>3258</v>
      </c>
      <c r="P532" t="s">
        <v>8253</v>
      </c>
      <c r="Q532" t="s">
        <v>8254</v>
      </c>
    </row>
    <row r="533" spans="1:17" x14ac:dyDescent="0.25">
      <c r="A533" t="s">
        <v>8255</v>
      </c>
      <c r="B533" t="s">
        <v>8256</v>
      </c>
      <c r="C533" t="s">
        <v>8257</v>
      </c>
      <c r="D533" t="s">
        <v>3264</v>
      </c>
      <c r="E533">
        <v>2020</v>
      </c>
      <c r="F533" t="s">
        <v>5186</v>
      </c>
      <c r="G533" t="s">
        <v>5050</v>
      </c>
      <c r="H533" t="s">
        <v>5059</v>
      </c>
      <c r="I533" t="s">
        <v>8258</v>
      </c>
      <c r="J533">
        <v>5049</v>
      </c>
      <c r="K533">
        <v>5064</v>
      </c>
      <c r="L533">
        <v>15</v>
      </c>
      <c r="M533" t="s">
        <v>3267</v>
      </c>
      <c r="N533" t="s">
        <v>3268</v>
      </c>
      <c r="O533" t="s">
        <v>3265</v>
      </c>
      <c r="P533" t="s">
        <v>8259</v>
      </c>
      <c r="Q533" t="s">
        <v>8260</v>
      </c>
    </row>
    <row r="534" spans="1:17" x14ac:dyDescent="0.25">
      <c r="A534" t="s">
        <v>7689</v>
      </c>
      <c r="B534" t="s">
        <v>7690</v>
      </c>
      <c r="C534" t="s">
        <v>7691</v>
      </c>
      <c r="D534" t="s">
        <v>3270</v>
      </c>
      <c r="E534">
        <v>2020</v>
      </c>
      <c r="F534" t="s">
        <v>8072</v>
      </c>
      <c r="G534" t="s">
        <v>5059</v>
      </c>
      <c r="H534" t="s">
        <v>5059</v>
      </c>
      <c r="I534" t="s">
        <v>8261</v>
      </c>
      <c r="J534">
        <v>1433</v>
      </c>
      <c r="K534">
        <v>1441</v>
      </c>
      <c r="L534">
        <v>8</v>
      </c>
      <c r="M534" t="s">
        <v>3273</v>
      </c>
      <c r="N534" t="s">
        <v>3274</v>
      </c>
      <c r="O534" t="s">
        <v>3271</v>
      </c>
      <c r="P534" t="s">
        <v>5059</v>
      </c>
      <c r="Q534" t="s">
        <v>8262</v>
      </c>
    </row>
    <row r="535" spans="1:17" x14ac:dyDescent="0.25">
      <c r="A535" t="s">
        <v>8263</v>
      </c>
      <c r="B535" t="s">
        <v>8264</v>
      </c>
      <c r="C535" t="s">
        <v>8265</v>
      </c>
      <c r="D535" t="s">
        <v>2552</v>
      </c>
      <c r="E535">
        <v>2021</v>
      </c>
      <c r="F535" t="s">
        <v>8266</v>
      </c>
      <c r="G535" t="s">
        <v>8267</v>
      </c>
      <c r="H535" t="s">
        <v>5059</v>
      </c>
      <c r="I535" t="s">
        <v>8268</v>
      </c>
      <c r="M535" t="s">
        <v>2554</v>
      </c>
      <c r="N535" t="s">
        <v>2555</v>
      </c>
      <c r="O535" t="s">
        <v>2553</v>
      </c>
      <c r="P535" t="s">
        <v>5059</v>
      </c>
      <c r="Q535" t="s">
        <v>8269</v>
      </c>
    </row>
    <row r="536" spans="1:17" x14ac:dyDescent="0.25">
      <c r="A536" t="s">
        <v>8270</v>
      </c>
      <c r="B536" t="s">
        <v>8271</v>
      </c>
      <c r="C536" t="s">
        <v>8272</v>
      </c>
      <c r="D536" t="s">
        <v>2558</v>
      </c>
      <c r="E536">
        <v>2020</v>
      </c>
      <c r="F536" t="s">
        <v>8273</v>
      </c>
      <c r="G536" t="s">
        <v>5059</v>
      </c>
      <c r="H536" t="s">
        <v>5059</v>
      </c>
      <c r="I536" t="s">
        <v>8274</v>
      </c>
      <c r="M536" t="s">
        <v>2561</v>
      </c>
      <c r="N536" t="s">
        <v>2562</v>
      </c>
      <c r="O536" t="s">
        <v>2559</v>
      </c>
      <c r="P536" t="s">
        <v>5059</v>
      </c>
      <c r="Q536" t="s">
        <v>8275</v>
      </c>
    </row>
    <row r="537" spans="1:17" x14ac:dyDescent="0.25">
      <c r="A537" t="s">
        <v>8276</v>
      </c>
      <c r="B537" t="s">
        <v>8277</v>
      </c>
      <c r="C537" t="s">
        <v>8278</v>
      </c>
      <c r="D537" t="s">
        <v>3284</v>
      </c>
      <c r="E537">
        <v>2020</v>
      </c>
      <c r="F537" t="s">
        <v>8279</v>
      </c>
      <c r="G537" t="s">
        <v>8131</v>
      </c>
      <c r="H537" t="s">
        <v>5059</v>
      </c>
      <c r="I537" t="s">
        <v>8280</v>
      </c>
      <c r="M537" t="s">
        <v>3287</v>
      </c>
      <c r="N537" t="s">
        <v>3288</v>
      </c>
      <c r="O537" t="s">
        <v>3285</v>
      </c>
      <c r="P537" t="s">
        <v>8281</v>
      </c>
      <c r="Q537" t="s">
        <v>8282</v>
      </c>
    </row>
    <row r="538" spans="1:17" x14ac:dyDescent="0.25">
      <c r="A538" t="s">
        <v>8283</v>
      </c>
      <c r="B538" t="s">
        <v>8284</v>
      </c>
      <c r="C538" t="s">
        <v>8285</v>
      </c>
      <c r="D538" t="s">
        <v>3298</v>
      </c>
      <c r="E538">
        <v>2020</v>
      </c>
      <c r="F538" t="s">
        <v>6938</v>
      </c>
      <c r="G538" t="s">
        <v>5059</v>
      </c>
      <c r="H538" t="s">
        <v>5059</v>
      </c>
      <c r="I538" t="s">
        <v>5059</v>
      </c>
      <c r="J538">
        <v>146</v>
      </c>
      <c r="K538">
        <v>151</v>
      </c>
      <c r="L538">
        <v>5</v>
      </c>
      <c r="M538" t="s">
        <v>3301</v>
      </c>
      <c r="N538" t="s">
        <v>3302</v>
      </c>
      <c r="O538" t="s">
        <v>3299</v>
      </c>
      <c r="P538" t="s">
        <v>8286</v>
      </c>
      <c r="Q538" t="s">
        <v>8287</v>
      </c>
    </row>
    <row r="539" spans="1:17" x14ac:dyDescent="0.25">
      <c r="A539" t="s">
        <v>8288</v>
      </c>
      <c r="B539" t="s">
        <v>8289</v>
      </c>
      <c r="C539" t="s">
        <v>8290</v>
      </c>
      <c r="D539" t="s">
        <v>3305</v>
      </c>
      <c r="E539">
        <v>2019</v>
      </c>
      <c r="F539" t="s">
        <v>8291</v>
      </c>
      <c r="G539" t="s">
        <v>5059</v>
      </c>
      <c r="H539" t="s">
        <v>5059</v>
      </c>
      <c r="I539" t="s">
        <v>8292</v>
      </c>
      <c r="J539">
        <v>242</v>
      </c>
      <c r="K539">
        <v>247</v>
      </c>
      <c r="L539">
        <v>5</v>
      </c>
      <c r="M539" t="s">
        <v>3308</v>
      </c>
      <c r="N539" t="s">
        <v>3309</v>
      </c>
      <c r="O539" t="s">
        <v>3306</v>
      </c>
      <c r="P539" t="s">
        <v>8293</v>
      </c>
      <c r="Q539" t="s">
        <v>8294</v>
      </c>
    </row>
    <row r="540" spans="1:17" x14ac:dyDescent="0.25">
      <c r="A540" t="s">
        <v>8295</v>
      </c>
      <c r="B540" t="s">
        <v>8296</v>
      </c>
      <c r="C540" t="s">
        <v>8297</v>
      </c>
      <c r="D540" t="s">
        <v>2565</v>
      </c>
      <c r="E540">
        <v>2020</v>
      </c>
      <c r="F540" t="s">
        <v>8298</v>
      </c>
      <c r="G540" t="s">
        <v>5059</v>
      </c>
      <c r="H540" t="s">
        <v>5059</v>
      </c>
      <c r="I540" t="s">
        <v>8299</v>
      </c>
      <c r="J540">
        <v>1178</v>
      </c>
      <c r="K540">
        <v>1182</v>
      </c>
      <c r="L540">
        <v>4</v>
      </c>
      <c r="M540" t="s">
        <v>2568</v>
      </c>
      <c r="N540" t="s">
        <v>2569</v>
      </c>
      <c r="O540" t="s">
        <v>2566</v>
      </c>
      <c r="P540" t="s">
        <v>8300</v>
      </c>
      <c r="Q540" t="s">
        <v>8301</v>
      </c>
    </row>
    <row r="541" spans="1:17" x14ac:dyDescent="0.25">
      <c r="A541" t="s">
        <v>8302</v>
      </c>
      <c r="B541" t="s">
        <v>8303</v>
      </c>
      <c r="C541" t="s">
        <v>8304</v>
      </c>
      <c r="D541" t="s">
        <v>2572</v>
      </c>
      <c r="E541">
        <v>2021</v>
      </c>
      <c r="F541" t="s">
        <v>5214</v>
      </c>
      <c r="G541" t="s">
        <v>8305</v>
      </c>
      <c r="H541" t="s">
        <v>5059</v>
      </c>
      <c r="I541" t="s">
        <v>5059</v>
      </c>
      <c r="J541">
        <v>649</v>
      </c>
      <c r="K541">
        <v>658</v>
      </c>
      <c r="L541">
        <v>9</v>
      </c>
      <c r="M541" t="s">
        <v>2575</v>
      </c>
      <c r="N541" t="s">
        <v>2576</v>
      </c>
      <c r="O541" t="s">
        <v>2573</v>
      </c>
      <c r="P541" t="s">
        <v>2574</v>
      </c>
      <c r="Q541" t="s">
        <v>8306</v>
      </c>
    </row>
    <row r="542" spans="1:17" x14ac:dyDescent="0.25">
      <c r="A542" t="s">
        <v>8307</v>
      </c>
      <c r="B542" t="s">
        <v>8308</v>
      </c>
      <c r="C542" t="s">
        <v>8309</v>
      </c>
      <c r="D542" t="s">
        <v>3340</v>
      </c>
      <c r="E542">
        <v>2020</v>
      </c>
      <c r="F542" t="s">
        <v>8072</v>
      </c>
      <c r="G542" t="s">
        <v>5059</v>
      </c>
      <c r="H542" t="s">
        <v>5059</v>
      </c>
      <c r="I542" t="s">
        <v>8310</v>
      </c>
      <c r="J542">
        <v>398</v>
      </c>
      <c r="K542">
        <v>404</v>
      </c>
      <c r="L542">
        <v>6</v>
      </c>
      <c r="M542" t="s">
        <v>3343</v>
      </c>
      <c r="N542" t="s">
        <v>3344</v>
      </c>
      <c r="O542" t="s">
        <v>3341</v>
      </c>
      <c r="P542" t="s">
        <v>8311</v>
      </c>
      <c r="Q542" t="s">
        <v>8312</v>
      </c>
    </row>
    <row r="543" spans="1:17" x14ac:dyDescent="0.25">
      <c r="A543" t="s">
        <v>8313</v>
      </c>
      <c r="B543" t="s">
        <v>8314</v>
      </c>
      <c r="C543" t="s">
        <v>8315</v>
      </c>
      <c r="D543" t="s">
        <v>2593</v>
      </c>
      <c r="E543">
        <v>2020</v>
      </c>
      <c r="F543" t="s">
        <v>8273</v>
      </c>
      <c r="G543" t="s">
        <v>5059</v>
      </c>
      <c r="H543" t="s">
        <v>5059</v>
      </c>
      <c r="I543" t="s">
        <v>8316</v>
      </c>
      <c r="M543" t="s">
        <v>2596</v>
      </c>
      <c r="N543" t="s">
        <v>2597</v>
      </c>
      <c r="O543" t="s">
        <v>2594</v>
      </c>
      <c r="P543" t="s">
        <v>8317</v>
      </c>
      <c r="Q543" t="s">
        <v>8318</v>
      </c>
    </row>
    <row r="544" spans="1:17" x14ac:dyDescent="0.25">
      <c r="A544" t="s">
        <v>8319</v>
      </c>
      <c r="B544" t="s">
        <v>8320</v>
      </c>
      <c r="C544" t="s">
        <v>8321</v>
      </c>
      <c r="D544" t="s">
        <v>2614</v>
      </c>
      <c r="E544">
        <v>2021</v>
      </c>
      <c r="F544" t="s">
        <v>8322</v>
      </c>
      <c r="G544" t="s">
        <v>8174</v>
      </c>
      <c r="H544" t="s">
        <v>5059</v>
      </c>
      <c r="I544" t="s">
        <v>5059</v>
      </c>
      <c r="J544">
        <v>1</v>
      </c>
      <c r="K544">
        <v>17</v>
      </c>
      <c r="L544">
        <v>16</v>
      </c>
      <c r="M544" t="s">
        <v>5059</v>
      </c>
      <c r="N544" t="s">
        <v>2617</v>
      </c>
      <c r="O544" t="s">
        <v>2615</v>
      </c>
      <c r="P544" t="s">
        <v>5059</v>
      </c>
      <c r="Q544" t="s">
        <v>8323</v>
      </c>
    </row>
    <row r="545" spans="1:17" x14ac:dyDescent="0.25">
      <c r="A545" t="s">
        <v>8324</v>
      </c>
      <c r="B545" t="s">
        <v>8325</v>
      </c>
      <c r="C545" t="s">
        <v>8326</v>
      </c>
      <c r="D545" t="s">
        <v>3373</v>
      </c>
      <c r="E545">
        <v>2020</v>
      </c>
      <c r="F545" t="s">
        <v>8078</v>
      </c>
      <c r="G545" t="s">
        <v>8327</v>
      </c>
      <c r="H545" t="s">
        <v>5202</v>
      </c>
      <c r="I545" t="s">
        <v>8328</v>
      </c>
      <c r="M545" t="s">
        <v>3375</v>
      </c>
      <c r="N545" t="s">
        <v>3376</v>
      </c>
      <c r="O545" t="s">
        <v>3374</v>
      </c>
      <c r="P545" t="s">
        <v>5059</v>
      </c>
      <c r="Q545" t="s">
        <v>8329</v>
      </c>
    </row>
    <row r="546" spans="1:17" x14ac:dyDescent="0.25">
      <c r="A546" t="s">
        <v>8330</v>
      </c>
      <c r="B546" t="s">
        <v>8331</v>
      </c>
      <c r="C546" t="s">
        <v>8332</v>
      </c>
      <c r="D546" t="s">
        <v>3379</v>
      </c>
      <c r="E546">
        <v>2020</v>
      </c>
      <c r="F546" t="s">
        <v>8333</v>
      </c>
      <c r="G546" t="s">
        <v>5059</v>
      </c>
      <c r="H546" t="s">
        <v>5059</v>
      </c>
      <c r="I546" t="s">
        <v>5059</v>
      </c>
      <c r="M546" t="s">
        <v>3382</v>
      </c>
      <c r="N546" t="s">
        <v>3383</v>
      </c>
      <c r="O546" t="s">
        <v>3380</v>
      </c>
      <c r="P546" t="s">
        <v>5059</v>
      </c>
      <c r="Q546" t="s">
        <v>8334</v>
      </c>
    </row>
    <row r="547" spans="1:17" x14ac:dyDescent="0.25">
      <c r="A547" t="s">
        <v>8335</v>
      </c>
      <c r="B547" t="s">
        <v>8336</v>
      </c>
      <c r="C547" t="s">
        <v>8337</v>
      </c>
      <c r="D547" t="s">
        <v>3386</v>
      </c>
      <c r="E547">
        <v>2019</v>
      </c>
      <c r="F547" t="s">
        <v>8117</v>
      </c>
      <c r="G547" t="s">
        <v>5059</v>
      </c>
      <c r="H547" t="s">
        <v>5059</v>
      </c>
      <c r="I547" t="s">
        <v>8338</v>
      </c>
      <c r="J547">
        <v>237</v>
      </c>
      <c r="K547">
        <v>246</v>
      </c>
      <c r="L547">
        <v>9</v>
      </c>
      <c r="M547" t="s">
        <v>3389</v>
      </c>
      <c r="N547" t="s">
        <v>3390</v>
      </c>
      <c r="O547" t="s">
        <v>3387</v>
      </c>
      <c r="P547" t="s">
        <v>8339</v>
      </c>
      <c r="Q547" t="s">
        <v>8340</v>
      </c>
    </row>
    <row r="548" spans="1:17" x14ac:dyDescent="0.25">
      <c r="A548" t="s">
        <v>8341</v>
      </c>
      <c r="B548" t="s">
        <v>8342</v>
      </c>
      <c r="C548" t="s">
        <v>8343</v>
      </c>
      <c r="D548" t="s">
        <v>2647</v>
      </c>
      <c r="E548">
        <v>2020</v>
      </c>
      <c r="F548" t="s">
        <v>4039</v>
      </c>
      <c r="G548" t="s">
        <v>8131</v>
      </c>
      <c r="H548" t="s">
        <v>5059</v>
      </c>
      <c r="I548" t="s">
        <v>8344</v>
      </c>
      <c r="M548" t="s">
        <v>2650</v>
      </c>
      <c r="N548" t="s">
        <v>2651</v>
      </c>
      <c r="O548" t="s">
        <v>2648</v>
      </c>
      <c r="P548" t="s">
        <v>8345</v>
      </c>
      <c r="Q548" t="s">
        <v>8346</v>
      </c>
    </row>
    <row r="549" spans="1:17" x14ac:dyDescent="0.25">
      <c r="A549" t="s">
        <v>8347</v>
      </c>
      <c r="B549" t="s">
        <v>8348</v>
      </c>
      <c r="C549" t="s">
        <v>8349</v>
      </c>
      <c r="D549" t="s">
        <v>3393</v>
      </c>
      <c r="E549">
        <v>2020</v>
      </c>
      <c r="F549" t="s">
        <v>8350</v>
      </c>
      <c r="G549" t="s">
        <v>5059</v>
      </c>
      <c r="H549" t="s">
        <v>5059</v>
      </c>
      <c r="I549" t="s">
        <v>8351</v>
      </c>
      <c r="J549">
        <v>233</v>
      </c>
      <c r="K549">
        <v>238</v>
      </c>
      <c r="L549">
        <v>5</v>
      </c>
      <c r="M549" t="s">
        <v>3396</v>
      </c>
      <c r="N549" t="s">
        <v>3397</v>
      </c>
      <c r="O549" t="s">
        <v>3394</v>
      </c>
      <c r="P549" t="s">
        <v>8352</v>
      </c>
      <c r="Q549" t="s">
        <v>8353</v>
      </c>
    </row>
    <row r="550" spans="1:17" x14ac:dyDescent="0.25">
      <c r="A550" t="s">
        <v>8354</v>
      </c>
      <c r="B550" t="s">
        <v>8355</v>
      </c>
      <c r="C550" t="s">
        <v>8356</v>
      </c>
      <c r="D550" t="s">
        <v>3400</v>
      </c>
      <c r="E550">
        <v>2019</v>
      </c>
      <c r="F550" t="s">
        <v>8357</v>
      </c>
      <c r="G550" t="s">
        <v>5059</v>
      </c>
      <c r="H550" t="s">
        <v>5059</v>
      </c>
      <c r="I550" t="s">
        <v>8358</v>
      </c>
      <c r="J550">
        <v>379</v>
      </c>
      <c r="K550">
        <v>384</v>
      </c>
      <c r="L550">
        <v>5</v>
      </c>
      <c r="M550" t="s">
        <v>3403</v>
      </c>
      <c r="N550" t="s">
        <v>3404</v>
      </c>
      <c r="O550" t="s">
        <v>3401</v>
      </c>
      <c r="P550" t="s">
        <v>8359</v>
      </c>
      <c r="Q550" t="s">
        <v>8360</v>
      </c>
    </row>
    <row r="551" spans="1:17" x14ac:dyDescent="0.25">
      <c r="A551" t="s">
        <v>8361</v>
      </c>
      <c r="B551" t="s">
        <v>8362</v>
      </c>
      <c r="C551" t="s">
        <v>8363</v>
      </c>
      <c r="D551" t="s">
        <v>2661</v>
      </c>
      <c r="E551">
        <v>2020</v>
      </c>
      <c r="F551" t="s">
        <v>4039</v>
      </c>
      <c r="G551" t="s">
        <v>8131</v>
      </c>
      <c r="H551" t="s">
        <v>5059</v>
      </c>
      <c r="I551" t="s">
        <v>8364</v>
      </c>
      <c r="M551" t="s">
        <v>2664</v>
      </c>
      <c r="N551" t="s">
        <v>2665</v>
      </c>
      <c r="O551" t="s">
        <v>2662</v>
      </c>
      <c r="P551" t="s">
        <v>8365</v>
      </c>
      <c r="Q551" t="s">
        <v>8366</v>
      </c>
    </row>
    <row r="552" spans="1:17" x14ac:dyDescent="0.25">
      <c r="A552" t="s">
        <v>8367</v>
      </c>
      <c r="B552" t="s">
        <v>8368</v>
      </c>
      <c r="C552" t="s">
        <v>8369</v>
      </c>
      <c r="D552" t="s">
        <v>3407</v>
      </c>
      <c r="E552">
        <v>2020</v>
      </c>
      <c r="F552" t="s">
        <v>6455</v>
      </c>
      <c r="G552" t="s">
        <v>8370</v>
      </c>
      <c r="H552" t="s">
        <v>5059</v>
      </c>
      <c r="I552" t="s">
        <v>8371</v>
      </c>
      <c r="M552" t="s">
        <v>3410</v>
      </c>
      <c r="N552" t="s">
        <v>3411</v>
      </c>
      <c r="O552" t="s">
        <v>3408</v>
      </c>
      <c r="P552" t="s">
        <v>8372</v>
      </c>
      <c r="Q552" t="s">
        <v>8373</v>
      </c>
    </row>
    <row r="553" spans="1:17" x14ac:dyDescent="0.25">
      <c r="A553" t="s">
        <v>8374</v>
      </c>
      <c r="B553" t="s">
        <v>8375</v>
      </c>
      <c r="C553" t="s">
        <v>8376</v>
      </c>
      <c r="D553" t="s">
        <v>3414</v>
      </c>
      <c r="E553">
        <v>2019</v>
      </c>
      <c r="F553" t="s">
        <v>8377</v>
      </c>
      <c r="G553" t="s">
        <v>5754</v>
      </c>
      <c r="H553" t="s">
        <v>5202</v>
      </c>
      <c r="I553" t="s">
        <v>5059</v>
      </c>
      <c r="J553">
        <v>2127</v>
      </c>
      <c r="K553">
        <v>2134</v>
      </c>
      <c r="L553">
        <v>7</v>
      </c>
      <c r="M553" t="s">
        <v>3417</v>
      </c>
      <c r="N553" t="s">
        <v>3418</v>
      </c>
      <c r="O553" t="s">
        <v>3415</v>
      </c>
      <c r="P553" t="s">
        <v>3416</v>
      </c>
      <c r="Q553" t="s">
        <v>8378</v>
      </c>
    </row>
    <row r="554" spans="1:17" x14ac:dyDescent="0.25">
      <c r="A554" t="s">
        <v>8379</v>
      </c>
      <c r="B554" t="s">
        <v>8380</v>
      </c>
      <c r="C554" t="s">
        <v>8381</v>
      </c>
      <c r="D554" t="s">
        <v>2696</v>
      </c>
      <c r="E554">
        <v>2021</v>
      </c>
      <c r="F554" t="s">
        <v>8322</v>
      </c>
      <c r="G554" t="s">
        <v>5059</v>
      </c>
      <c r="H554" t="s">
        <v>5059</v>
      </c>
      <c r="I554" t="s">
        <v>5059</v>
      </c>
      <c r="J554">
        <v>1</v>
      </c>
      <c r="K554">
        <v>13</v>
      </c>
      <c r="L554">
        <v>12</v>
      </c>
      <c r="M554" t="s">
        <v>5059</v>
      </c>
      <c r="N554" t="s">
        <v>2699</v>
      </c>
      <c r="O554" t="s">
        <v>2697</v>
      </c>
      <c r="P554" t="s">
        <v>5059</v>
      </c>
      <c r="Q554" t="s">
        <v>8382</v>
      </c>
    </row>
    <row r="555" spans="1:17" x14ac:dyDescent="0.25">
      <c r="A555" t="s">
        <v>8383</v>
      </c>
      <c r="B555" t="s">
        <v>8384</v>
      </c>
      <c r="C555" t="s">
        <v>8385</v>
      </c>
      <c r="D555" t="s">
        <v>2716</v>
      </c>
      <c r="E555">
        <v>2021</v>
      </c>
      <c r="F555" t="s">
        <v>8322</v>
      </c>
      <c r="G555" t="s">
        <v>5059</v>
      </c>
      <c r="H555" t="s">
        <v>5059</v>
      </c>
      <c r="I555" t="s">
        <v>5059</v>
      </c>
      <c r="J555">
        <v>1</v>
      </c>
      <c r="K555">
        <v>12</v>
      </c>
      <c r="L555">
        <v>11</v>
      </c>
      <c r="M555" t="s">
        <v>5059</v>
      </c>
      <c r="N555" t="s">
        <v>2719</v>
      </c>
      <c r="O555" t="s">
        <v>2717</v>
      </c>
      <c r="P555" t="s">
        <v>5059</v>
      </c>
      <c r="Q555" t="s">
        <v>8386</v>
      </c>
    </row>
    <row r="556" spans="1:17" x14ac:dyDescent="0.25">
      <c r="A556" t="s">
        <v>8387</v>
      </c>
      <c r="B556" t="s">
        <v>8388</v>
      </c>
      <c r="C556" t="s">
        <v>8389</v>
      </c>
      <c r="D556" t="s">
        <v>3432</v>
      </c>
      <c r="E556">
        <v>2020</v>
      </c>
      <c r="F556" t="s">
        <v>8390</v>
      </c>
      <c r="G556" t="s">
        <v>7820</v>
      </c>
      <c r="H556" t="s">
        <v>8391</v>
      </c>
      <c r="I556" t="s">
        <v>5059</v>
      </c>
      <c r="J556">
        <v>2729</v>
      </c>
      <c r="K556">
        <v>2743</v>
      </c>
      <c r="L556">
        <v>14</v>
      </c>
      <c r="M556" t="s">
        <v>3435</v>
      </c>
      <c r="N556" t="s">
        <v>3436</v>
      </c>
      <c r="O556" t="s">
        <v>3433</v>
      </c>
      <c r="P556" t="s">
        <v>8392</v>
      </c>
      <c r="Q556" t="s">
        <v>8393</v>
      </c>
    </row>
    <row r="557" spans="1:17" x14ac:dyDescent="0.25">
      <c r="A557" t="s">
        <v>8394</v>
      </c>
      <c r="B557" t="s">
        <v>8395</v>
      </c>
      <c r="C557" t="s">
        <v>8396</v>
      </c>
      <c r="D557" t="s">
        <v>3439</v>
      </c>
      <c r="E557">
        <v>2020</v>
      </c>
      <c r="F557" t="s">
        <v>4157</v>
      </c>
      <c r="G557" t="s">
        <v>8397</v>
      </c>
      <c r="H557" t="s">
        <v>5059</v>
      </c>
      <c r="I557" t="s">
        <v>8398</v>
      </c>
      <c r="M557" t="s">
        <v>3442</v>
      </c>
      <c r="N557" t="s">
        <v>3443</v>
      </c>
      <c r="O557" t="s">
        <v>3440</v>
      </c>
      <c r="P557" t="s">
        <v>8399</v>
      </c>
      <c r="Q557" t="s">
        <v>8400</v>
      </c>
    </row>
    <row r="558" spans="1:17" x14ac:dyDescent="0.25">
      <c r="A558" t="s">
        <v>8401</v>
      </c>
      <c r="B558" t="s">
        <v>8402</v>
      </c>
      <c r="C558" t="s">
        <v>8403</v>
      </c>
      <c r="D558" t="s">
        <v>3446</v>
      </c>
      <c r="E558">
        <v>2020</v>
      </c>
      <c r="F558" t="s">
        <v>8404</v>
      </c>
      <c r="G558" t="s">
        <v>5754</v>
      </c>
      <c r="H558" t="s">
        <v>5050</v>
      </c>
      <c r="I558" t="s">
        <v>8405</v>
      </c>
      <c r="J558">
        <v>1211</v>
      </c>
      <c r="K558">
        <v>1215</v>
      </c>
      <c r="L558">
        <v>4</v>
      </c>
      <c r="M558" t="s">
        <v>3449</v>
      </c>
      <c r="N558" t="s">
        <v>3450</v>
      </c>
      <c r="O558" t="s">
        <v>3447</v>
      </c>
      <c r="P558" t="s">
        <v>8406</v>
      </c>
      <c r="Q558" t="s">
        <v>8407</v>
      </c>
    </row>
    <row r="559" spans="1:17" x14ac:dyDescent="0.25">
      <c r="A559" t="s">
        <v>8408</v>
      </c>
      <c r="B559" t="s">
        <v>8409</v>
      </c>
      <c r="C559" t="s">
        <v>8410</v>
      </c>
      <c r="D559" t="s">
        <v>3453</v>
      </c>
      <c r="E559">
        <v>2020</v>
      </c>
      <c r="F559" t="s">
        <v>8411</v>
      </c>
      <c r="G559" t="s">
        <v>8174</v>
      </c>
      <c r="H559" t="s">
        <v>5059</v>
      </c>
      <c r="I559" t="s">
        <v>5059</v>
      </c>
      <c r="M559" t="s">
        <v>3456</v>
      </c>
      <c r="N559" t="s">
        <v>3457</v>
      </c>
      <c r="O559" t="s">
        <v>3454</v>
      </c>
      <c r="P559" t="s">
        <v>5059</v>
      </c>
      <c r="Q559" t="s">
        <v>8412</v>
      </c>
    </row>
    <row r="560" spans="1:17" x14ac:dyDescent="0.25">
      <c r="A560" t="s">
        <v>8413</v>
      </c>
      <c r="B560" t="s">
        <v>8414</v>
      </c>
      <c r="C560" t="s">
        <v>8415</v>
      </c>
      <c r="D560" t="s">
        <v>3460</v>
      </c>
      <c r="E560">
        <v>2019</v>
      </c>
      <c r="F560" t="s">
        <v>8416</v>
      </c>
      <c r="G560" t="s">
        <v>5059</v>
      </c>
      <c r="H560" t="s">
        <v>5059</v>
      </c>
      <c r="I560" t="s">
        <v>8417</v>
      </c>
      <c r="J560">
        <v>329</v>
      </c>
      <c r="K560">
        <v>333</v>
      </c>
      <c r="L560">
        <v>4</v>
      </c>
      <c r="M560" t="s">
        <v>3463</v>
      </c>
      <c r="N560" t="s">
        <v>3464</v>
      </c>
      <c r="O560" t="s">
        <v>3461</v>
      </c>
      <c r="P560" t="s">
        <v>8418</v>
      </c>
      <c r="Q560" t="s">
        <v>8419</v>
      </c>
    </row>
    <row r="561" spans="1:17" x14ac:dyDescent="0.25">
      <c r="A561" t="s">
        <v>8420</v>
      </c>
      <c r="B561" t="s">
        <v>8421</v>
      </c>
      <c r="C561" t="s">
        <v>8422</v>
      </c>
      <c r="D561" t="s">
        <v>3467</v>
      </c>
      <c r="E561">
        <v>2020</v>
      </c>
      <c r="F561" t="s">
        <v>8423</v>
      </c>
      <c r="G561" t="s">
        <v>5059</v>
      </c>
      <c r="H561" t="s">
        <v>5059</v>
      </c>
      <c r="I561" t="s">
        <v>8424</v>
      </c>
      <c r="J561">
        <v>5255</v>
      </c>
      <c r="K561">
        <v>5261</v>
      </c>
      <c r="L561">
        <v>6</v>
      </c>
      <c r="M561" t="s">
        <v>3470</v>
      </c>
      <c r="N561" t="s">
        <v>3471</v>
      </c>
      <c r="O561" t="s">
        <v>3468</v>
      </c>
      <c r="P561" t="s">
        <v>5059</v>
      </c>
      <c r="Q561" t="s">
        <v>8425</v>
      </c>
    </row>
    <row r="562" spans="1:17" x14ac:dyDescent="0.25">
      <c r="A562" t="s">
        <v>8426</v>
      </c>
      <c r="B562" t="s">
        <v>8427</v>
      </c>
      <c r="C562" t="s">
        <v>8428</v>
      </c>
      <c r="D562" t="s">
        <v>3481</v>
      </c>
      <c r="E562">
        <v>2020</v>
      </c>
      <c r="F562" t="s">
        <v>8072</v>
      </c>
      <c r="G562" t="s">
        <v>5059</v>
      </c>
      <c r="H562" t="s">
        <v>5059</v>
      </c>
      <c r="I562" t="s">
        <v>8429</v>
      </c>
      <c r="J562">
        <v>1546</v>
      </c>
      <c r="K562">
        <v>1552</v>
      </c>
      <c r="L562">
        <v>6</v>
      </c>
      <c r="M562" t="s">
        <v>3484</v>
      </c>
      <c r="N562" t="s">
        <v>3485</v>
      </c>
      <c r="O562" t="s">
        <v>3482</v>
      </c>
      <c r="P562" t="s">
        <v>5059</v>
      </c>
      <c r="Q562" t="s">
        <v>8430</v>
      </c>
    </row>
    <row r="563" spans="1:17" x14ac:dyDescent="0.25">
      <c r="A563" t="s">
        <v>8431</v>
      </c>
      <c r="B563" t="s">
        <v>8432</v>
      </c>
      <c r="C563" t="s">
        <v>8433</v>
      </c>
      <c r="D563" t="s">
        <v>2757</v>
      </c>
      <c r="E563">
        <v>2020</v>
      </c>
      <c r="F563" t="s">
        <v>8434</v>
      </c>
      <c r="G563" t="s">
        <v>5059</v>
      </c>
      <c r="H563" t="s">
        <v>5059</v>
      </c>
      <c r="I563" t="s">
        <v>8435</v>
      </c>
      <c r="J563">
        <v>7919</v>
      </c>
      <c r="K563">
        <v>7926</v>
      </c>
      <c r="L563">
        <v>7</v>
      </c>
      <c r="M563" t="s">
        <v>2760</v>
      </c>
      <c r="N563" t="s">
        <v>2761</v>
      </c>
      <c r="O563" t="s">
        <v>2758</v>
      </c>
      <c r="P563" t="s">
        <v>5059</v>
      </c>
      <c r="Q563" t="s">
        <v>8436</v>
      </c>
    </row>
    <row r="564" spans="1:17" x14ac:dyDescent="0.25">
      <c r="A564" t="s">
        <v>8437</v>
      </c>
      <c r="B564" t="s">
        <v>8438</v>
      </c>
      <c r="C564" t="s">
        <v>8439</v>
      </c>
      <c r="D564" t="s">
        <v>3516</v>
      </c>
      <c r="E564">
        <v>2019</v>
      </c>
      <c r="F564" t="s">
        <v>8440</v>
      </c>
      <c r="G564" t="s">
        <v>8441</v>
      </c>
      <c r="H564" t="s">
        <v>5367</v>
      </c>
      <c r="I564" t="s">
        <v>8442</v>
      </c>
      <c r="J564">
        <v>540</v>
      </c>
      <c r="K564">
        <v>549</v>
      </c>
      <c r="L564">
        <v>9</v>
      </c>
      <c r="M564" t="s">
        <v>3519</v>
      </c>
      <c r="N564" t="s">
        <v>3520</v>
      </c>
      <c r="O564" t="s">
        <v>3517</v>
      </c>
      <c r="P564" t="s">
        <v>8443</v>
      </c>
      <c r="Q564" t="s">
        <v>8444</v>
      </c>
    </row>
    <row r="565" spans="1:17" x14ac:dyDescent="0.25">
      <c r="A565" t="s">
        <v>7432</v>
      </c>
      <c r="B565" t="s">
        <v>7433</v>
      </c>
      <c r="C565" t="s">
        <v>7434</v>
      </c>
      <c r="D565" t="s">
        <v>2796</v>
      </c>
      <c r="E565">
        <v>2020</v>
      </c>
      <c r="F565" t="s">
        <v>8155</v>
      </c>
      <c r="G565" t="s">
        <v>8156</v>
      </c>
      <c r="H565" t="s">
        <v>5180</v>
      </c>
      <c r="I565" t="s">
        <v>5059</v>
      </c>
      <c r="J565">
        <v>2705</v>
      </c>
      <c r="K565">
        <v>2727</v>
      </c>
      <c r="L565">
        <v>22</v>
      </c>
      <c r="M565" t="s">
        <v>2799</v>
      </c>
      <c r="N565" t="s">
        <v>2800</v>
      </c>
      <c r="O565" t="s">
        <v>2797</v>
      </c>
      <c r="P565" t="s">
        <v>8445</v>
      </c>
      <c r="Q565" t="s">
        <v>8446</v>
      </c>
    </row>
    <row r="566" spans="1:17" x14ac:dyDescent="0.25">
      <c r="A566" t="s">
        <v>7503</v>
      </c>
      <c r="B566" t="s">
        <v>7504</v>
      </c>
      <c r="C566" t="s">
        <v>7505</v>
      </c>
      <c r="D566" t="s">
        <v>3529</v>
      </c>
      <c r="E566">
        <v>2020</v>
      </c>
      <c r="F566" t="s">
        <v>8173</v>
      </c>
      <c r="G566" t="s">
        <v>8174</v>
      </c>
      <c r="H566" t="s">
        <v>5059</v>
      </c>
      <c r="I566" t="s">
        <v>5059</v>
      </c>
      <c r="M566" t="s">
        <v>3532</v>
      </c>
      <c r="N566" t="s">
        <v>3533</v>
      </c>
      <c r="O566" t="s">
        <v>3530</v>
      </c>
      <c r="P566" t="s">
        <v>5059</v>
      </c>
      <c r="Q566" t="s">
        <v>8447</v>
      </c>
    </row>
    <row r="567" spans="1:17" x14ac:dyDescent="0.25">
      <c r="A567" t="s">
        <v>8448</v>
      </c>
      <c r="B567" t="s">
        <v>8449</v>
      </c>
      <c r="C567" t="s">
        <v>8450</v>
      </c>
      <c r="D567" t="s">
        <v>2810</v>
      </c>
      <c r="E567">
        <v>2021</v>
      </c>
      <c r="F567" t="s">
        <v>8451</v>
      </c>
      <c r="G567" t="s">
        <v>8267</v>
      </c>
      <c r="H567" t="s">
        <v>5059</v>
      </c>
      <c r="I567" t="s">
        <v>8452</v>
      </c>
      <c r="M567" t="s">
        <v>2813</v>
      </c>
      <c r="N567" t="s">
        <v>2814</v>
      </c>
      <c r="O567" t="s">
        <v>2811</v>
      </c>
      <c r="P567" t="s">
        <v>5059</v>
      </c>
      <c r="Q567" t="s">
        <v>8453</v>
      </c>
    </row>
    <row r="568" spans="1:17" x14ac:dyDescent="0.25">
      <c r="A568" t="s">
        <v>8454</v>
      </c>
      <c r="B568" t="s">
        <v>8455</v>
      </c>
      <c r="C568" t="s">
        <v>8456</v>
      </c>
      <c r="D568" t="s">
        <v>2817</v>
      </c>
      <c r="E568">
        <v>2021</v>
      </c>
      <c r="F568" t="s">
        <v>8457</v>
      </c>
      <c r="G568" t="s">
        <v>5291</v>
      </c>
      <c r="H568" t="s">
        <v>5202</v>
      </c>
      <c r="I568" t="s">
        <v>5059</v>
      </c>
      <c r="J568">
        <v>1</v>
      </c>
      <c r="K568">
        <v>25</v>
      </c>
      <c r="L568">
        <v>24</v>
      </c>
      <c r="M568" t="s">
        <v>2820</v>
      </c>
      <c r="N568" t="s">
        <v>2821</v>
      </c>
      <c r="O568" t="s">
        <v>2818</v>
      </c>
      <c r="P568" t="s">
        <v>8458</v>
      </c>
      <c r="Q568" t="s">
        <v>8459</v>
      </c>
    </row>
    <row r="569" spans="1:17" x14ac:dyDescent="0.25">
      <c r="A569" t="s">
        <v>8460</v>
      </c>
      <c r="B569" t="s">
        <v>8461</v>
      </c>
      <c r="C569" t="s">
        <v>8462</v>
      </c>
      <c r="D569" t="s">
        <v>3536</v>
      </c>
      <c r="E569">
        <v>2020</v>
      </c>
      <c r="F569" t="s">
        <v>8463</v>
      </c>
      <c r="G569" t="s">
        <v>5059</v>
      </c>
      <c r="H569" t="s">
        <v>5059</v>
      </c>
      <c r="I569" t="s">
        <v>8464</v>
      </c>
      <c r="J569">
        <v>142</v>
      </c>
      <c r="K569">
        <v>145</v>
      </c>
      <c r="L569">
        <v>3</v>
      </c>
      <c r="M569" t="s">
        <v>3539</v>
      </c>
      <c r="N569" t="s">
        <v>3540</v>
      </c>
      <c r="O569" t="s">
        <v>3537</v>
      </c>
      <c r="P569" t="s">
        <v>5059</v>
      </c>
      <c r="Q569" t="s">
        <v>8465</v>
      </c>
    </row>
    <row r="570" spans="1:17" x14ac:dyDescent="0.25">
      <c r="A570" t="s">
        <v>8466</v>
      </c>
      <c r="B570" t="s">
        <v>8467</v>
      </c>
      <c r="C570" t="s">
        <v>8468</v>
      </c>
      <c r="D570" t="s">
        <v>3543</v>
      </c>
      <c r="E570">
        <v>2020</v>
      </c>
      <c r="F570" t="s">
        <v>5776</v>
      </c>
      <c r="G570" t="s">
        <v>5549</v>
      </c>
      <c r="H570" t="s">
        <v>5102</v>
      </c>
      <c r="I570" t="s">
        <v>5059</v>
      </c>
      <c r="J570">
        <v>351</v>
      </c>
      <c r="K570">
        <v>362</v>
      </c>
      <c r="L570">
        <v>11</v>
      </c>
      <c r="M570" t="s">
        <v>3546</v>
      </c>
      <c r="N570" t="s">
        <v>3547</v>
      </c>
      <c r="O570" t="s">
        <v>3544</v>
      </c>
      <c r="P570" t="s">
        <v>8469</v>
      </c>
      <c r="Q570" t="s">
        <v>8470</v>
      </c>
    </row>
    <row r="571" spans="1:17" x14ac:dyDescent="0.25">
      <c r="A571" t="s">
        <v>8471</v>
      </c>
      <c r="B571" t="s">
        <v>8472</v>
      </c>
      <c r="C571" t="s">
        <v>8473</v>
      </c>
      <c r="D571" t="s">
        <v>3557</v>
      </c>
      <c r="E571">
        <v>2019</v>
      </c>
      <c r="F571" t="s">
        <v>8117</v>
      </c>
      <c r="G571" t="s">
        <v>5059</v>
      </c>
      <c r="H571" t="s">
        <v>5059</v>
      </c>
      <c r="I571" t="s">
        <v>8474</v>
      </c>
      <c r="J571">
        <v>177</v>
      </c>
      <c r="K571">
        <v>184</v>
      </c>
      <c r="L571">
        <v>7</v>
      </c>
      <c r="M571" t="s">
        <v>3560</v>
      </c>
      <c r="N571" t="s">
        <v>3561</v>
      </c>
      <c r="O571" t="s">
        <v>3558</v>
      </c>
      <c r="P571" t="s">
        <v>5059</v>
      </c>
      <c r="Q571" t="s">
        <v>8475</v>
      </c>
    </row>
    <row r="572" spans="1:17" x14ac:dyDescent="0.25">
      <c r="A572" t="s">
        <v>8476</v>
      </c>
      <c r="B572" t="s">
        <v>8477</v>
      </c>
      <c r="C572" t="s">
        <v>8478</v>
      </c>
      <c r="D572" t="s">
        <v>2844</v>
      </c>
      <c r="E572">
        <v>2021</v>
      </c>
      <c r="F572" t="s">
        <v>5186</v>
      </c>
      <c r="G572" t="s">
        <v>5754</v>
      </c>
      <c r="H572" t="s">
        <v>5059</v>
      </c>
      <c r="I572" t="s">
        <v>8479</v>
      </c>
      <c r="J572">
        <v>46927</v>
      </c>
      <c r="K572">
        <v>46948</v>
      </c>
      <c r="L572">
        <v>21</v>
      </c>
      <c r="M572" t="s">
        <v>2847</v>
      </c>
      <c r="N572" t="s">
        <v>2848</v>
      </c>
      <c r="O572" t="s">
        <v>2845</v>
      </c>
      <c r="P572" t="s">
        <v>8480</v>
      </c>
      <c r="Q572" t="s">
        <v>8481</v>
      </c>
    </row>
    <row r="573" spans="1:17" x14ac:dyDescent="0.25">
      <c r="A573" t="s">
        <v>8482</v>
      </c>
      <c r="B573" t="s">
        <v>8483</v>
      </c>
      <c r="C573" t="s">
        <v>8484</v>
      </c>
      <c r="D573" t="s">
        <v>3571</v>
      </c>
      <c r="E573">
        <v>2020</v>
      </c>
      <c r="F573" t="s">
        <v>8485</v>
      </c>
      <c r="G573" t="s">
        <v>8191</v>
      </c>
      <c r="H573" t="s">
        <v>5059</v>
      </c>
      <c r="I573" t="s">
        <v>5059</v>
      </c>
      <c r="J573">
        <v>406</v>
      </c>
      <c r="K573">
        <v>409</v>
      </c>
      <c r="L573">
        <v>3</v>
      </c>
      <c r="M573" t="s">
        <v>3574</v>
      </c>
      <c r="N573" t="s">
        <v>3575</v>
      </c>
      <c r="O573" t="s">
        <v>3572</v>
      </c>
      <c r="P573" t="s">
        <v>8486</v>
      </c>
      <c r="Q573" t="s">
        <v>8487</v>
      </c>
    </row>
    <row r="574" spans="1:17" x14ac:dyDescent="0.25">
      <c r="A574" t="s">
        <v>8488</v>
      </c>
      <c r="B574" t="s">
        <v>8489</v>
      </c>
      <c r="C574" t="s">
        <v>8490</v>
      </c>
      <c r="D574" t="s">
        <v>2879</v>
      </c>
      <c r="E574">
        <v>2020</v>
      </c>
      <c r="F574" t="s">
        <v>8491</v>
      </c>
      <c r="G574" t="s">
        <v>5059</v>
      </c>
      <c r="H574" t="s">
        <v>5059</v>
      </c>
      <c r="I574" t="s">
        <v>8492</v>
      </c>
      <c r="M574" t="s">
        <v>2882</v>
      </c>
      <c r="N574" t="s">
        <v>2883</v>
      </c>
      <c r="O574" t="s">
        <v>2880</v>
      </c>
      <c r="P574" t="s">
        <v>8493</v>
      </c>
      <c r="Q574" t="s">
        <v>8494</v>
      </c>
    </row>
    <row r="575" spans="1:17" x14ac:dyDescent="0.25">
      <c r="A575" t="s">
        <v>8495</v>
      </c>
      <c r="B575" t="s">
        <v>8496</v>
      </c>
      <c r="C575" t="s">
        <v>8497</v>
      </c>
      <c r="D575" t="s">
        <v>3585</v>
      </c>
      <c r="E575">
        <v>2020</v>
      </c>
      <c r="F575" t="s">
        <v>8498</v>
      </c>
      <c r="G575" t="s">
        <v>5059</v>
      </c>
      <c r="H575" t="s">
        <v>5059</v>
      </c>
      <c r="I575" t="s">
        <v>5059</v>
      </c>
      <c r="J575">
        <v>37</v>
      </c>
      <c r="K575">
        <v>55</v>
      </c>
      <c r="L575">
        <v>18</v>
      </c>
      <c r="M575" t="s">
        <v>3588</v>
      </c>
      <c r="N575" t="s">
        <v>3589</v>
      </c>
      <c r="O575" t="s">
        <v>3586</v>
      </c>
      <c r="P575" t="s">
        <v>3587</v>
      </c>
      <c r="Q575" t="s">
        <v>8499</v>
      </c>
    </row>
    <row r="576" spans="1:17" x14ac:dyDescent="0.25">
      <c r="A576" t="s">
        <v>5059</v>
      </c>
      <c r="B576" t="s">
        <v>5059</v>
      </c>
      <c r="C576" t="s">
        <v>5059</v>
      </c>
      <c r="D576" t="s">
        <v>3598</v>
      </c>
      <c r="E576">
        <v>2020</v>
      </c>
      <c r="F576" t="s">
        <v>6258</v>
      </c>
      <c r="G576" t="s">
        <v>8500</v>
      </c>
      <c r="H576" t="s">
        <v>5059</v>
      </c>
      <c r="I576" t="s">
        <v>5059</v>
      </c>
      <c r="L576">
        <v>314</v>
      </c>
      <c r="M576" t="s">
        <v>5059</v>
      </c>
      <c r="N576" t="s">
        <v>3600</v>
      </c>
      <c r="O576" t="s">
        <v>8501</v>
      </c>
      <c r="P576" t="s">
        <v>5059</v>
      </c>
      <c r="Q576" t="s">
        <v>8502</v>
      </c>
    </row>
    <row r="577" spans="1:17" x14ac:dyDescent="0.25">
      <c r="A577" t="s">
        <v>8503</v>
      </c>
      <c r="B577" t="s">
        <v>8504</v>
      </c>
      <c r="C577" t="s">
        <v>8505</v>
      </c>
      <c r="D577" t="s">
        <v>3603</v>
      </c>
      <c r="E577">
        <v>2020</v>
      </c>
      <c r="F577" t="s">
        <v>8506</v>
      </c>
      <c r="G577" t="s">
        <v>5059</v>
      </c>
      <c r="H577" t="s">
        <v>5059</v>
      </c>
      <c r="I577" t="s">
        <v>5059</v>
      </c>
      <c r="J577">
        <v>246</v>
      </c>
      <c r="K577">
        <v>259</v>
      </c>
      <c r="L577">
        <v>13</v>
      </c>
      <c r="M577" t="s">
        <v>3606</v>
      </c>
      <c r="N577" t="s">
        <v>3607</v>
      </c>
      <c r="O577" t="s">
        <v>3604</v>
      </c>
      <c r="P577" t="s">
        <v>3605</v>
      </c>
      <c r="Q577" t="s">
        <v>8507</v>
      </c>
    </row>
    <row r="578" spans="1:17" x14ac:dyDescent="0.25">
      <c r="A578" t="s">
        <v>8508</v>
      </c>
      <c r="B578" t="s">
        <v>8509</v>
      </c>
      <c r="C578" t="s">
        <v>8510</v>
      </c>
      <c r="D578" t="s">
        <v>3617</v>
      </c>
      <c r="E578">
        <v>2020</v>
      </c>
      <c r="F578" t="s">
        <v>8185</v>
      </c>
      <c r="G578" t="s">
        <v>5059</v>
      </c>
      <c r="H578" t="s">
        <v>5059</v>
      </c>
      <c r="I578" t="s">
        <v>5059</v>
      </c>
      <c r="J578">
        <v>37</v>
      </c>
      <c r="K578">
        <v>42</v>
      </c>
      <c r="L578">
        <v>5</v>
      </c>
      <c r="M578" t="s">
        <v>3620</v>
      </c>
      <c r="N578" t="s">
        <v>3621</v>
      </c>
      <c r="O578" t="s">
        <v>3618</v>
      </c>
      <c r="P578" t="s">
        <v>8511</v>
      </c>
      <c r="Q578" t="s">
        <v>8512</v>
      </c>
    </row>
    <row r="579" spans="1:17" x14ac:dyDescent="0.25">
      <c r="A579" t="s">
        <v>8513</v>
      </c>
      <c r="B579" t="s">
        <v>8514</v>
      </c>
      <c r="C579" t="s">
        <v>8515</v>
      </c>
      <c r="D579" t="s">
        <v>3624</v>
      </c>
      <c r="E579">
        <v>2020</v>
      </c>
      <c r="F579" t="s">
        <v>8516</v>
      </c>
      <c r="G579" t="s">
        <v>5050</v>
      </c>
      <c r="H579" t="s">
        <v>5051</v>
      </c>
      <c r="I579" t="s">
        <v>8517</v>
      </c>
      <c r="M579" t="s">
        <v>3627</v>
      </c>
      <c r="N579" t="s">
        <v>3628</v>
      </c>
      <c r="O579" t="s">
        <v>3625</v>
      </c>
      <c r="P579" t="s">
        <v>8518</v>
      </c>
      <c r="Q579" t="s">
        <v>8519</v>
      </c>
    </row>
    <row r="580" spans="1:17" x14ac:dyDescent="0.25">
      <c r="A580" t="s">
        <v>8520</v>
      </c>
      <c r="B580" t="s">
        <v>8521</v>
      </c>
      <c r="C580" t="s">
        <v>8522</v>
      </c>
      <c r="D580" t="s">
        <v>3638</v>
      </c>
      <c r="E580">
        <v>2020</v>
      </c>
      <c r="F580" t="s">
        <v>8523</v>
      </c>
      <c r="G580" t="s">
        <v>5059</v>
      </c>
      <c r="H580" t="s">
        <v>5059</v>
      </c>
      <c r="I580" t="s">
        <v>8524</v>
      </c>
      <c r="M580" t="s">
        <v>3641</v>
      </c>
      <c r="N580" t="s">
        <v>3642</v>
      </c>
      <c r="O580" t="s">
        <v>3639</v>
      </c>
      <c r="P580" t="s">
        <v>8525</v>
      </c>
      <c r="Q580" t="s">
        <v>8526</v>
      </c>
    </row>
    <row r="581" spans="1:17" x14ac:dyDescent="0.25">
      <c r="A581" t="s">
        <v>8527</v>
      </c>
      <c r="B581" t="s">
        <v>8528</v>
      </c>
      <c r="C581" t="s">
        <v>8529</v>
      </c>
      <c r="D581" t="s">
        <v>3645</v>
      </c>
      <c r="E581">
        <v>2020</v>
      </c>
      <c r="F581" t="s">
        <v>6258</v>
      </c>
      <c r="G581" t="s">
        <v>8530</v>
      </c>
      <c r="H581" t="s">
        <v>5059</v>
      </c>
      <c r="I581" t="s">
        <v>5059</v>
      </c>
      <c r="J581">
        <v>333</v>
      </c>
      <c r="K581">
        <v>345</v>
      </c>
      <c r="L581">
        <v>12</v>
      </c>
      <c r="M581" t="s">
        <v>3648</v>
      </c>
      <c r="N581" t="s">
        <v>3649</v>
      </c>
      <c r="O581" t="s">
        <v>3646</v>
      </c>
      <c r="P581" t="s">
        <v>8531</v>
      </c>
      <c r="Q581" t="s">
        <v>8532</v>
      </c>
    </row>
    <row r="582" spans="1:17" x14ac:dyDescent="0.25">
      <c r="A582" t="s">
        <v>8533</v>
      </c>
      <c r="B582" t="s">
        <v>8534</v>
      </c>
      <c r="C582" t="s">
        <v>8535</v>
      </c>
      <c r="D582" t="s">
        <v>3659</v>
      </c>
      <c r="E582">
        <v>2019</v>
      </c>
      <c r="F582" t="s">
        <v>8536</v>
      </c>
      <c r="G582" t="s">
        <v>5059</v>
      </c>
      <c r="H582" t="s">
        <v>5059</v>
      </c>
      <c r="I582" t="s">
        <v>8537</v>
      </c>
      <c r="J582">
        <v>416</v>
      </c>
      <c r="K582">
        <v>421</v>
      </c>
      <c r="L582">
        <v>5</v>
      </c>
      <c r="M582" t="s">
        <v>3662</v>
      </c>
      <c r="N582" t="s">
        <v>3663</v>
      </c>
      <c r="O582" t="s">
        <v>3660</v>
      </c>
      <c r="P582" t="s">
        <v>8538</v>
      </c>
      <c r="Q582" t="s">
        <v>8539</v>
      </c>
    </row>
    <row r="583" spans="1:17" x14ac:dyDescent="0.25">
      <c r="A583" t="s">
        <v>8540</v>
      </c>
      <c r="B583" t="s">
        <v>8541</v>
      </c>
      <c r="C583" t="s">
        <v>8542</v>
      </c>
      <c r="D583" t="s">
        <v>3666</v>
      </c>
      <c r="E583">
        <v>2020</v>
      </c>
      <c r="F583" t="s">
        <v>7784</v>
      </c>
      <c r="G583" t="s">
        <v>5463</v>
      </c>
      <c r="H583" t="s">
        <v>5202</v>
      </c>
      <c r="I583" t="s">
        <v>8543</v>
      </c>
      <c r="J583">
        <v>249</v>
      </c>
      <c r="K583">
        <v>291</v>
      </c>
      <c r="L583">
        <v>42</v>
      </c>
      <c r="M583" t="s">
        <v>3669</v>
      </c>
      <c r="N583" t="s">
        <v>3670</v>
      </c>
      <c r="O583" t="s">
        <v>3667</v>
      </c>
      <c r="P583" t="s">
        <v>8544</v>
      </c>
      <c r="Q583" t="s">
        <v>8545</v>
      </c>
    </row>
    <row r="584" spans="1:17" x14ac:dyDescent="0.25">
      <c r="A584" t="s">
        <v>5059</v>
      </c>
      <c r="B584" t="s">
        <v>5059</v>
      </c>
      <c r="C584" t="s">
        <v>5059</v>
      </c>
      <c r="D584" t="s">
        <v>2940</v>
      </c>
      <c r="E584">
        <v>2021</v>
      </c>
      <c r="F584" t="s">
        <v>8546</v>
      </c>
      <c r="G584" t="s">
        <v>8547</v>
      </c>
      <c r="H584" t="s">
        <v>5059</v>
      </c>
      <c r="I584" t="s">
        <v>5059</v>
      </c>
      <c r="L584">
        <v>120</v>
      </c>
      <c r="M584" t="s">
        <v>5059</v>
      </c>
      <c r="N584" t="s">
        <v>2942</v>
      </c>
      <c r="O584" t="s">
        <v>2941</v>
      </c>
      <c r="P584" t="s">
        <v>5059</v>
      </c>
      <c r="Q584" t="s">
        <v>8548</v>
      </c>
    </row>
    <row r="585" spans="1:17" x14ac:dyDescent="0.25">
      <c r="A585" t="s">
        <v>8549</v>
      </c>
      <c r="B585" t="s">
        <v>8550</v>
      </c>
      <c r="C585" t="s">
        <v>8551</v>
      </c>
      <c r="D585" t="s">
        <v>3673</v>
      </c>
      <c r="E585">
        <v>2020</v>
      </c>
      <c r="F585" t="s">
        <v>7084</v>
      </c>
      <c r="G585" t="s">
        <v>8552</v>
      </c>
      <c r="H585" t="s">
        <v>5071</v>
      </c>
      <c r="I585" t="s">
        <v>8553</v>
      </c>
      <c r="M585" t="s">
        <v>3676</v>
      </c>
      <c r="N585" t="s">
        <v>3677</v>
      </c>
      <c r="O585" t="s">
        <v>3674</v>
      </c>
      <c r="P585" t="s">
        <v>8554</v>
      </c>
      <c r="Q585" t="s">
        <v>8555</v>
      </c>
    </row>
    <row r="586" spans="1:17" x14ac:dyDescent="0.25">
      <c r="A586" t="s">
        <v>8556</v>
      </c>
      <c r="B586" t="s">
        <v>8557</v>
      </c>
      <c r="C586" t="s">
        <v>8558</v>
      </c>
      <c r="D586" t="s">
        <v>3680</v>
      </c>
      <c r="E586">
        <v>2020</v>
      </c>
      <c r="F586" t="s">
        <v>4157</v>
      </c>
      <c r="G586" t="s">
        <v>8559</v>
      </c>
      <c r="H586" t="s">
        <v>5059</v>
      </c>
      <c r="I586" t="s">
        <v>8560</v>
      </c>
      <c r="M586" t="s">
        <v>3683</v>
      </c>
      <c r="N586" t="s">
        <v>3684</v>
      </c>
      <c r="O586" t="s">
        <v>3681</v>
      </c>
      <c r="P586" t="s">
        <v>8561</v>
      </c>
      <c r="Q586" t="s">
        <v>8562</v>
      </c>
    </row>
    <row r="587" spans="1:17" x14ac:dyDescent="0.25">
      <c r="A587" t="s">
        <v>8563</v>
      </c>
      <c r="B587" t="s">
        <v>8564</v>
      </c>
      <c r="C587" t="s">
        <v>8565</v>
      </c>
      <c r="D587" t="s">
        <v>3687</v>
      </c>
      <c r="E587">
        <v>2020</v>
      </c>
      <c r="F587" t="s">
        <v>8566</v>
      </c>
      <c r="G587" t="s">
        <v>5821</v>
      </c>
      <c r="H587" t="s">
        <v>5180</v>
      </c>
      <c r="I587" t="s">
        <v>5059</v>
      </c>
      <c r="J587">
        <v>410</v>
      </c>
      <c r="K587">
        <v>424</v>
      </c>
      <c r="L587">
        <v>14</v>
      </c>
      <c r="M587" t="s">
        <v>3690</v>
      </c>
      <c r="N587" t="s">
        <v>3691</v>
      </c>
      <c r="O587" t="s">
        <v>3688</v>
      </c>
      <c r="P587" t="s">
        <v>5059</v>
      </c>
      <c r="Q587" t="s">
        <v>8567</v>
      </c>
    </row>
    <row r="588" spans="1:17" x14ac:dyDescent="0.25">
      <c r="A588" t="s">
        <v>8568</v>
      </c>
      <c r="B588" t="s">
        <v>8569</v>
      </c>
      <c r="C588" t="s">
        <v>8570</v>
      </c>
      <c r="D588" t="s">
        <v>3698</v>
      </c>
      <c r="E588">
        <v>2019</v>
      </c>
      <c r="F588" t="s">
        <v>8571</v>
      </c>
      <c r="G588" t="s">
        <v>5059</v>
      </c>
      <c r="H588" t="s">
        <v>5059</v>
      </c>
      <c r="I588" t="s">
        <v>8572</v>
      </c>
      <c r="J588">
        <v>128</v>
      </c>
      <c r="K588">
        <v>135</v>
      </c>
      <c r="L588">
        <v>7</v>
      </c>
      <c r="M588" t="s">
        <v>3701</v>
      </c>
      <c r="N588" t="s">
        <v>3702</v>
      </c>
      <c r="O588" t="s">
        <v>3699</v>
      </c>
      <c r="P588" t="s">
        <v>8573</v>
      </c>
      <c r="Q588" t="s">
        <v>8574</v>
      </c>
    </row>
    <row r="589" spans="1:17" x14ac:dyDescent="0.25">
      <c r="A589" t="s">
        <v>7583</v>
      </c>
      <c r="B589" t="s">
        <v>7584</v>
      </c>
      <c r="C589" t="s">
        <v>7585</v>
      </c>
      <c r="D589" t="s">
        <v>3704</v>
      </c>
      <c r="E589">
        <v>2020</v>
      </c>
      <c r="F589" t="s">
        <v>4039</v>
      </c>
      <c r="G589" t="s">
        <v>8131</v>
      </c>
      <c r="H589" t="s">
        <v>5059</v>
      </c>
      <c r="I589" t="s">
        <v>8575</v>
      </c>
      <c r="M589" t="s">
        <v>3707</v>
      </c>
      <c r="N589" t="s">
        <v>3708</v>
      </c>
      <c r="O589" t="s">
        <v>3705</v>
      </c>
      <c r="P589" t="s">
        <v>8576</v>
      </c>
      <c r="Q589" t="s">
        <v>8577</v>
      </c>
    </row>
    <row r="590" spans="1:17" x14ac:dyDescent="0.25">
      <c r="A590" t="s">
        <v>8578</v>
      </c>
      <c r="B590" t="s">
        <v>8579</v>
      </c>
      <c r="C590" t="s">
        <v>8580</v>
      </c>
      <c r="D590" t="s">
        <v>3718</v>
      </c>
      <c r="E590">
        <v>2020</v>
      </c>
      <c r="F590" t="s">
        <v>5487</v>
      </c>
      <c r="G590" t="s">
        <v>5195</v>
      </c>
      <c r="H590" t="s">
        <v>5180</v>
      </c>
      <c r="I590" t="s">
        <v>8581</v>
      </c>
      <c r="J590">
        <v>2840</v>
      </c>
      <c r="K590">
        <v>2854</v>
      </c>
      <c r="L590">
        <v>14</v>
      </c>
      <c r="M590" t="s">
        <v>3721</v>
      </c>
      <c r="N590" t="s">
        <v>3722</v>
      </c>
      <c r="O590" t="s">
        <v>3719</v>
      </c>
      <c r="P590" t="s">
        <v>8582</v>
      </c>
      <c r="Q590" t="s">
        <v>8583</v>
      </c>
    </row>
    <row r="591" spans="1:17" x14ac:dyDescent="0.25">
      <c r="A591" t="s">
        <v>8584</v>
      </c>
      <c r="B591" t="s">
        <v>8585</v>
      </c>
      <c r="C591" t="s">
        <v>8586</v>
      </c>
      <c r="D591" t="s">
        <v>2957</v>
      </c>
      <c r="E591">
        <v>2020</v>
      </c>
      <c r="F591" t="s">
        <v>4039</v>
      </c>
      <c r="G591" t="s">
        <v>8131</v>
      </c>
      <c r="H591" t="s">
        <v>5059</v>
      </c>
      <c r="I591" t="s">
        <v>8587</v>
      </c>
      <c r="M591" t="s">
        <v>2960</v>
      </c>
      <c r="N591" t="s">
        <v>2961</v>
      </c>
      <c r="O591" t="s">
        <v>2958</v>
      </c>
      <c r="P591" t="s">
        <v>5059</v>
      </c>
      <c r="Q591" t="s">
        <v>8588</v>
      </c>
    </row>
    <row r="592" spans="1:17" x14ac:dyDescent="0.25">
      <c r="A592" t="s">
        <v>8589</v>
      </c>
      <c r="B592" t="s">
        <v>8590</v>
      </c>
      <c r="C592" t="s">
        <v>8591</v>
      </c>
      <c r="D592" t="s">
        <v>2984</v>
      </c>
      <c r="E592">
        <v>2021</v>
      </c>
      <c r="F592" t="s">
        <v>8546</v>
      </c>
      <c r="G592" t="s">
        <v>8592</v>
      </c>
      <c r="H592" t="s">
        <v>5059</v>
      </c>
      <c r="I592" t="s">
        <v>5059</v>
      </c>
      <c r="J592">
        <v>119</v>
      </c>
      <c r="K592">
        <v>138</v>
      </c>
      <c r="L592">
        <v>19</v>
      </c>
      <c r="M592" t="s">
        <v>2987</v>
      </c>
      <c r="N592" t="s">
        <v>2988</v>
      </c>
      <c r="O592" t="s">
        <v>2985</v>
      </c>
      <c r="P592" t="s">
        <v>8593</v>
      </c>
      <c r="Q592" t="s">
        <v>8594</v>
      </c>
    </row>
    <row r="593" spans="1:17" x14ac:dyDescent="0.25">
      <c r="A593" t="s">
        <v>8595</v>
      </c>
      <c r="B593" t="s">
        <v>8596</v>
      </c>
      <c r="C593" t="s">
        <v>8597</v>
      </c>
      <c r="D593" t="s">
        <v>3758</v>
      </c>
      <c r="E593">
        <v>2020</v>
      </c>
      <c r="F593" t="s">
        <v>8598</v>
      </c>
      <c r="G593" t="s">
        <v>5367</v>
      </c>
      <c r="H593" t="s">
        <v>5059</v>
      </c>
      <c r="I593" t="s">
        <v>8599</v>
      </c>
      <c r="M593" t="s">
        <v>3761</v>
      </c>
      <c r="N593" t="s">
        <v>3762</v>
      </c>
      <c r="O593" t="s">
        <v>3759</v>
      </c>
      <c r="P593" t="s">
        <v>3760</v>
      </c>
      <c r="Q593" t="s">
        <v>8600</v>
      </c>
    </row>
    <row r="594" spans="1:17" x14ac:dyDescent="0.25">
      <c r="A594" t="s">
        <v>8601</v>
      </c>
      <c r="B594" t="s">
        <v>8602</v>
      </c>
      <c r="C594" t="s">
        <v>8603</v>
      </c>
      <c r="D594" t="s">
        <v>3765</v>
      </c>
      <c r="E594">
        <v>2020</v>
      </c>
      <c r="F594" t="s">
        <v>8604</v>
      </c>
      <c r="G594" t="s">
        <v>5059</v>
      </c>
      <c r="H594" t="s">
        <v>5059</v>
      </c>
      <c r="I594" t="s">
        <v>5059</v>
      </c>
      <c r="J594">
        <v>811</v>
      </c>
      <c r="K594">
        <v>823</v>
      </c>
      <c r="L594">
        <v>12</v>
      </c>
      <c r="M594" t="s">
        <v>3768</v>
      </c>
      <c r="N594" t="s">
        <v>3769</v>
      </c>
      <c r="O594" t="s">
        <v>3766</v>
      </c>
      <c r="P594" t="s">
        <v>3767</v>
      </c>
      <c r="Q594" t="s">
        <v>8605</v>
      </c>
    </row>
    <row r="595" spans="1:17" x14ac:dyDescent="0.25">
      <c r="A595" t="s">
        <v>8606</v>
      </c>
      <c r="B595" t="s">
        <v>8607</v>
      </c>
      <c r="C595" t="s">
        <v>8608</v>
      </c>
      <c r="D595" t="s">
        <v>3772</v>
      </c>
      <c r="E595">
        <v>2020</v>
      </c>
      <c r="F595" t="s">
        <v>5186</v>
      </c>
      <c r="G595" t="s">
        <v>5050</v>
      </c>
      <c r="H595" t="s">
        <v>5059</v>
      </c>
      <c r="I595" t="s">
        <v>8609</v>
      </c>
      <c r="J595">
        <v>131779</v>
      </c>
      <c r="K595">
        <v>131795</v>
      </c>
      <c r="L595">
        <v>16</v>
      </c>
      <c r="M595" t="s">
        <v>3775</v>
      </c>
      <c r="N595" t="s">
        <v>3776</v>
      </c>
      <c r="O595" t="s">
        <v>3773</v>
      </c>
      <c r="P595" t="s">
        <v>8610</v>
      </c>
      <c r="Q595" t="s">
        <v>8611</v>
      </c>
    </row>
    <row r="596" spans="1:17" x14ac:dyDescent="0.25">
      <c r="A596" t="s">
        <v>8612</v>
      </c>
      <c r="B596" t="s">
        <v>8613</v>
      </c>
      <c r="C596" t="s">
        <v>8614</v>
      </c>
      <c r="D596" t="s">
        <v>3779</v>
      </c>
      <c r="E596">
        <v>2020</v>
      </c>
      <c r="F596" t="s">
        <v>8615</v>
      </c>
      <c r="G596" t="s">
        <v>5059</v>
      </c>
      <c r="H596" t="s">
        <v>5059</v>
      </c>
      <c r="I596" t="s">
        <v>8616</v>
      </c>
      <c r="M596" t="s">
        <v>3782</v>
      </c>
      <c r="N596" t="s">
        <v>3783</v>
      </c>
      <c r="O596" t="s">
        <v>3780</v>
      </c>
      <c r="P596" t="s">
        <v>8617</v>
      </c>
      <c r="Q596" t="s">
        <v>8618</v>
      </c>
    </row>
    <row r="597" spans="1:17" x14ac:dyDescent="0.25">
      <c r="A597" t="s">
        <v>8619</v>
      </c>
      <c r="B597" t="s">
        <v>8620</v>
      </c>
      <c r="C597" t="s">
        <v>8621</v>
      </c>
      <c r="D597" t="s">
        <v>3018</v>
      </c>
      <c r="E597">
        <v>2021</v>
      </c>
      <c r="F597" t="s">
        <v>7698</v>
      </c>
      <c r="G597" t="s">
        <v>8203</v>
      </c>
      <c r="H597" t="s">
        <v>5059</v>
      </c>
      <c r="I597" t="s">
        <v>5059</v>
      </c>
      <c r="J597">
        <v>251</v>
      </c>
      <c r="K597">
        <v>268</v>
      </c>
      <c r="L597">
        <v>17</v>
      </c>
      <c r="M597" t="s">
        <v>3021</v>
      </c>
      <c r="N597" t="s">
        <v>3022</v>
      </c>
      <c r="O597" t="s">
        <v>3019</v>
      </c>
      <c r="P597" t="s">
        <v>3020</v>
      </c>
      <c r="Q597" t="s">
        <v>8622</v>
      </c>
    </row>
    <row r="598" spans="1:17" x14ac:dyDescent="0.25">
      <c r="A598" t="s">
        <v>8623</v>
      </c>
      <c r="B598" t="s">
        <v>8624</v>
      </c>
      <c r="C598" t="s">
        <v>8625</v>
      </c>
      <c r="D598" t="s">
        <v>3786</v>
      </c>
      <c r="E598">
        <v>2020</v>
      </c>
      <c r="F598" t="s">
        <v>5214</v>
      </c>
      <c r="G598" t="s">
        <v>8626</v>
      </c>
      <c r="H598" t="s">
        <v>5059</v>
      </c>
      <c r="I598" t="s">
        <v>5059</v>
      </c>
      <c r="J598">
        <v>753</v>
      </c>
      <c r="K598">
        <v>760</v>
      </c>
      <c r="L598">
        <v>7</v>
      </c>
      <c r="M598" t="s">
        <v>3789</v>
      </c>
      <c r="N598" t="s">
        <v>3790</v>
      </c>
      <c r="O598" t="s">
        <v>3787</v>
      </c>
      <c r="P598" t="s">
        <v>3788</v>
      </c>
      <c r="Q598" t="s">
        <v>8627</v>
      </c>
    </row>
    <row r="599" spans="1:17" x14ac:dyDescent="0.25">
      <c r="A599" t="s">
        <v>8628</v>
      </c>
      <c r="B599" t="s">
        <v>8629</v>
      </c>
      <c r="C599" t="s">
        <v>8630</v>
      </c>
      <c r="D599" t="s">
        <v>3793</v>
      </c>
      <c r="E599">
        <v>2019</v>
      </c>
      <c r="F599" t="s">
        <v>8631</v>
      </c>
      <c r="G599" t="s">
        <v>5059</v>
      </c>
      <c r="H599" t="s">
        <v>5059</v>
      </c>
      <c r="I599" t="s">
        <v>8632</v>
      </c>
      <c r="J599">
        <v>1</v>
      </c>
      <c r="K599">
        <v>5</v>
      </c>
      <c r="L599">
        <v>4</v>
      </c>
      <c r="M599" t="s">
        <v>3796</v>
      </c>
      <c r="N599" t="s">
        <v>3797</v>
      </c>
      <c r="O599" t="s">
        <v>3794</v>
      </c>
      <c r="P599" t="s">
        <v>8633</v>
      </c>
      <c r="Q599" t="s">
        <v>8634</v>
      </c>
    </row>
    <row r="600" spans="1:17" x14ac:dyDescent="0.25">
      <c r="A600" t="s">
        <v>8635</v>
      </c>
      <c r="B600" t="s">
        <v>8636</v>
      </c>
      <c r="C600" t="s">
        <v>8637</v>
      </c>
      <c r="D600" t="s">
        <v>3814</v>
      </c>
      <c r="E600">
        <v>2020</v>
      </c>
      <c r="F600" t="s">
        <v>8638</v>
      </c>
      <c r="G600" t="s">
        <v>5059</v>
      </c>
      <c r="H600" t="s">
        <v>5059</v>
      </c>
      <c r="I600" t="s">
        <v>5059</v>
      </c>
      <c r="M600" t="s">
        <v>5059</v>
      </c>
      <c r="N600" t="s">
        <v>3817</v>
      </c>
      <c r="O600" t="s">
        <v>3815</v>
      </c>
      <c r="P600" t="s">
        <v>5059</v>
      </c>
      <c r="Q600" t="s">
        <v>8639</v>
      </c>
    </row>
    <row r="601" spans="1:17" x14ac:dyDescent="0.25">
      <c r="A601" t="s">
        <v>8640</v>
      </c>
      <c r="B601" t="s">
        <v>8641</v>
      </c>
      <c r="C601" t="s">
        <v>8642</v>
      </c>
      <c r="D601" t="s">
        <v>3060</v>
      </c>
      <c r="E601">
        <v>2020</v>
      </c>
      <c r="F601" t="s">
        <v>5117</v>
      </c>
      <c r="G601" t="s">
        <v>8643</v>
      </c>
      <c r="H601" t="s">
        <v>5091</v>
      </c>
      <c r="I601" t="s">
        <v>8644</v>
      </c>
      <c r="J601">
        <v>15068</v>
      </c>
      <c r="K601">
        <v>15077</v>
      </c>
      <c r="L601">
        <v>9</v>
      </c>
      <c r="M601" t="s">
        <v>3063</v>
      </c>
      <c r="N601" t="s">
        <v>3064</v>
      </c>
      <c r="O601" t="s">
        <v>3061</v>
      </c>
      <c r="P601" t="s">
        <v>8645</v>
      </c>
      <c r="Q601" t="s">
        <v>8646</v>
      </c>
    </row>
    <row r="602" spans="1:17" x14ac:dyDescent="0.25">
      <c r="A602" t="s">
        <v>8647</v>
      </c>
      <c r="B602" t="s">
        <v>8648</v>
      </c>
      <c r="C602" t="s">
        <v>8649</v>
      </c>
      <c r="D602" t="s">
        <v>3080</v>
      </c>
      <c r="E602">
        <v>2019</v>
      </c>
      <c r="F602" t="s">
        <v>6361</v>
      </c>
      <c r="G602" t="s">
        <v>8650</v>
      </c>
      <c r="H602" t="s">
        <v>5051</v>
      </c>
      <c r="I602" t="s">
        <v>8651</v>
      </c>
      <c r="J602">
        <v>184</v>
      </c>
      <c r="K602">
        <v>189</v>
      </c>
      <c r="L602">
        <v>5</v>
      </c>
      <c r="M602" t="s">
        <v>3083</v>
      </c>
      <c r="N602" t="s">
        <v>3084</v>
      </c>
      <c r="O602" t="s">
        <v>3081</v>
      </c>
      <c r="P602" t="s">
        <v>5059</v>
      </c>
      <c r="Q602" t="s">
        <v>8652</v>
      </c>
    </row>
    <row r="603" spans="1:17" x14ac:dyDescent="0.25">
      <c r="A603" t="s">
        <v>8653</v>
      </c>
      <c r="B603" t="s">
        <v>8654</v>
      </c>
      <c r="C603" t="s">
        <v>8655</v>
      </c>
      <c r="D603" t="s">
        <v>3820</v>
      </c>
      <c r="E603">
        <v>2018</v>
      </c>
      <c r="F603" t="s">
        <v>8656</v>
      </c>
      <c r="G603" t="s">
        <v>5059</v>
      </c>
      <c r="H603" t="s">
        <v>5059</v>
      </c>
      <c r="I603" t="s">
        <v>5059</v>
      </c>
      <c r="J603">
        <v>1</v>
      </c>
      <c r="K603">
        <v>6</v>
      </c>
      <c r="L603">
        <v>5</v>
      </c>
      <c r="M603" t="s">
        <v>3823</v>
      </c>
      <c r="N603" t="s">
        <v>3824</v>
      </c>
      <c r="O603" t="s">
        <v>3821</v>
      </c>
      <c r="P603" t="s">
        <v>8657</v>
      </c>
      <c r="Q603" t="s">
        <v>8658</v>
      </c>
    </row>
    <row r="604" spans="1:17" x14ac:dyDescent="0.25">
      <c r="A604" t="s">
        <v>8659</v>
      </c>
      <c r="B604" t="s">
        <v>8660</v>
      </c>
      <c r="C604" t="s">
        <v>8661</v>
      </c>
      <c r="D604" t="s">
        <v>3827</v>
      </c>
      <c r="E604">
        <v>2017</v>
      </c>
      <c r="F604" t="s">
        <v>6938</v>
      </c>
      <c r="G604" t="s">
        <v>8662</v>
      </c>
      <c r="H604" t="s">
        <v>5059</v>
      </c>
      <c r="I604" t="s">
        <v>8663</v>
      </c>
      <c r="M604" t="s">
        <v>3830</v>
      </c>
      <c r="N604" t="s">
        <v>3831</v>
      </c>
      <c r="O604" t="s">
        <v>3828</v>
      </c>
      <c r="P604" t="s">
        <v>8664</v>
      </c>
      <c r="Q604" t="s">
        <v>8665</v>
      </c>
    </row>
    <row r="605" spans="1:17" x14ac:dyDescent="0.25">
      <c r="A605" t="s">
        <v>8666</v>
      </c>
      <c r="B605" t="s">
        <v>8667</v>
      </c>
      <c r="C605" t="s">
        <v>8668</v>
      </c>
      <c r="D605" t="s">
        <v>2796</v>
      </c>
      <c r="E605">
        <v>2018</v>
      </c>
      <c r="F605" t="s">
        <v>8669</v>
      </c>
      <c r="G605" t="s">
        <v>5059</v>
      </c>
      <c r="H605" t="s">
        <v>5059</v>
      </c>
      <c r="I605" t="s">
        <v>8670</v>
      </c>
      <c r="J605">
        <v>27</v>
      </c>
      <c r="K605">
        <v>32</v>
      </c>
      <c r="L605">
        <v>5</v>
      </c>
      <c r="M605" t="s">
        <v>3836</v>
      </c>
      <c r="N605" t="s">
        <v>3837</v>
      </c>
      <c r="O605" t="s">
        <v>3834</v>
      </c>
      <c r="P605" t="s">
        <v>8671</v>
      </c>
      <c r="Q605" t="s">
        <v>8672</v>
      </c>
    </row>
    <row r="606" spans="1:17" x14ac:dyDescent="0.25">
      <c r="A606" t="s">
        <v>8673</v>
      </c>
      <c r="B606" t="s">
        <v>8674</v>
      </c>
      <c r="C606" t="s">
        <v>8675</v>
      </c>
      <c r="D606" t="s">
        <v>3840</v>
      </c>
      <c r="E606">
        <v>2018</v>
      </c>
      <c r="F606" t="s">
        <v>5186</v>
      </c>
      <c r="G606" t="s">
        <v>5367</v>
      </c>
      <c r="H606" t="s">
        <v>5059</v>
      </c>
      <c r="I606" t="s">
        <v>8676</v>
      </c>
      <c r="J606">
        <v>68472</v>
      </c>
      <c r="K606">
        <v>68486</v>
      </c>
      <c r="L606">
        <v>14</v>
      </c>
      <c r="M606" t="s">
        <v>3843</v>
      </c>
      <c r="N606" t="s">
        <v>3844</v>
      </c>
      <c r="O606" t="s">
        <v>3841</v>
      </c>
      <c r="P606" t="s">
        <v>8677</v>
      </c>
      <c r="Q606" t="s">
        <v>8678</v>
      </c>
    </row>
    <row r="607" spans="1:17" x14ac:dyDescent="0.25">
      <c r="A607" t="s">
        <v>8679</v>
      </c>
      <c r="B607" t="s">
        <v>8680</v>
      </c>
      <c r="C607" t="s">
        <v>8681</v>
      </c>
      <c r="D607" t="s">
        <v>3847</v>
      </c>
      <c r="E607">
        <v>2018</v>
      </c>
      <c r="F607" t="s">
        <v>8682</v>
      </c>
      <c r="G607" t="s">
        <v>5059</v>
      </c>
      <c r="H607" t="s">
        <v>5059</v>
      </c>
      <c r="I607" t="s">
        <v>8683</v>
      </c>
      <c r="M607" t="s">
        <v>3850</v>
      </c>
      <c r="N607" t="s">
        <v>3851</v>
      </c>
      <c r="O607" t="s">
        <v>3848</v>
      </c>
      <c r="P607" t="s">
        <v>8684</v>
      </c>
      <c r="Q607" t="s">
        <v>8685</v>
      </c>
    </row>
    <row r="608" spans="1:17" x14ac:dyDescent="0.25">
      <c r="A608" t="s">
        <v>8686</v>
      </c>
      <c r="B608" t="s">
        <v>8687</v>
      </c>
      <c r="C608" t="s">
        <v>8688</v>
      </c>
      <c r="D608" t="s">
        <v>3094</v>
      </c>
      <c r="E608">
        <v>2019</v>
      </c>
      <c r="F608" t="s">
        <v>8689</v>
      </c>
      <c r="G608" t="s">
        <v>8690</v>
      </c>
      <c r="H608" t="s">
        <v>5059</v>
      </c>
      <c r="I608" t="s">
        <v>5059</v>
      </c>
      <c r="M608" t="s">
        <v>5059</v>
      </c>
      <c r="N608" t="s">
        <v>3097</v>
      </c>
      <c r="O608" t="s">
        <v>3095</v>
      </c>
      <c r="P608" t="s">
        <v>5059</v>
      </c>
      <c r="Q608" t="s">
        <v>8691</v>
      </c>
    </row>
    <row r="609" spans="1:17" x14ac:dyDescent="0.25">
      <c r="A609" t="s">
        <v>8692</v>
      </c>
      <c r="B609" t="s">
        <v>8693</v>
      </c>
      <c r="C609" t="s">
        <v>8694</v>
      </c>
      <c r="D609" t="s">
        <v>3100</v>
      </c>
      <c r="E609">
        <v>2019</v>
      </c>
      <c r="F609" t="s">
        <v>8695</v>
      </c>
      <c r="G609" t="s">
        <v>5059</v>
      </c>
      <c r="H609" t="s">
        <v>5059</v>
      </c>
      <c r="I609" t="s">
        <v>5059</v>
      </c>
      <c r="M609" t="s">
        <v>5059</v>
      </c>
      <c r="N609" t="s">
        <v>3103</v>
      </c>
      <c r="O609" t="s">
        <v>3101</v>
      </c>
      <c r="P609" t="s">
        <v>5059</v>
      </c>
      <c r="Q609" t="s">
        <v>8696</v>
      </c>
    </row>
    <row r="610" spans="1:17" x14ac:dyDescent="0.25">
      <c r="A610" t="s">
        <v>8697</v>
      </c>
      <c r="B610" t="s">
        <v>8698</v>
      </c>
      <c r="C610" t="s">
        <v>8699</v>
      </c>
      <c r="D610" t="s">
        <v>3854</v>
      </c>
      <c r="E610">
        <v>2018</v>
      </c>
      <c r="F610" t="s">
        <v>5186</v>
      </c>
      <c r="G610" t="s">
        <v>5367</v>
      </c>
      <c r="H610" t="s">
        <v>5059</v>
      </c>
      <c r="I610" t="s">
        <v>8700</v>
      </c>
      <c r="J610">
        <v>43203</v>
      </c>
      <c r="K610">
        <v>43212</v>
      </c>
      <c r="L610">
        <v>9</v>
      </c>
      <c r="M610" t="s">
        <v>3857</v>
      </c>
      <c r="N610" t="s">
        <v>3858</v>
      </c>
      <c r="O610" t="s">
        <v>3855</v>
      </c>
      <c r="P610" t="s">
        <v>8701</v>
      </c>
      <c r="Q610" t="s">
        <v>8702</v>
      </c>
    </row>
    <row r="611" spans="1:17" x14ac:dyDescent="0.25">
      <c r="A611" t="s">
        <v>8703</v>
      </c>
      <c r="B611" t="s">
        <v>8704</v>
      </c>
      <c r="C611" t="s">
        <v>8705</v>
      </c>
      <c r="D611" t="s">
        <v>3868</v>
      </c>
      <c r="E611">
        <v>2018</v>
      </c>
      <c r="F611" t="s">
        <v>8706</v>
      </c>
      <c r="G611" t="s">
        <v>5059</v>
      </c>
      <c r="H611" t="s">
        <v>5059</v>
      </c>
      <c r="I611" t="s">
        <v>5059</v>
      </c>
      <c r="J611">
        <v>360</v>
      </c>
      <c r="K611">
        <v>365</v>
      </c>
      <c r="L611">
        <v>5</v>
      </c>
      <c r="M611" t="s">
        <v>3871</v>
      </c>
      <c r="N611" t="s">
        <v>3872</v>
      </c>
      <c r="O611" t="s">
        <v>3869</v>
      </c>
      <c r="P611" t="s">
        <v>8707</v>
      </c>
      <c r="Q611" t="s">
        <v>8708</v>
      </c>
    </row>
    <row r="612" spans="1:17" x14ac:dyDescent="0.25">
      <c r="A612" t="s">
        <v>8367</v>
      </c>
      <c r="B612" t="s">
        <v>8709</v>
      </c>
      <c r="C612" t="s">
        <v>8710</v>
      </c>
      <c r="D612" t="s">
        <v>3888</v>
      </c>
      <c r="E612">
        <v>2017</v>
      </c>
      <c r="F612" t="s">
        <v>8711</v>
      </c>
      <c r="G612" t="s">
        <v>5059</v>
      </c>
      <c r="H612" t="s">
        <v>5059</v>
      </c>
      <c r="I612" t="s">
        <v>8712</v>
      </c>
      <c r="J612">
        <v>1414</v>
      </c>
      <c r="K612">
        <v>1419</v>
      </c>
      <c r="L612">
        <v>5</v>
      </c>
      <c r="M612" t="s">
        <v>3891</v>
      </c>
      <c r="N612" t="s">
        <v>3892</v>
      </c>
      <c r="O612" t="s">
        <v>3889</v>
      </c>
      <c r="P612" t="s">
        <v>5059</v>
      </c>
      <c r="Q612" t="s">
        <v>8713</v>
      </c>
    </row>
    <row r="613" spans="1:17" x14ac:dyDescent="0.25">
      <c r="A613" t="s">
        <v>8714</v>
      </c>
      <c r="B613" t="s">
        <v>8715</v>
      </c>
      <c r="C613" t="s">
        <v>8716</v>
      </c>
      <c r="D613" t="s">
        <v>3895</v>
      </c>
      <c r="E613">
        <v>2017</v>
      </c>
      <c r="F613" t="s">
        <v>8717</v>
      </c>
      <c r="G613" t="s">
        <v>5059</v>
      </c>
      <c r="H613" t="s">
        <v>5059</v>
      </c>
      <c r="I613" t="s">
        <v>5059</v>
      </c>
      <c r="L613">
        <v>8</v>
      </c>
      <c r="M613" t="s">
        <v>3898</v>
      </c>
      <c r="N613" t="s">
        <v>3899</v>
      </c>
      <c r="O613" t="s">
        <v>3896</v>
      </c>
      <c r="P613" t="s">
        <v>5059</v>
      </c>
      <c r="Q613" t="s">
        <v>8718</v>
      </c>
    </row>
    <row r="614" spans="1:17" x14ac:dyDescent="0.25">
      <c r="A614" t="s">
        <v>8719</v>
      </c>
      <c r="B614" t="s">
        <v>8720</v>
      </c>
      <c r="C614" t="s">
        <v>8721</v>
      </c>
      <c r="D614" t="s">
        <v>3140</v>
      </c>
      <c r="E614">
        <v>2019</v>
      </c>
      <c r="F614" t="s">
        <v>8722</v>
      </c>
      <c r="G614" t="s">
        <v>5059</v>
      </c>
      <c r="H614" t="s">
        <v>5059</v>
      </c>
      <c r="I614" t="s">
        <v>8723</v>
      </c>
      <c r="J614">
        <v>100</v>
      </c>
      <c r="K614">
        <v>110</v>
      </c>
      <c r="L614">
        <v>10</v>
      </c>
      <c r="M614" t="s">
        <v>3143</v>
      </c>
      <c r="N614" t="s">
        <v>3144</v>
      </c>
      <c r="O614" t="s">
        <v>3141</v>
      </c>
      <c r="P614" t="s">
        <v>5059</v>
      </c>
      <c r="Q614" t="s">
        <v>8724</v>
      </c>
    </row>
    <row r="615" spans="1:17" x14ac:dyDescent="0.25">
      <c r="A615" t="s">
        <v>8725</v>
      </c>
      <c r="B615" t="s">
        <v>8726</v>
      </c>
      <c r="C615" t="s">
        <v>8727</v>
      </c>
      <c r="D615" t="s">
        <v>3902</v>
      </c>
      <c r="E615">
        <v>2017</v>
      </c>
      <c r="F615" t="s">
        <v>7652</v>
      </c>
      <c r="G615" t="s">
        <v>5157</v>
      </c>
      <c r="H615" t="s">
        <v>5071</v>
      </c>
      <c r="I615" t="s">
        <v>8728</v>
      </c>
      <c r="M615" t="s">
        <v>3905</v>
      </c>
      <c r="N615" t="s">
        <v>3906</v>
      </c>
      <c r="O615" t="s">
        <v>3903</v>
      </c>
      <c r="P615" t="s">
        <v>8729</v>
      </c>
      <c r="Q615" t="s">
        <v>8730</v>
      </c>
    </row>
    <row r="616" spans="1:17" x14ac:dyDescent="0.25">
      <c r="A616" t="s">
        <v>5059</v>
      </c>
      <c r="B616" t="s">
        <v>5059</v>
      </c>
      <c r="C616" t="s">
        <v>5059</v>
      </c>
      <c r="D616" t="s">
        <v>3908</v>
      </c>
      <c r="E616">
        <v>2018</v>
      </c>
      <c r="F616" t="s">
        <v>3908</v>
      </c>
      <c r="G616" t="s">
        <v>5059</v>
      </c>
      <c r="H616" t="s">
        <v>5059</v>
      </c>
      <c r="I616" t="s">
        <v>5059</v>
      </c>
      <c r="L616">
        <v>3220</v>
      </c>
      <c r="M616" t="s">
        <v>5059</v>
      </c>
      <c r="N616" t="s">
        <v>3910</v>
      </c>
      <c r="O616" t="s">
        <v>8731</v>
      </c>
      <c r="P616" t="s">
        <v>5059</v>
      </c>
      <c r="Q616" t="s">
        <v>8732</v>
      </c>
    </row>
    <row r="617" spans="1:17" x14ac:dyDescent="0.25">
      <c r="A617" t="s">
        <v>8733</v>
      </c>
      <c r="B617" t="s">
        <v>8734</v>
      </c>
      <c r="C617" t="s">
        <v>8735</v>
      </c>
      <c r="D617" t="s">
        <v>3916</v>
      </c>
      <c r="E617">
        <v>2017</v>
      </c>
      <c r="F617" t="s">
        <v>8736</v>
      </c>
      <c r="G617" t="s">
        <v>5059</v>
      </c>
      <c r="H617" t="s">
        <v>5059</v>
      </c>
      <c r="I617" t="s">
        <v>8737</v>
      </c>
      <c r="J617">
        <v>424</v>
      </c>
      <c r="K617">
        <v>427</v>
      </c>
      <c r="L617">
        <v>3</v>
      </c>
      <c r="M617" t="s">
        <v>3919</v>
      </c>
      <c r="N617" t="s">
        <v>3920</v>
      </c>
      <c r="O617" t="s">
        <v>3917</v>
      </c>
      <c r="P617" t="s">
        <v>8738</v>
      </c>
      <c r="Q617" t="s">
        <v>8739</v>
      </c>
    </row>
    <row r="618" spans="1:17" x14ac:dyDescent="0.25">
      <c r="A618" t="s">
        <v>8740</v>
      </c>
      <c r="B618" t="s">
        <v>8741</v>
      </c>
      <c r="C618" t="s">
        <v>8742</v>
      </c>
      <c r="D618" t="s">
        <v>3154</v>
      </c>
      <c r="E618">
        <v>2019</v>
      </c>
      <c r="F618" t="s">
        <v>8743</v>
      </c>
      <c r="G618" t="s">
        <v>5059</v>
      </c>
      <c r="H618" t="s">
        <v>5059</v>
      </c>
      <c r="I618" t="s">
        <v>5059</v>
      </c>
      <c r="J618">
        <v>169</v>
      </c>
      <c r="K618">
        <v>178</v>
      </c>
      <c r="L618">
        <v>9</v>
      </c>
      <c r="M618" t="s">
        <v>3157</v>
      </c>
      <c r="N618" t="s">
        <v>3158</v>
      </c>
      <c r="O618" t="s">
        <v>3155</v>
      </c>
      <c r="P618" t="s">
        <v>3156</v>
      </c>
      <c r="Q618" t="s">
        <v>8744</v>
      </c>
    </row>
    <row r="619" spans="1:17" x14ac:dyDescent="0.25">
      <c r="A619" t="s">
        <v>8745</v>
      </c>
      <c r="B619" t="s">
        <v>8746</v>
      </c>
      <c r="C619" t="s">
        <v>8747</v>
      </c>
      <c r="D619" t="s">
        <v>3936</v>
      </c>
      <c r="E619">
        <v>2018</v>
      </c>
      <c r="F619" t="s">
        <v>5186</v>
      </c>
      <c r="G619" t="s">
        <v>5367</v>
      </c>
      <c r="H619" t="s">
        <v>5059</v>
      </c>
      <c r="I619" t="s">
        <v>5059</v>
      </c>
      <c r="J619">
        <v>24325</v>
      </c>
      <c r="K619">
        <v>24339</v>
      </c>
      <c r="L619">
        <v>14</v>
      </c>
      <c r="M619" t="s">
        <v>3939</v>
      </c>
      <c r="N619" t="s">
        <v>3940</v>
      </c>
      <c r="O619" t="s">
        <v>3937</v>
      </c>
      <c r="P619" t="s">
        <v>8748</v>
      </c>
      <c r="Q619" t="s">
        <v>8749</v>
      </c>
    </row>
    <row r="620" spans="1:17" x14ac:dyDescent="0.25">
      <c r="A620" t="s">
        <v>8750</v>
      </c>
      <c r="B620" t="s">
        <v>8751</v>
      </c>
      <c r="C620" t="s">
        <v>8752</v>
      </c>
      <c r="D620" t="s">
        <v>3943</v>
      </c>
      <c r="E620">
        <v>2017</v>
      </c>
      <c r="F620" t="s">
        <v>8753</v>
      </c>
      <c r="G620" t="s">
        <v>5059</v>
      </c>
      <c r="H620" t="s">
        <v>5059</v>
      </c>
      <c r="I620" t="s">
        <v>8754</v>
      </c>
      <c r="M620" t="s">
        <v>3946</v>
      </c>
      <c r="N620" t="s">
        <v>3947</v>
      </c>
      <c r="O620" t="s">
        <v>3944</v>
      </c>
      <c r="P620" t="s">
        <v>5059</v>
      </c>
      <c r="Q620" t="s">
        <v>8755</v>
      </c>
    </row>
    <row r="621" spans="1:17" x14ac:dyDescent="0.25">
      <c r="A621" t="s">
        <v>8756</v>
      </c>
      <c r="B621" t="s">
        <v>8757</v>
      </c>
      <c r="C621" t="s">
        <v>8758</v>
      </c>
      <c r="D621" t="s">
        <v>3182</v>
      </c>
      <c r="E621">
        <v>2019</v>
      </c>
      <c r="F621" t="s">
        <v>8759</v>
      </c>
      <c r="G621" t="s">
        <v>8760</v>
      </c>
      <c r="H621" t="s">
        <v>5059</v>
      </c>
      <c r="I621" t="s">
        <v>8761</v>
      </c>
      <c r="M621" t="s">
        <v>3185</v>
      </c>
      <c r="N621" t="s">
        <v>3186</v>
      </c>
      <c r="O621" t="s">
        <v>3183</v>
      </c>
      <c r="P621" t="s">
        <v>8762</v>
      </c>
      <c r="Q621" t="s">
        <v>8763</v>
      </c>
    </row>
    <row r="622" spans="1:17" x14ac:dyDescent="0.25">
      <c r="A622" t="s">
        <v>8764</v>
      </c>
      <c r="B622" t="s">
        <v>8765</v>
      </c>
      <c r="C622" t="s">
        <v>8766</v>
      </c>
      <c r="D622" t="s">
        <v>3964</v>
      </c>
      <c r="E622">
        <v>2017</v>
      </c>
      <c r="F622" t="s">
        <v>7192</v>
      </c>
      <c r="G622" t="s">
        <v>5059</v>
      </c>
      <c r="H622" t="s">
        <v>5059</v>
      </c>
      <c r="I622" t="s">
        <v>8767</v>
      </c>
      <c r="M622" t="s">
        <v>3967</v>
      </c>
      <c r="N622" t="s">
        <v>3968</v>
      </c>
      <c r="O622" t="s">
        <v>3965</v>
      </c>
      <c r="P622" t="s">
        <v>5059</v>
      </c>
      <c r="Q622" t="s">
        <v>8768</v>
      </c>
    </row>
    <row r="623" spans="1:17" x14ac:dyDescent="0.25">
      <c r="A623" t="s">
        <v>8769</v>
      </c>
      <c r="B623" t="s">
        <v>8770</v>
      </c>
      <c r="C623" t="s">
        <v>8771</v>
      </c>
      <c r="D623" t="s">
        <v>3971</v>
      </c>
      <c r="E623">
        <v>2019</v>
      </c>
      <c r="F623" t="s">
        <v>8772</v>
      </c>
      <c r="G623" t="s">
        <v>5059</v>
      </c>
      <c r="H623" t="s">
        <v>5059</v>
      </c>
      <c r="I623" t="s">
        <v>5059</v>
      </c>
      <c r="J623">
        <v>12</v>
      </c>
      <c r="K623">
        <v>18</v>
      </c>
      <c r="L623">
        <v>6</v>
      </c>
      <c r="M623" t="s">
        <v>5059</v>
      </c>
      <c r="N623" t="s">
        <v>3974</v>
      </c>
      <c r="O623" t="s">
        <v>3972</v>
      </c>
      <c r="P623" t="s">
        <v>8773</v>
      </c>
      <c r="Q623" t="s">
        <v>8774</v>
      </c>
    </row>
    <row r="624" spans="1:17" x14ac:dyDescent="0.25">
      <c r="A624" t="s">
        <v>8775</v>
      </c>
      <c r="B624" t="s">
        <v>8776</v>
      </c>
      <c r="C624" t="s">
        <v>8777</v>
      </c>
      <c r="D624" t="s">
        <v>3977</v>
      </c>
      <c r="E624">
        <v>2017</v>
      </c>
      <c r="F624" t="s">
        <v>8778</v>
      </c>
      <c r="G624" t="s">
        <v>8779</v>
      </c>
      <c r="H624" t="s">
        <v>5059</v>
      </c>
      <c r="I624" t="s">
        <v>5059</v>
      </c>
      <c r="J624">
        <v>600</v>
      </c>
      <c r="K624">
        <v>602</v>
      </c>
      <c r="L624">
        <v>2</v>
      </c>
      <c r="M624" t="s">
        <v>3980</v>
      </c>
      <c r="N624" t="s">
        <v>3981</v>
      </c>
      <c r="O624" t="s">
        <v>3978</v>
      </c>
      <c r="P624" t="s">
        <v>8780</v>
      </c>
      <c r="Q624" t="s">
        <v>8781</v>
      </c>
    </row>
    <row r="625" spans="1:17" x14ac:dyDescent="0.25">
      <c r="A625" t="s">
        <v>5059</v>
      </c>
      <c r="B625" t="s">
        <v>5059</v>
      </c>
      <c r="C625" t="s">
        <v>5059</v>
      </c>
      <c r="D625" t="s">
        <v>3989</v>
      </c>
      <c r="E625">
        <v>2018</v>
      </c>
      <c r="F625" t="s">
        <v>3989</v>
      </c>
      <c r="G625" t="s">
        <v>5059</v>
      </c>
      <c r="H625" t="s">
        <v>5059</v>
      </c>
      <c r="I625" t="s">
        <v>5059</v>
      </c>
      <c r="L625">
        <v>366</v>
      </c>
      <c r="M625" t="s">
        <v>5059</v>
      </c>
      <c r="N625" t="s">
        <v>3991</v>
      </c>
      <c r="O625" t="s">
        <v>8782</v>
      </c>
      <c r="P625" t="s">
        <v>5059</v>
      </c>
      <c r="Q625" t="s">
        <v>8783</v>
      </c>
    </row>
    <row r="626" spans="1:17" x14ac:dyDescent="0.25">
      <c r="A626" t="s">
        <v>8784</v>
      </c>
      <c r="B626" t="s">
        <v>8785</v>
      </c>
      <c r="C626" t="s">
        <v>8786</v>
      </c>
      <c r="D626" t="s">
        <v>3230</v>
      </c>
      <c r="E626">
        <v>2019</v>
      </c>
      <c r="F626" t="s">
        <v>7602</v>
      </c>
      <c r="G626" t="s">
        <v>5549</v>
      </c>
      <c r="H626" t="s">
        <v>5091</v>
      </c>
      <c r="I626" t="s">
        <v>8787</v>
      </c>
      <c r="M626" t="s">
        <v>3233</v>
      </c>
      <c r="N626" t="s">
        <v>3234</v>
      </c>
      <c r="O626" t="s">
        <v>3231</v>
      </c>
      <c r="P626" t="s">
        <v>8788</v>
      </c>
      <c r="Q626" t="s">
        <v>8789</v>
      </c>
    </row>
    <row r="627" spans="1:17" x14ac:dyDescent="0.25">
      <c r="A627" t="s">
        <v>8790</v>
      </c>
      <c r="B627" t="s">
        <v>8791</v>
      </c>
      <c r="C627" t="s">
        <v>8792</v>
      </c>
      <c r="D627" t="s">
        <v>3994</v>
      </c>
      <c r="E627">
        <v>2018</v>
      </c>
      <c r="F627" t="s">
        <v>8197</v>
      </c>
      <c r="G627" t="s">
        <v>5367</v>
      </c>
      <c r="H627" t="s">
        <v>5202</v>
      </c>
      <c r="I627" t="s">
        <v>5059</v>
      </c>
      <c r="J627">
        <v>18</v>
      </c>
      <c r="K627">
        <v>30</v>
      </c>
      <c r="L627">
        <v>12</v>
      </c>
      <c r="M627" t="s">
        <v>3997</v>
      </c>
      <c r="N627" t="s">
        <v>3998</v>
      </c>
      <c r="O627" t="s">
        <v>3995</v>
      </c>
      <c r="P627" t="s">
        <v>8793</v>
      </c>
      <c r="Q627" t="s">
        <v>8794</v>
      </c>
    </row>
    <row r="628" spans="1:17" x14ac:dyDescent="0.25">
      <c r="A628" t="s">
        <v>8795</v>
      </c>
      <c r="B628" t="s">
        <v>8796</v>
      </c>
      <c r="C628" t="s">
        <v>8797</v>
      </c>
      <c r="D628" t="s">
        <v>4001</v>
      </c>
      <c r="E628">
        <v>2018</v>
      </c>
      <c r="F628" t="s">
        <v>6258</v>
      </c>
      <c r="G628" t="s">
        <v>8798</v>
      </c>
      <c r="H628" t="s">
        <v>5059</v>
      </c>
      <c r="I628" t="s">
        <v>5059</v>
      </c>
      <c r="J628">
        <v>96</v>
      </c>
      <c r="K628">
        <v>107</v>
      </c>
      <c r="L628">
        <v>11</v>
      </c>
      <c r="M628" t="s">
        <v>4004</v>
      </c>
      <c r="N628" t="s">
        <v>4005</v>
      </c>
      <c r="O628" t="s">
        <v>4002</v>
      </c>
      <c r="P628" t="s">
        <v>8799</v>
      </c>
      <c r="Q628" t="s">
        <v>8800</v>
      </c>
    </row>
    <row r="629" spans="1:17" x14ac:dyDescent="0.25">
      <c r="A629" t="s">
        <v>8801</v>
      </c>
      <c r="B629" t="s">
        <v>8802</v>
      </c>
      <c r="C629" t="s">
        <v>8803</v>
      </c>
      <c r="D629" t="s">
        <v>4008</v>
      </c>
      <c r="E629">
        <v>2017</v>
      </c>
      <c r="F629" t="s">
        <v>8804</v>
      </c>
      <c r="G629" t="s">
        <v>5059</v>
      </c>
      <c r="H629" t="s">
        <v>5059</v>
      </c>
      <c r="I629" t="s">
        <v>8805</v>
      </c>
      <c r="M629" t="s">
        <v>4011</v>
      </c>
      <c r="N629" t="s">
        <v>4012</v>
      </c>
      <c r="O629" t="s">
        <v>4009</v>
      </c>
      <c r="P629" t="s">
        <v>8806</v>
      </c>
      <c r="Q629" t="s">
        <v>8807</v>
      </c>
    </row>
    <row r="630" spans="1:17" x14ac:dyDescent="0.25">
      <c r="A630" t="s">
        <v>8808</v>
      </c>
      <c r="B630" t="s">
        <v>8809</v>
      </c>
      <c r="C630" t="s">
        <v>8154</v>
      </c>
      <c r="D630" t="s">
        <v>4022</v>
      </c>
      <c r="E630">
        <v>2018</v>
      </c>
      <c r="F630" t="s">
        <v>8669</v>
      </c>
      <c r="G630" t="s">
        <v>5059</v>
      </c>
      <c r="H630" t="s">
        <v>5059</v>
      </c>
      <c r="I630" t="s">
        <v>8810</v>
      </c>
      <c r="J630">
        <v>21</v>
      </c>
      <c r="K630">
        <v>26</v>
      </c>
      <c r="L630">
        <v>5</v>
      </c>
      <c r="M630" t="s">
        <v>4025</v>
      </c>
      <c r="N630" t="s">
        <v>4026</v>
      </c>
      <c r="O630" t="s">
        <v>4023</v>
      </c>
      <c r="P630" t="s">
        <v>8811</v>
      </c>
      <c r="Q630" t="s">
        <v>8812</v>
      </c>
    </row>
    <row r="631" spans="1:17" x14ac:dyDescent="0.25">
      <c r="A631" t="s">
        <v>8813</v>
      </c>
      <c r="B631" t="s">
        <v>8814</v>
      </c>
      <c r="C631" t="s">
        <v>8815</v>
      </c>
      <c r="D631" t="s">
        <v>3291</v>
      </c>
      <c r="E631">
        <v>2019</v>
      </c>
      <c r="F631" t="s">
        <v>4039</v>
      </c>
      <c r="G631" t="s">
        <v>8237</v>
      </c>
      <c r="H631" t="s">
        <v>5059</v>
      </c>
      <c r="I631" t="s">
        <v>8816</v>
      </c>
      <c r="M631" t="s">
        <v>3294</v>
      </c>
      <c r="N631" t="s">
        <v>3295</v>
      </c>
      <c r="O631" t="s">
        <v>3292</v>
      </c>
      <c r="P631" t="s">
        <v>8817</v>
      </c>
      <c r="Q631" t="s">
        <v>8818</v>
      </c>
    </row>
    <row r="632" spans="1:17" x14ac:dyDescent="0.25">
      <c r="A632" t="s">
        <v>5059</v>
      </c>
      <c r="B632" t="s">
        <v>5059</v>
      </c>
      <c r="C632" t="s">
        <v>5059</v>
      </c>
      <c r="D632" t="s">
        <v>4035</v>
      </c>
      <c r="E632">
        <v>2019</v>
      </c>
      <c r="F632" t="s">
        <v>5806</v>
      </c>
      <c r="G632" t="s">
        <v>8819</v>
      </c>
      <c r="H632" t="s">
        <v>5059</v>
      </c>
      <c r="I632" t="s">
        <v>5059</v>
      </c>
      <c r="L632">
        <v>248</v>
      </c>
      <c r="M632" t="s">
        <v>5059</v>
      </c>
      <c r="N632" t="s">
        <v>4037</v>
      </c>
      <c r="O632" t="s">
        <v>4036</v>
      </c>
      <c r="P632" t="s">
        <v>5059</v>
      </c>
      <c r="Q632" t="s">
        <v>8820</v>
      </c>
    </row>
    <row r="633" spans="1:17" x14ac:dyDescent="0.25">
      <c r="A633" t="s">
        <v>5059</v>
      </c>
      <c r="B633" t="s">
        <v>5059</v>
      </c>
      <c r="C633" t="s">
        <v>5059</v>
      </c>
      <c r="D633" t="s">
        <v>4039</v>
      </c>
      <c r="E633">
        <v>2017</v>
      </c>
      <c r="F633" t="s">
        <v>4039</v>
      </c>
      <c r="G633" t="s">
        <v>8821</v>
      </c>
      <c r="H633" t="s">
        <v>5059</v>
      </c>
      <c r="I633" t="s">
        <v>5059</v>
      </c>
      <c r="L633">
        <v>1432</v>
      </c>
      <c r="M633" t="s">
        <v>5059</v>
      </c>
      <c r="N633" t="s">
        <v>4041</v>
      </c>
      <c r="O633" t="s">
        <v>8822</v>
      </c>
      <c r="P633" t="s">
        <v>5059</v>
      </c>
      <c r="Q633" t="s">
        <v>8823</v>
      </c>
    </row>
    <row r="634" spans="1:17" x14ac:dyDescent="0.25">
      <c r="A634" t="s">
        <v>8824</v>
      </c>
      <c r="B634" t="s">
        <v>8825</v>
      </c>
      <c r="C634" t="s">
        <v>8826</v>
      </c>
      <c r="D634" t="s">
        <v>3312</v>
      </c>
      <c r="E634">
        <v>2019</v>
      </c>
      <c r="F634" t="s">
        <v>8827</v>
      </c>
      <c r="G634" t="s">
        <v>5059</v>
      </c>
      <c r="H634" t="s">
        <v>5059</v>
      </c>
      <c r="I634" t="s">
        <v>8828</v>
      </c>
      <c r="M634" t="s">
        <v>3315</v>
      </c>
      <c r="N634" t="s">
        <v>3316</v>
      </c>
      <c r="O634" t="s">
        <v>3313</v>
      </c>
      <c r="P634" t="s">
        <v>8829</v>
      </c>
      <c r="Q634" t="s">
        <v>8830</v>
      </c>
    </row>
    <row r="635" spans="1:17" x14ac:dyDescent="0.25">
      <c r="A635" t="s">
        <v>8831</v>
      </c>
      <c r="B635" t="s">
        <v>8832</v>
      </c>
      <c r="C635" t="s">
        <v>8833</v>
      </c>
      <c r="D635" t="s">
        <v>3319</v>
      </c>
      <c r="E635">
        <v>2019</v>
      </c>
      <c r="F635" t="s">
        <v>6165</v>
      </c>
      <c r="G635" t="s">
        <v>8760</v>
      </c>
      <c r="H635" t="s">
        <v>5059</v>
      </c>
      <c r="I635" t="s">
        <v>8834</v>
      </c>
      <c r="M635" t="s">
        <v>3322</v>
      </c>
      <c r="N635" t="s">
        <v>3323</v>
      </c>
      <c r="O635" t="s">
        <v>3320</v>
      </c>
      <c r="P635" t="s">
        <v>8835</v>
      </c>
      <c r="Q635" t="s">
        <v>8836</v>
      </c>
    </row>
    <row r="636" spans="1:17" x14ac:dyDescent="0.25">
      <c r="A636" t="s">
        <v>8837</v>
      </c>
      <c r="B636" t="s">
        <v>8838</v>
      </c>
      <c r="C636" t="s">
        <v>8839</v>
      </c>
      <c r="D636" t="s">
        <v>4044</v>
      </c>
      <c r="E636">
        <v>2019</v>
      </c>
      <c r="F636" t="s">
        <v>8840</v>
      </c>
      <c r="G636" t="s">
        <v>5549</v>
      </c>
      <c r="H636" t="s">
        <v>5051</v>
      </c>
      <c r="I636" t="s">
        <v>5059</v>
      </c>
      <c r="J636">
        <v>245</v>
      </c>
      <c r="K636">
        <v>264</v>
      </c>
      <c r="L636">
        <v>19</v>
      </c>
      <c r="M636" t="s">
        <v>4047</v>
      </c>
      <c r="N636" t="s">
        <v>4048</v>
      </c>
      <c r="O636" t="s">
        <v>8841</v>
      </c>
      <c r="P636" t="s">
        <v>8842</v>
      </c>
      <c r="Q636" t="s">
        <v>8843</v>
      </c>
    </row>
    <row r="637" spans="1:17" x14ac:dyDescent="0.25">
      <c r="A637" t="s">
        <v>8844</v>
      </c>
      <c r="B637" t="s">
        <v>8845</v>
      </c>
      <c r="C637" t="s">
        <v>8846</v>
      </c>
      <c r="D637" t="s">
        <v>3326</v>
      </c>
      <c r="E637">
        <v>2019</v>
      </c>
      <c r="F637" t="s">
        <v>8847</v>
      </c>
      <c r="G637" t="s">
        <v>8848</v>
      </c>
      <c r="H637" t="s">
        <v>5059</v>
      </c>
      <c r="I637" t="s">
        <v>5059</v>
      </c>
      <c r="J637">
        <v>59</v>
      </c>
      <c r="K637">
        <v>73</v>
      </c>
      <c r="L637">
        <v>14</v>
      </c>
      <c r="M637" t="s">
        <v>3329</v>
      </c>
      <c r="N637" t="s">
        <v>3330</v>
      </c>
      <c r="O637" t="s">
        <v>3327</v>
      </c>
      <c r="P637" t="s">
        <v>8849</v>
      </c>
      <c r="Q637" t="s">
        <v>8850</v>
      </c>
    </row>
    <row r="638" spans="1:17" x14ac:dyDescent="0.25">
      <c r="A638" t="s">
        <v>8851</v>
      </c>
      <c r="B638" t="s">
        <v>8852</v>
      </c>
      <c r="C638" t="s">
        <v>8853</v>
      </c>
      <c r="D638" t="s">
        <v>3333</v>
      </c>
      <c r="E638">
        <v>2019</v>
      </c>
      <c r="F638" t="s">
        <v>7652</v>
      </c>
      <c r="G638" t="s">
        <v>6542</v>
      </c>
      <c r="H638" t="s">
        <v>5051</v>
      </c>
      <c r="I638" t="s">
        <v>8854</v>
      </c>
      <c r="M638" t="s">
        <v>3336</v>
      </c>
      <c r="N638" t="s">
        <v>3337</v>
      </c>
      <c r="O638" t="s">
        <v>8855</v>
      </c>
      <c r="P638" t="s">
        <v>8856</v>
      </c>
      <c r="Q638" t="s">
        <v>8857</v>
      </c>
    </row>
    <row r="639" spans="1:17" x14ac:dyDescent="0.25">
      <c r="A639" t="s">
        <v>8858</v>
      </c>
      <c r="B639" t="s">
        <v>8859</v>
      </c>
      <c r="C639" t="s">
        <v>8860</v>
      </c>
      <c r="D639" t="s">
        <v>4051</v>
      </c>
      <c r="E639">
        <v>2019</v>
      </c>
      <c r="F639" t="s">
        <v>8861</v>
      </c>
      <c r="G639" t="s">
        <v>8862</v>
      </c>
      <c r="H639" t="s">
        <v>5059</v>
      </c>
      <c r="I639" t="s">
        <v>5059</v>
      </c>
      <c r="M639" t="s">
        <v>4054</v>
      </c>
      <c r="N639" t="s">
        <v>4055</v>
      </c>
      <c r="O639" t="s">
        <v>4052</v>
      </c>
      <c r="P639" t="s">
        <v>5059</v>
      </c>
      <c r="Q639" t="s">
        <v>8863</v>
      </c>
    </row>
    <row r="640" spans="1:17" x14ac:dyDescent="0.25">
      <c r="A640" t="s">
        <v>8864</v>
      </c>
      <c r="B640" t="s">
        <v>8865</v>
      </c>
      <c r="C640" t="s">
        <v>8866</v>
      </c>
      <c r="D640" t="s">
        <v>3347</v>
      </c>
      <c r="E640">
        <v>2019</v>
      </c>
      <c r="F640" t="s">
        <v>7476</v>
      </c>
      <c r="G640" t="s">
        <v>5102</v>
      </c>
      <c r="H640" t="s">
        <v>5050</v>
      </c>
      <c r="I640" t="s">
        <v>8867</v>
      </c>
      <c r="M640" t="s">
        <v>3350</v>
      </c>
      <c r="N640" t="s">
        <v>3351</v>
      </c>
      <c r="O640" t="s">
        <v>3348</v>
      </c>
      <c r="P640" t="s">
        <v>8868</v>
      </c>
      <c r="Q640" t="s">
        <v>8869</v>
      </c>
    </row>
    <row r="641" spans="1:17" x14ac:dyDescent="0.25">
      <c r="A641" t="s">
        <v>8870</v>
      </c>
      <c r="B641" t="s">
        <v>8871</v>
      </c>
      <c r="C641" t="s">
        <v>8872</v>
      </c>
      <c r="D641" t="s">
        <v>4058</v>
      </c>
      <c r="E641">
        <v>2018</v>
      </c>
      <c r="F641" t="s">
        <v>8873</v>
      </c>
      <c r="G641" t="s">
        <v>5059</v>
      </c>
      <c r="H641" t="s">
        <v>5059</v>
      </c>
      <c r="I641" t="s">
        <v>8874</v>
      </c>
      <c r="J641">
        <v>61</v>
      </c>
      <c r="K641">
        <v>65</v>
      </c>
      <c r="L641">
        <v>4</v>
      </c>
      <c r="M641" t="s">
        <v>4061</v>
      </c>
      <c r="N641" t="s">
        <v>4062</v>
      </c>
      <c r="O641" t="s">
        <v>4059</v>
      </c>
      <c r="P641" t="s">
        <v>8875</v>
      </c>
      <c r="Q641" t="s">
        <v>8876</v>
      </c>
    </row>
    <row r="642" spans="1:17" x14ac:dyDescent="0.25">
      <c r="A642" t="s">
        <v>5059</v>
      </c>
      <c r="B642" t="s">
        <v>5059</v>
      </c>
      <c r="C642" t="s">
        <v>5059</v>
      </c>
      <c r="D642" t="s">
        <v>4070</v>
      </c>
      <c r="E642">
        <v>2019</v>
      </c>
      <c r="F642" t="s">
        <v>8546</v>
      </c>
      <c r="G642" t="s">
        <v>8877</v>
      </c>
      <c r="H642" t="s">
        <v>5059</v>
      </c>
      <c r="I642" t="s">
        <v>5059</v>
      </c>
      <c r="L642">
        <v>1262</v>
      </c>
      <c r="M642" t="s">
        <v>5059</v>
      </c>
      <c r="N642" t="s">
        <v>4072</v>
      </c>
      <c r="O642" t="s">
        <v>8878</v>
      </c>
      <c r="P642" t="s">
        <v>5059</v>
      </c>
      <c r="Q642" t="s">
        <v>8879</v>
      </c>
    </row>
    <row r="643" spans="1:17" x14ac:dyDescent="0.25">
      <c r="A643" t="s">
        <v>8880</v>
      </c>
      <c r="B643" t="s">
        <v>8881</v>
      </c>
      <c r="C643" t="s">
        <v>8882</v>
      </c>
      <c r="D643" t="s">
        <v>3360</v>
      </c>
      <c r="E643">
        <v>2019</v>
      </c>
      <c r="F643" t="s">
        <v>8883</v>
      </c>
      <c r="G643" t="s">
        <v>5059</v>
      </c>
      <c r="H643" t="s">
        <v>5059</v>
      </c>
      <c r="I643" t="s">
        <v>8884</v>
      </c>
      <c r="M643" t="s">
        <v>3363</v>
      </c>
      <c r="N643" t="s">
        <v>3364</v>
      </c>
      <c r="O643" t="s">
        <v>3361</v>
      </c>
      <c r="P643" t="s">
        <v>8885</v>
      </c>
      <c r="Q643" t="s">
        <v>8886</v>
      </c>
    </row>
    <row r="644" spans="1:17" x14ac:dyDescent="0.25">
      <c r="A644" t="s">
        <v>8887</v>
      </c>
      <c r="B644" t="s">
        <v>8888</v>
      </c>
      <c r="C644" t="s">
        <v>8889</v>
      </c>
      <c r="D644" t="s">
        <v>4075</v>
      </c>
      <c r="E644">
        <v>2019</v>
      </c>
      <c r="F644" t="s">
        <v>5186</v>
      </c>
      <c r="G644" t="s">
        <v>5195</v>
      </c>
      <c r="H644" t="s">
        <v>5059</v>
      </c>
      <c r="I644" t="s">
        <v>8890</v>
      </c>
      <c r="J644">
        <v>51782</v>
      </c>
      <c r="K644">
        <v>51789</v>
      </c>
      <c r="L644">
        <v>7</v>
      </c>
      <c r="M644" t="s">
        <v>4078</v>
      </c>
      <c r="N644" t="s">
        <v>4079</v>
      </c>
      <c r="O644" t="s">
        <v>4076</v>
      </c>
      <c r="P644" t="s">
        <v>8891</v>
      </c>
      <c r="Q644" t="s">
        <v>8892</v>
      </c>
    </row>
    <row r="645" spans="1:17" x14ac:dyDescent="0.25">
      <c r="A645" t="s">
        <v>8893</v>
      </c>
      <c r="B645" t="s">
        <v>8894</v>
      </c>
      <c r="C645" t="s">
        <v>8895</v>
      </c>
      <c r="D645" t="s">
        <v>3367</v>
      </c>
      <c r="E645">
        <v>2019</v>
      </c>
      <c r="F645" t="s">
        <v>8896</v>
      </c>
      <c r="G645" t="s">
        <v>5202</v>
      </c>
      <c r="H645" t="s">
        <v>5059</v>
      </c>
      <c r="I645" t="s">
        <v>5059</v>
      </c>
      <c r="J645">
        <v>162</v>
      </c>
      <c r="K645">
        <v>167</v>
      </c>
      <c r="L645">
        <v>5</v>
      </c>
      <c r="M645" t="s">
        <v>5059</v>
      </c>
      <c r="N645" t="s">
        <v>3370</v>
      </c>
      <c r="O645" t="s">
        <v>3368</v>
      </c>
      <c r="P645" t="s">
        <v>8897</v>
      </c>
      <c r="Q645" t="s">
        <v>8898</v>
      </c>
    </row>
    <row r="646" spans="1:17" x14ac:dyDescent="0.25">
      <c r="A646" t="s">
        <v>8899</v>
      </c>
      <c r="B646" t="s">
        <v>8900</v>
      </c>
      <c r="C646" t="s">
        <v>8901</v>
      </c>
      <c r="D646" t="s">
        <v>4088</v>
      </c>
      <c r="E646">
        <v>2017</v>
      </c>
      <c r="F646" t="s">
        <v>6534</v>
      </c>
      <c r="G646" t="s">
        <v>8902</v>
      </c>
      <c r="H646" t="s">
        <v>5059</v>
      </c>
      <c r="I646" t="s">
        <v>5059</v>
      </c>
      <c r="J646">
        <v>45</v>
      </c>
      <c r="K646">
        <v>98</v>
      </c>
      <c r="L646">
        <v>53</v>
      </c>
      <c r="M646" t="s">
        <v>4091</v>
      </c>
      <c r="N646" t="s">
        <v>4092</v>
      </c>
      <c r="O646" t="s">
        <v>4089</v>
      </c>
      <c r="P646" t="s">
        <v>8903</v>
      </c>
      <c r="Q646" t="s">
        <v>8904</v>
      </c>
    </row>
    <row r="647" spans="1:17" x14ac:dyDescent="0.25">
      <c r="A647" t="s">
        <v>8905</v>
      </c>
      <c r="B647" t="s">
        <v>8906</v>
      </c>
      <c r="C647" t="s">
        <v>8907</v>
      </c>
      <c r="D647" t="s">
        <v>4102</v>
      </c>
      <c r="E647">
        <v>2018</v>
      </c>
      <c r="F647" t="s">
        <v>4039</v>
      </c>
      <c r="G647" t="s">
        <v>8908</v>
      </c>
      <c r="H647" t="s">
        <v>5059</v>
      </c>
      <c r="I647" t="s">
        <v>8909</v>
      </c>
      <c r="M647" t="s">
        <v>4105</v>
      </c>
      <c r="N647" t="s">
        <v>4106</v>
      </c>
      <c r="O647" t="s">
        <v>4103</v>
      </c>
      <c r="P647" t="s">
        <v>5059</v>
      </c>
      <c r="Q647" t="s">
        <v>8910</v>
      </c>
    </row>
    <row r="648" spans="1:17" x14ac:dyDescent="0.25">
      <c r="A648" t="s">
        <v>8911</v>
      </c>
      <c r="B648" t="s">
        <v>8912</v>
      </c>
      <c r="C648" t="s">
        <v>8913</v>
      </c>
      <c r="D648" t="s">
        <v>4109</v>
      </c>
      <c r="E648">
        <v>2017</v>
      </c>
      <c r="F648" t="s">
        <v>4039</v>
      </c>
      <c r="G648" t="s">
        <v>8821</v>
      </c>
      <c r="H648" t="s">
        <v>5059</v>
      </c>
      <c r="I648" t="s">
        <v>8914</v>
      </c>
      <c r="M648" t="s">
        <v>4112</v>
      </c>
      <c r="N648" t="s">
        <v>4113</v>
      </c>
      <c r="O648" t="s">
        <v>4110</v>
      </c>
      <c r="P648" t="s">
        <v>8915</v>
      </c>
      <c r="Q648" t="s">
        <v>8916</v>
      </c>
    </row>
    <row r="649" spans="1:17" x14ac:dyDescent="0.25">
      <c r="A649" t="s">
        <v>8917</v>
      </c>
      <c r="B649" t="s">
        <v>8918</v>
      </c>
      <c r="C649" t="s">
        <v>8919</v>
      </c>
      <c r="D649" t="s">
        <v>4116</v>
      </c>
      <c r="E649">
        <v>2017</v>
      </c>
      <c r="F649" t="s">
        <v>4039</v>
      </c>
      <c r="G649" t="s">
        <v>8821</v>
      </c>
      <c r="H649" t="s">
        <v>5059</v>
      </c>
      <c r="I649" t="s">
        <v>8920</v>
      </c>
      <c r="M649" t="s">
        <v>4119</v>
      </c>
      <c r="N649" t="s">
        <v>4120</v>
      </c>
      <c r="O649" t="s">
        <v>4117</v>
      </c>
      <c r="P649" t="s">
        <v>8921</v>
      </c>
      <c r="Q649" t="s">
        <v>8922</v>
      </c>
    </row>
    <row r="650" spans="1:17" x14ac:dyDescent="0.25">
      <c r="A650" t="s">
        <v>8923</v>
      </c>
      <c r="B650" t="s">
        <v>8924</v>
      </c>
      <c r="C650" t="s">
        <v>8925</v>
      </c>
      <c r="D650" t="s">
        <v>4123</v>
      </c>
      <c r="E650">
        <v>2017</v>
      </c>
      <c r="F650" t="s">
        <v>8926</v>
      </c>
      <c r="G650" t="s">
        <v>5059</v>
      </c>
      <c r="H650" t="s">
        <v>5059</v>
      </c>
      <c r="I650" t="s">
        <v>8927</v>
      </c>
      <c r="J650">
        <v>985</v>
      </c>
      <c r="K650">
        <v>989</v>
      </c>
      <c r="L650">
        <v>4</v>
      </c>
      <c r="M650" t="s">
        <v>4126</v>
      </c>
      <c r="N650" t="s">
        <v>4127</v>
      </c>
      <c r="O650" t="s">
        <v>4124</v>
      </c>
      <c r="P650" t="s">
        <v>8928</v>
      </c>
      <c r="Q650" t="s">
        <v>8929</v>
      </c>
    </row>
    <row r="651" spans="1:17" x14ac:dyDescent="0.25">
      <c r="A651" t="s">
        <v>5059</v>
      </c>
      <c r="B651" t="s">
        <v>5059</v>
      </c>
      <c r="C651" t="s">
        <v>5059</v>
      </c>
      <c r="D651" t="s">
        <v>3420</v>
      </c>
      <c r="E651">
        <v>2019</v>
      </c>
      <c r="F651" t="s">
        <v>3420</v>
      </c>
      <c r="G651" t="s">
        <v>5059</v>
      </c>
      <c r="H651" t="s">
        <v>5059</v>
      </c>
      <c r="I651" t="s">
        <v>5059</v>
      </c>
      <c r="L651">
        <v>270</v>
      </c>
      <c r="M651" t="s">
        <v>5059</v>
      </c>
      <c r="N651" t="s">
        <v>3422</v>
      </c>
      <c r="O651" t="s">
        <v>3421</v>
      </c>
      <c r="P651" t="s">
        <v>5059</v>
      </c>
      <c r="Q651" t="s">
        <v>8930</v>
      </c>
    </row>
    <row r="652" spans="1:17" x14ac:dyDescent="0.25">
      <c r="A652" t="s">
        <v>8931</v>
      </c>
      <c r="B652" t="s">
        <v>8932</v>
      </c>
      <c r="C652" t="s">
        <v>8933</v>
      </c>
      <c r="D652" t="s">
        <v>4151</v>
      </c>
      <c r="E652">
        <v>2018</v>
      </c>
      <c r="F652" t="s">
        <v>8934</v>
      </c>
      <c r="G652" t="s">
        <v>5059</v>
      </c>
      <c r="H652" t="s">
        <v>5059</v>
      </c>
      <c r="I652" t="s">
        <v>8935</v>
      </c>
      <c r="J652">
        <v>32</v>
      </c>
      <c r="K652">
        <v>37</v>
      </c>
      <c r="L652">
        <v>5</v>
      </c>
      <c r="M652" t="s">
        <v>4154</v>
      </c>
      <c r="N652" t="s">
        <v>4155</v>
      </c>
      <c r="O652" t="s">
        <v>4152</v>
      </c>
      <c r="P652" t="s">
        <v>8936</v>
      </c>
      <c r="Q652" t="s">
        <v>8937</v>
      </c>
    </row>
    <row r="653" spans="1:17" x14ac:dyDescent="0.25">
      <c r="A653" t="s">
        <v>5059</v>
      </c>
      <c r="B653" t="s">
        <v>5059</v>
      </c>
      <c r="C653" t="s">
        <v>5059</v>
      </c>
      <c r="D653" t="s">
        <v>4157</v>
      </c>
      <c r="E653">
        <v>2018</v>
      </c>
      <c r="F653" t="s">
        <v>4157</v>
      </c>
      <c r="G653" t="s">
        <v>8938</v>
      </c>
      <c r="H653" t="s">
        <v>5059</v>
      </c>
      <c r="I653" t="s">
        <v>5059</v>
      </c>
      <c r="L653">
        <v>152</v>
      </c>
      <c r="M653" t="s">
        <v>5059</v>
      </c>
      <c r="N653" t="s">
        <v>4159</v>
      </c>
      <c r="O653" t="s">
        <v>8939</v>
      </c>
      <c r="P653" t="s">
        <v>5059</v>
      </c>
      <c r="Q653" t="s">
        <v>8940</v>
      </c>
    </row>
    <row r="654" spans="1:17" x14ac:dyDescent="0.25">
      <c r="A654" t="s">
        <v>8941</v>
      </c>
      <c r="B654" t="s">
        <v>8942</v>
      </c>
      <c r="C654" t="s">
        <v>8943</v>
      </c>
      <c r="D654" t="s">
        <v>3474</v>
      </c>
      <c r="E654">
        <v>2019</v>
      </c>
      <c r="F654" t="s">
        <v>5568</v>
      </c>
      <c r="G654" t="s">
        <v>8944</v>
      </c>
      <c r="H654" t="s">
        <v>5059</v>
      </c>
      <c r="I654" t="s">
        <v>5059</v>
      </c>
      <c r="J654">
        <v>386</v>
      </c>
      <c r="K654">
        <v>401</v>
      </c>
      <c r="L654">
        <v>15</v>
      </c>
      <c r="M654" t="s">
        <v>3477</v>
      </c>
      <c r="N654" t="s">
        <v>3478</v>
      </c>
      <c r="O654" t="s">
        <v>3475</v>
      </c>
      <c r="P654" t="s">
        <v>8945</v>
      </c>
      <c r="Q654" t="s">
        <v>8946</v>
      </c>
    </row>
    <row r="655" spans="1:17" x14ac:dyDescent="0.25">
      <c r="A655" t="s">
        <v>8947</v>
      </c>
      <c r="B655" t="s">
        <v>8948</v>
      </c>
      <c r="C655" t="s">
        <v>8949</v>
      </c>
      <c r="D655" t="s">
        <v>4162</v>
      </c>
      <c r="E655">
        <v>2018</v>
      </c>
      <c r="F655" t="s">
        <v>5186</v>
      </c>
      <c r="G655" t="s">
        <v>5367</v>
      </c>
      <c r="H655" t="s">
        <v>5059</v>
      </c>
      <c r="I655" t="s">
        <v>5059</v>
      </c>
      <c r="J655">
        <v>17880</v>
      </c>
      <c r="K655">
        <v>17886</v>
      </c>
      <c r="L655">
        <v>6</v>
      </c>
      <c r="M655" t="s">
        <v>4165</v>
      </c>
      <c r="N655" t="s">
        <v>4166</v>
      </c>
      <c r="O655" t="s">
        <v>4163</v>
      </c>
      <c r="P655" t="s">
        <v>8950</v>
      </c>
      <c r="Q655" t="s">
        <v>8951</v>
      </c>
    </row>
    <row r="656" spans="1:17" x14ac:dyDescent="0.25">
      <c r="A656" t="s">
        <v>8952</v>
      </c>
      <c r="B656" t="s">
        <v>8953</v>
      </c>
      <c r="C656" t="s">
        <v>8954</v>
      </c>
      <c r="D656" t="s">
        <v>4176</v>
      </c>
      <c r="E656">
        <v>2019</v>
      </c>
      <c r="F656" t="s">
        <v>8955</v>
      </c>
      <c r="G656" t="s">
        <v>5549</v>
      </c>
      <c r="H656" t="s">
        <v>5202</v>
      </c>
      <c r="I656" t="s">
        <v>5059</v>
      </c>
      <c r="J656">
        <v>212</v>
      </c>
      <c r="K656">
        <v>223</v>
      </c>
      <c r="L656">
        <v>11</v>
      </c>
      <c r="M656" t="s">
        <v>5059</v>
      </c>
      <c r="N656" t="s">
        <v>4179</v>
      </c>
      <c r="O656" t="s">
        <v>4177</v>
      </c>
      <c r="P656" t="s">
        <v>4178</v>
      </c>
      <c r="Q656" t="s">
        <v>8956</v>
      </c>
    </row>
    <row r="657" spans="1:17" x14ac:dyDescent="0.25">
      <c r="A657" t="s">
        <v>8957</v>
      </c>
      <c r="B657" t="s">
        <v>8958</v>
      </c>
      <c r="C657" t="s">
        <v>8959</v>
      </c>
      <c r="D657" t="s">
        <v>4189</v>
      </c>
      <c r="E657">
        <v>2018</v>
      </c>
      <c r="F657" t="s">
        <v>8960</v>
      </c>
      <c r="G657" t="s">
        <v>8961</v>
      </c>
      <c r="H657" t="s">
        <v>5059</v>
      </c>
      <c r="I657" t="s">
        <v>8962</v>
      </c>
      <c r="J657">
        <v>1018</v>
      </c>
      <c r="K657">
        <v>1031</v>
      </c>
      <c r="L657">
        <v>13</v>
      </c>
      <c r="M657" t="s">
        <v>4192</v>
      </c>
      <c r="N657" t="s">
        <v>4193</v>
      </c>
      <c r="O657" t="s">
        <v>4190</v>
      </c>
      <c r="P657" t="s">
        <v>8963</v>
      </c>
      <c r="Q657" t="s">
        <v>8964</v>
      </c>
    </row>
    <row r="658" spans="1:17" x14ac:dyDescent="0.25">
      <c r="A658" t="s">
        <v>8965</v>
      </c>
      <c r="B658" t="s">
        <v>8966</v>
      </c>
      <c r="C658" t="s">
        <v>8967</v>
      </c>
      <c r="D658" t="s">
        <v>3488</v>
      </c>
      <c r="E658">
        <v>2019</v>
      </c>
      <c r="F658" t="s">
        <v>8722</v>
      </c>
      <c r="G658" t="s">
        <v>5059</v>
      </c>
      <c r="H658" t="s">
        <v>5059</v>
      </c>
      <c r="I658" t="s">
        <v>8968</v>
      </c>
      <c r="J658">
        <v>120</v>
      </c>
      <c r="K658">
        <v>128</v>
      </c>
      <c r="L658">
        <v>8</v>
      </c>
      <c r="M658" t="s">
        <v>3491</v>
      </c>
      <c r="N658" t="s">
        <v>3492</v>
      </c>
      <c r="O658" t="s">
        <v>3489</v>
      </c>
      <c r="P658" t="s">
        <v>5059</v>
      </c>
      <c r="Q658" t="s">
        <v>8969</v>
      </c>
    </row>
    <row r="659" spans="1:17" x14ac:dyDescent="0.25">
      <c r="A659" t="s">
        <v>8970</v>
      </c>
      <c r="B659" t="s">
        <v>8971</v>
      </c>
      <c r="C659" t="s">
        <v>8972</v>
      </c>
      <c r="D659" t="s">
        <v>3495</v>
      </c>
      <c r="E659">
        <v>2019</v>
      </c>
      <c r="F659" t="s">
        <v>8973</v>
      </c>
      <c r="G659" t="s">
        <v>5059</v>
      </c>
      <c r="H659" t="s">
        <v>5059</v>
      </c>
      <c r="I659" t="s">
        <v>8974</v>
      </c>
      <c r="J659">
        <v>127</v>
      </c>
      <c r="K659">
        <v>133</v>
      </c>
      <c r="L659">
        <v>6</v>
      </c>
      <c r="M659" t="s">
        <v>3498</v>
      </c>
      <c r="N659" t="s">
        <v>3499</v>
      </c>
      <c r="O659" t="s">
        <v>3496</v>
      </c>
      <c r="P659" t="s">
        <v>8975</v>
      </c>
      <c r="Q659" t="s">
        <v>8976</v>
      </c>
    </row>
    <row r="660" spans="1:17" x14ac:dyDescent="0.25">
      <c r="A660" t="s">
        <v>8977</v>
      </c>
      <c r="B660" t="s">
        <v>8978</v>
      </c>
      <c r="C660" t="s">
        <v>8979</v>
      </c>
      <c r="D660" t="s">
        <v>4203</v>
      </c>
      <c r="E660">
        <v>2018</v>
      </c>
      <c r="F660" t="s">
        <v>8980</v>
      </c>
      <c r="G660" t="s">
        <v>5059</v>
      </c>
      <c r="H660" t="s">
        <v>5059</v>
      </c>
      <c r="I660" t="s">
        <v>5059</v>
      </c>
      <c r="J660">
        <v>364</v>
      </c>
      <c r="K660">
        <v>369</v>
      </c>
      <c r="L660">
        <v>5</v>
      </c>
      <c r="M660" t="s">
        <v>4206</v>
      </c>
      <c r="N660" t="s">
        <v>4207</v>
      </c>
      <c r="O660" t="s">
        <v>4204</v>
      </c>
      <c r="P660" t="s">
        <v>8981</v>
      </c>
      <c r="Q660" t="s">
        <v>8982</v>
      </c>
    </row>
    <row r="661" spans="1:17" x14ac:dyDescent="0.25">
      <c r="A661" t="s">
        <v>8983</v>
      </c>
      <c r="B661" t="s">
        <v>8984</v>
      </c>
      <c r="C661" t="s">
        <v>8985</v>
      </c>
      <c r="D661" t="s">
        <v>3509</v>
      </c>
      <c r="E661">
        <v>2019</v>
      </c>
      <c r="F661" t="s">
        <v>8986</v>
      </c>
      <c r="G661" t="s">
        <v>5059</v>
      </c>
      <c r="H661" t="s">
        <v>5059</v>
      </c>
      <c r="I661" t="s">
        <v>8987</v>
      </c>
      <c r="M661" t="s">
        <v>3512</v>
      </c>
      <c r="N661" t="s">
        <v>3513</v>
      </c>
      <c r="O661" t="s">
        <v>3510</v>
      </c>
      <c r="P661" t="s">
        <v>8988</v>
      </c>
      <c r="Q661" t="s">
        <v>8989</v>
      </c>
    </row>
    <row r="662" spans="1:17" x14ac:dyDescent="0.25">
      <c r="A662" t="s">
        <v>8990</v>
      </c>
      <c r="B662" t="s">
        <v>8991</v>
      </c>
      <c r="C662" t="s">
        <v>8992</v>
      </c>
      <c r="D662" t="s">
        <v>3523</v>
      </c>
      <c r="E662">
        <v>2019</v>
      </c>
      <c r="F662" t="s">
        <v>8993</v>
      </c>
      <c r="G662" t="s">
        <v>5059</v>
      </c>
      <c r="H662" t="s">
        <v>5059</v>
      </c>
      <c r="I662" t="s">
        <v>8994</v>
      </c>
      <c r="J662">
        <v>184</v>
      </c>
      <c r="K662">
        <v>188</v>
      </c>
      <c r="L662">
        <v>4</v>
      </c>
      <c r="M662" t="s">
        <v>3526</v>
      </c>
      <c r="N662" t="s">
        <v>3527</v>
      </c>
      <c r="O662" t="s">
        <v>3524</v>
      </c>
      <c r="P662" t="s">
        <v>8995</v>
      </c>
      <c r="Q662" t="s">
        <v>8996</v>
      </c>
    </row>
    <row r="663" spans="1:17" x14ac:dyDescent="0.25">
      <c r="A663" t="s">
        <v>8997</v>
      </c>
      <c r="B663" t="s">
        <v>8998</v>
      </c>
      <c r="C663" t="s">
        <v>8999</v>
      </c>
      <c r="D663" t="s">
        <v>4237</v>
      </c>
      <c r="E663">
        <v>2017</v>
      </c>
      <c r="F663" t="s">
        <v>8434</v>
      </c>
      <c r="G663" t="s">
        <v>8821</v>
      </c>
      <c r="H663" t="s">
        <v>5059</v>
      </c>
      <c r="I663" t="s">
        <v>9000</v>
      </c>
      <c r="J663">
        <v>1707</v>
      </c>
      <c r="K663">
        <v>1712</v>
      </c>
      <c r="L663">
        <v>5</v>
      </c>
      <c r="M663" t="s">
        <v>4240</v>
      </c>
      <c r="N663" t="s">
        <v>4241</v>
      </c>
      <c r="O663" t="s">
        <v>4238</v>
      </c>
      <c r="P663" t="s">
        <v>5059</v>
      </c>
      <c r="Q663" t="s">
        <v>9001</v>
      </c>
    </row>
    <row r="664" spans="1:17" x14ac:dyDescent="0.25">
      <c r="A664" t="s">
        <v>9002</v>
      </c>
      <c r="B664" t="s">
        <v>9003</v>
      </c>
      <c r="C664" t="s">
        <v>9004</v>
      </c>
      <c r="D664" t="s">
        <v>4251</v>
      </c>
      <c r="E664">
        <v>2017</v>
      </c>
      <c r="F664" t="s">
        <v>9005</v>
      </c>
      <c r="G664" t="s">
        <v>5091</v>
      </c>
      <c r="H664" t="s">
        <v>5051</v>
      </c>
      <c r="I664" t="s">
        <v>5059</v>
      </c>
      <c r="J664">
        <v>32</v>
      </c>
      <c r="K664">
        <v>35</v>
      </c>
      <c r="L664">
        <v>3</v>
      </c>
      <c r="M664" t="s">
        <v>4254</v>
      </c>
      <c r="N664" t="s">
        <v>4255</v>
      </c>
      <c r="O664" t="s">
        <v>4252</v>
      </c>
      <c r="P664" t="s">
        <v>5059</v>
      </c>
      <c r="Q664" t="s">
        <v>9006</v>
      </c>
    </row>
    <row r="665" spans="1:17" x14ac:dyDescent="0.25">
      <c r="A665" t="s">
        <v>9007</v>
      </c>
      <c r="B665" t="s">
        <v>9008</v>
      </c>
      <c r="C665" t="s">
        <v>9009</v>
      </c>
      <c r="D665" t="s">
        <v>4258</v>
      </c>
      <c r="E665">
        <v>2019</v>
      </c>
      <c r="F665" t="s">
        <v>6258</v>
      </c>
      <c r="G665" t="s">
        <v>9010</v>
      </c>
      <c r="H665" t="s">
        <v>5059</v>
      </c>
      <c r="I665" t="s">
        <v>5059</v>
      </c>
      <c r="J665">
        <v>123</v>
      </c>
      <c r="K665">
        <v>139</v>
      </c>
      <c r="L665">
        <v>16</v>
      </c>
      <c r="M665" t="s">
        <v>4261</v>
      </c>
      <c r="N665" t="s">
        <v>4262</v>
      </c>
      <c r="O665" t="s">
        <v>4259</v>
      </c>
      <c r="P665" t="s">
        <v>9011</v>
      </c>
      <c r="Q665" t="s">
        <v>9012</v>
      </c>
    </row>
    <row r="666" spans="1:17" x14ac:dyDescent="0.25">
      <c r="A666" t="s">
        <v>9013</v>
      </c>
      <c r="B666" t="s">
        <v>9014</v>
      </c>
      <c r="C666" t="s">
        <v>9015</v>
      </c>
      <c r="D666" t="s">
        <v>4265</v>
      </c>
      <c r="E666">
        <v>2018</v>
      </c>
      <c r="F666" t="s">
        <v>9016</v>
      </c>
      <c r="G666" t="s">
        <v>9017</v>
      </c>
      <c r="H666" t="s">
        <v>5059</v>
      </c>
      <c r="I666" t="s">
        <v>5059</v>
      </c>
      <c r="J666">
        <v>398</v>
      </c>
      <c r="K666">
        <v>403</v>
      </c>
      <c r="L666">
        <v>5</v>
      </c>
      <c r="M666" t="s">
        <v>4268</v>
      </c>
      <c r="N666" t="s">
        <v>4269</v>
      </c>
      <c r="O666" t="s">
        <v>4266</v>
      </c>
      <c r="P666" t="s">
        <v>5059</v>
      </c>
      <c r="Q666" t="s">
        <v>9018</v>
      </c>
    </row>
    <row r="667" spans="1:17" x14ac:dyDescent="0.25">
      <c r="A667" t="s">
        <v>9019</v>
      </c>
      <c r="B667" t="s">
        <v>9020</v>
      </c>
      <c r="C667" t="s">
        <v>9021</v>
      </c>
      <c r="D667" t="s">
        <v>4272</v>
      </c>
      <c r="E667">
        <v>2018</v>
      </c>
      <c r="F667" t="s">
        <v>9022</v>
      </c>
      <c r="G667" t="s">
        <v>8552</v>
      </c>
      <c r="H667" t="s">
        <v>5059</v>
      </c>
      <c r="I667" t="s">
        <v>5059</v>
      </c>
      <c r="J667">
        <v>297</v>
      </c>
      <c r="K667">
        <v>312</v>
      </c>
      <c r="L667">
        <v>15</v>
      </c>
      <c r="M667" t="s">
        <v>5059</v>
      </c>
      <c r="N667" t="s">
        <v>4274</v>
      </c>
      <c r="O667" t="s">
        <v>4273</v>
      </c>
      <c r="P667" t="s">
        <v>5059</v>
      </c>
      <c r="Q667" t="s">
        <v>9023</v>
      </c>
    </row>
    <row r="668" spans="1:17" x14ac:dyDescent="0.25">
      <c r="A668" t="s">
        <v>9024</v>
      </c>
      <c r="B668" t="s">
        <v>9025</v>
      </c>
      <c r="C668" t="s">
        <v>9026</v>
      </c>
      <c r="D668" t="s">
        <v>4283</v>
      </c>
      <c r="E668">
        <v>2019</v>
      </c>
      <c r="F668" t="s">
        <v>4157</v>
      </c>
      <c r="G668" t="s">
        <v>9027</v>
      </c>
      <c r="H668" t="s">
        <v>5059</v>
      </c>
      <c r="I668" t="s">
        <v>9028</v>
      </c>
      <c r="M668" t="s">
        <v>4286</v>
      </c>
      <c r="N668" t="s">
        <v>4287</v>
      </c>
      <c r="O668" t="s">
        <v>4284</v>
      </c>
      <c r="P668" t="s">
        <v>9029</v>
      </c>
      <c r="Q668" t="s">
        <v>9030</v>
      </c>
    </row>
    <row r="669" spans="1:17" x14ac:dyDescent="0.25">
      <c r="A669" t="s">
        <v>9031</v>
      </c>
      <c r="B669" t="s">
        <v>9032</v>
      </c>
      <c r="C669" t="s">
        <v>9033</v>
      </c>
      <c r="D669" t="s">
        <v>4290</v>
      </c>
      <c r="E669">
        <v>2017</v>
      </c>
      <c r="F669" t="s">
        <v>9034</v>
      </c>
      <c r="G669" t="s">
        <v>5059</v>
      </c>
      <c r="H669" t="s">
        <v>5059</v>
      </c>
      <c r="I669" t="s">
        <v>9035</v>
      </c>
      <c r="J669">
        <v>38</v>
      </c>
      <c r="K669">
        <v>43</v>
      </c>
      <c r="L669">
        <v>5</v>
      </c>
      <c r="M669" t="s">
        <v>4293</v>
      </c>
      <c r="N669" t="s">
        <v>4294</v>
      </c>
      <c r="O669" t="s">
        <v>4291</v>
      </c>
      <c r="P669" t="s">
        <v>9036</v>
      </c>
      <c r="Q669" t="s">
        <v>9037</v>
      </c>
    </row>
    <row r="670" spans="1:17" x14ac:dyDescent="0.25">
      <c r="A670" t="s">
        <v>9038</v>
      </c>
      <c r="B670" t="s">
        <v>9039</v>
      </c>
      <c r="C670" t="s">
        <v>9040</v>
      </c>
      <c r="D670" t="s">
        <v>4297</v>
      </c>
      <c r="E670">
        <v>2018</v>
      </c>
      <c r="F670" t="s">
        <v>4039</v>
      </c>
      <c r="G670" t="s">
        <v>8908</v>
      </c>
      <c r="H670" t="s">
        <v>5059</v>
      </c>
      <c r="I670" t="s">
        <v>9041</v>
      </c>
      <c r="M670" t="s">
        <v>4300</v>
      </c>
      <c r="N670" t="s">
        <v>4301</v>
      </c>
      <c r="O670" t="s">
        <v>4298</v>
      </c>
      <c r="P670" t="s">
        <v>9042</v>
      </c>
      <c r="Q670" t="s">
        <v>9043</v>
      </c>
    </row>
    <row r="671" spans="1:17" x14ac:dyDescent="0.25">
      <c r="A671" t="s">
        <v>9044</v>
      </c>
      <c r="B671" t="s">
        <v>9045</v>
      </c>
      <c r="C671" t="s">
        <v>9046</v>
      </c>
      <c r="D671" t="s">
        <v>3550</v>
      </c>
      <c r="E671">
        <v>2019</v>
      </c>
      <c r="F671" t="s">
        <v>9047</v>
      </c>
      <c r="G671" t="s">
        <v>5059</v>
      </c>
      <c r="H671" t="s">
        <v>5059</v>
      </c>
      <c r="I671" t="s">
        <v>9048</v>
      </c>
      <c r="M671" t="s">
        <v>3553</v>
      </c>
      <c r="N671" t="s">
        <v>3554</v>
      </c>
      <c r="O671" t="s">
        <v>3551</v>
      </c>
      <c r="P671" t="s">
        <v>9049</v>
      </c>
      <c r="Q671" t="s">
        <v>9050</v>
      </c>
    </row>
    <row r="672" spans="1:17" x14ac:dyDescent="0.25">
      <c r="A672" t="s">
        <v>9051</v>
      </c>
      <c r="B672" t="s">
        <v>9052</v>
      </c>
      <c r="C672" t="s">
        <v>9053</v>
      </c>
      <c r="D672" t="s">
        <v>3564</v>
      </c>
      <c r="E672">
        <v>2019</v>
      </c>
      <c r="F672" t="s">
        <v>4039</v>
      </c>
      <c r="G672" t="s">
        <v>8237</v>
      </c>
      <c r="H672" t="s">
        <v>5059</v>
      </c>
      <c r="I672" t="s">
        <v>9054</v>
      </c>
      <c r="M672" t="s">
        <v>3567</v>
      </c>
      <c r="N672" t="s">
        <v>3568</v>
      </c>
      <c r="O672" t="s">
        <v>3565</v>
      </c>
      <c r="P672" t="s">
        <v>9055</v>
      </c>
      <c r="Q672" t="s">
        <v>9056</v>
      </c>
    </row>
    <row r="673" spans="1:17" x14ac:dyDescent="0.25">
      <c r="A673" t="s">
        <v>9057</v>
      </c>
      <c r="B673" t="s">
        <v>9058</v>
      </c>
      <c r="C673" t="s">
        <v>9059</v>
      </c>
      <c r="D673" t="s">
        <v>4311</v>
      </c>
      <c r="E673">
        <v>2018</v>
      </c>
      <c r="F673" t="s">
        <v>9060</v>
      </c>
      <c r="G673" t="s">
        <v>5059</v>
      </c>
      <c r="H673" t="s">
        <v>5059</v>
      </c>
      <c r="I673" t="s">
        <v>9061</v>
      </c>
      <c r="J673">
        <v>435</v>
      </c>
      <c r="K673">
        <v>439</v>
      </c>
      <c r="L673">
        <v>4</v>
      </c>
      <c r="M673" t="s">
        <v>4314</v>
      </c>
      <c r="N673" t="s">
        <v>4315</v>
      </c>
      <c r="O673" t="s">
        <v>4312</v>
      </c>
      <c r="P673" t="s">
        <v>9062</v>
      </c>
      <c r="Q673" t="s">
        <v>9063</v>
      </c>
    </row>
    <row r="674" spans="1:17" x14ac:dyDescent="0.25">
      <c r="A674" t="s">
        <v>9064</v>
      </c>
      <c r="B674" t="s">
        <v>9065</v>
      </c>
      <c r="C674" t="s">
        <v>9066</v>
      </c>
      <c r="D674" t="s">
        <v>4325</v>
      </c>
      <c r="E674">
        <v>2019</v>
      </c>
      <c r="F674" t="s">
        <v>7889</v>
      </c>
      <c r="G674" t="s">
        <v>9067</v>
      </c>
      <c r="H674" t="s">
        <v>5059</v>
      </c>
      <c r="I674" t="s">
        <v>5059</v>
      </c>
      <c r="J674">
        <v>1</v>
      </c>
      <c r="K674">
        <v>12</v>
      </c>
      <c r="L674">
        <v>11</v>
      </c>
      <c r="M674" t="s">
        <v>5059</v>
      </c>
      <c r="N674" t="s">
        <v>4328</v>
      </c>
      <c r="O674" t="s">
        <v>4326</v>
      </c>
      <c r="P674" t="s">
        <v>9068</v>
      </c>
      <c r="Q674" t="s">
        <v>9069</v>
      </c>
    </row>
    <row r="675" spans="1:17" x14ac:dyDescent="0.25">
      <c r="A675" t="s">
        <v>9070</v>
      </c>
      <c r="B675" t="s">
        <v>9071</v>
      </c>
      <c r="C675" t="s">
        <v>9072</v>
      </c>
      <c r="D675" t="s">
        <v>3592</v>
      </c>
      <c r="E675">
        <v>2019</v>
      </c>
      <c r="F675" t="s">
        <v>9073</v>
      </c>
      <c r="G675" t="s">
        <v>5059</v>
      </c>
      <c r="H675" t="s">
        <v>5059</v>
      </c>
      <c r="I675" t="s">
        <v>9074</v>
      </c>
      <c r="M675" t="s">
        <v>3595</v>
      </c>
      <c r="N675" t="s">
        <v>3596</v>
      </c>
      <c r="O675" t="s">
        <v>3593</v>
      </c>
      <c r="P675" t="s">
        <v>9075</v>
      </c>
      <c r="Q675" t="s">
        <v>9076</v>
      </c>
    </row>
    <row r="676" spans="1:17" x14ac:dyDescent="0.25">
      <c r="A676" t="s">
        <v>5059</v>
      </c>
      <c r="B676" t="s">
        <v>5059</v>
      </c>
      <c r="C676" t="s">
        <v>5059</v>
      </c>
      <c r="D676" t="s">
        <v>4336</v>
      </c>
      <c r="E676">
        <v>2019</v>
      </c>
      <c r="F676" t="s">
        <v>5898</v>
      </c>
      <c r="G676" t="s">
        <v>9077</v>
      </c>
      <c r="H676" t="s">
        <v>5059</v>
      </c>
      <c r="I676" t="s">
        <v>5059</v>
      </c>
      <c r="L676">
        <v>792</v>
      </c>
      <c r="M676" t="s">
        <v>5059</v>
      </c>
      <c r="N676" t="s">
        <v>4338</v>
      </c>
      <c r="O676" t="s">
        <v>4337</v>
      </c>
      <c r="P676" t="s">
        <v>5059</v>
      </c>
      <c r="Q676" t="s">
        <v>9078</v>
      </c>
    </row>
    <row r="677" spans="1:17" x14ac:dyDescent="0.25">
      <c r="A677" t="s">
        <v>9079</v>
      </c>
      <c r="B677" t="s">
        <v>9080</v>
      </c>
      <c r="C677" t="s">
        <v>9081</v>
      </c>
      <c r="D677" t="s">
        <v>4341</v>
      </c>
      <c r="E677">
        <v>2017</v>
      </c>
      <c r="F677" t="s">
        <v>9082</v>
      </c>
      <c r="G677" t="s">
        <v>5059</v>
      </c>
      <c r="H677" t="s">
        <v>5059</v>
      </c>
      <c r="I677" t="s">
        <v>9083</v>
      </c>
      <c r="J677">
        <v>1682</v>
      </c>
      <c r="K677">
        <v>1689</v>
      </c>
      <c r="L677">
        <v>7</v>
      </c>
      <c r="M677" t="s">
        <v>4344</v>
      </c>
      <c r="N677" t="s">
        <v>4345</v>
      </c>
      <c r="O677" t="s">
        <v>4342</v>
      </c>
      <c r="P677" t="s">
        <v>9084</v>
      </c>
      <c r="Q677" t="s">
        <v>9085</v>
      </c>
    </row>
    <row r="678" spans="1:17" x14ac:dyDescent="0.25">
      <c r="A678" t="s">
        <v>9086</v>
      </c>
      <c r="B678" t="s">
        <v>9087</v>
      </c>
      <c r="C678" t="s">
        <v>9088</v>
      </c>
      <c r="D678" t="s">
        <v>3610</v>
      </c>
      <c r="E678">
        <v>2019</v>
      </c>
      <c r="F678" t="s">
        <v>8377</v>
      </c>
      <c r="G678" t="s">
        <v>5050</v>
      </c>
      <c r="H678" t="s">
        <v>9089</v>
      </c>
      <c r="I678" t="s">
        <v>5059</v>
      </c>
      <c r="J678">
        <v>1366</v>
      </c>
      <c r="K678">
        <v>1372</v>
      </c>
      <c r="L678">
        <v>6</v>
      </c>
      <c r="M678" t="s">
        <v>3613</v>
      </c>
      <c r="N678" t="s">
        <v>3614</v>
      </c>
      <c r="O678" t="s">
        <v>3611</v>
      </c>
      <c r="P678" t="s">
        <v>3612</v>
      </c>
      <c r="Q678" t="s">
        <v>9090</v>
      </c>
    </row>
    <row r="679" spans="1:17" x14ac:dyDescent="0.25">
      <c r="A679" t="s">
        <v>9091</v>
      </c>
      <c r="B679" t="s">
        <v>9092</v>
      </c>
      <c r="C679" t="s">
        <v>9093</v>
      </c>
      <c r="D679" t="s">
        <v>3631</v>
      </c>
      <c r="E679">
        <v>2019</v>
      </c>
      <c r="F679" t="s">
        <v>4039</v>
      </c>
      <c r="G679" t="s">
        <v>8237</v>
      </c>
      <c r="H679" t="s">
        <v>5059</v>
      </c>
      <c r="I679" t="s">
        <v>9094</v>
      </c>
      <c r="M679" t="s">
        <v>3634</v>
      </c>
      <c r="N679" t="s">
        <v>3635</v>
      </c>
      <c r="O679" t="s">
        <v>3632</v>
      </c>
      <c r="P679" t="s">
        <v>5059</v>
      </c>
      <c r="Q679" t="s">
        <v>9095</v>
      </c>
    </row>
    <row r="680" spans="1:17" x14ac:dyDescent="0.25">
      <c r="A680" t="s">
        <v>9096</v>
      </c>
      <c r="B680" t="s">
        <v>9097</v>
      </c>
      <c r="C680" t="s">
        <v>9098</v>
      </c>
      <c r="D680" t="s">
        <v>4355</v>
      </c>
      <c r="E680">
        <v>2018</v>
      </c>
      <c r="F680" t="s">
        <v>4157</v>
      </c>
      <c r="G680" t="s">
        <v>9099</v>
      </c>
      <c r="H680" t="s">
        <v>5059</v>
      </c>
      <c r="I680" t="s">
        <v>9100</v>
      </c>
      <c r="M680" t="s">
        <v>4358</v>
      </c>
      <c r="N680" t="s">
        <v>4359</v>
      </c>
      <c r="O680" t="s">
        <v>4356</v>
      </c>
      <c r="P680" t="s">
        <v>9101</v>
      </c>
      <c r="Q680" t="s">
        <v>9102</v>
      </c>
    </row>
    <row r="681" spans="1:17" x14ac:dyDescent="0.25">
      <c r="A681" t="s">
        <v>9103</v>
      </c>
      <c r="B681" t="s">
        <v>9104</v>
      </c>
      <c r="C681" t="s">
        <v>9105</v>
      </c>
      <c r="D681" t="s">
        <v>4362</v>
      </c>
      <c r="E681">
        <v>2017</v>
      </c>
      <c r="F681" t="s">
        <v>9106</v>
      </c>
      <c r="G681" t="s">
        <v>5059</v>
      </c>
      <c r="H681" t="s">
        <v>5059</v>
      </c>
      <c r="I681" t="s">
        <v>5059</v>
      </c>
      <c r="J681">
        <v>761</v>
      </c>
      <c r="K681">
        <v>762</v>
      </c>
      <c r="L681">
        <v>1</v>
      </c>
      <c r="M681" t="s">
        <v>4365</v>
      </c>
      <c r="N681" t="s">
        <v>4366</v>
      </c>
      <c r="O681" t="s">
        <v>4363</v>
      </c>
      <c r="P681" t="s">
        <v>9107</v>
      </c>
      <c r="Q681" t="s">
        <v>9108</v>
      </c>
    </row>
    <row r="682" spans="1:17" x14ac:dyDescent="0.25">
      <c r="A682" t="s">
        <v>9109</v>
      </c>
      <c r="B682" t="s">
        <v>9110</v>
      </c>
      <c r="C682" t="s">
        <v>9111</v>
      </c>
      <c r="D682" t="s">
        <v>4369</v>
      </c>
      <c r="E682">
        <v>2017</v>
      </c>
      <c r="F682" t="s">
        <v>4039</v>
      </c>
      <c r="G682" t="s">
        <v>8821</v>
      </c>
      <c r="H682" t="s">
        <v>5059</v>
      </c>
      <c r="I682" t="s">
        <v>9112</v>
      </c>
      <c r="M682" t="s">
        <v>4372</v>
      </c>
      <c r="N682" t="s">
        <v>4373</v>
      </c>
      <c r="O682" t="s">
        <v>4370</v>
      </c>
      <c r="P682" t="s">
        <v>9113</v>
      </c>
      <c r="Q682" t="s">
        <v>9114</v>
      </c>
    </row>
    <row r="683" spans="1:17" x14ac:dyDescent="0.25">
      <c r="A683" t="s">
        <v>9115</v>
      </c>
      <c r="B683" t="s">
        <v>9116</v>
      </c>
      <c r="C683" t="s">
        <v>9117</v>
      </c>
      <c r="D683" t="s">
        <v>4376</v>
      </c>
      <c r="E683">
        <v>2018</v>
      </c>
      <c r="F683" t="s">
        <v>5186</v>
      </c>
      <c r="G683" t="s">
        <v>5367</v>
      </c>
      <c r="H683" t="s">
        <v>5059</v>
      </c>
      <c r="I683" t="s">
        <v>5059</v>
      </c>
      <c r="J683">
        <v>22976</v>
      </c>
      <c r="K683">
        <v>22986</v>
      </c>
      <c r="L683">
        <v>10</v>
      </c>
      <c r="M683" t="s">
        <v>4379</v>
      </c>
      <c r="N683" t="s">
        <v>4380</v>
      </c>
      <c r="O683" t="s">
        <v>4377</v>
      </c>
      <c r="P683" t="s">
        <v>9118</v>
      </c>
      <c r="Q683" t="s">
        <v>9119</v>
      </c>
    </row>
    <row r="684" spans="1:17" x14ac:dyDescent="0.25">
      <c r="A684" t="s">
        <v>9120</v>
      </c>
      <c r="B684" t="s">
        <v>9121</v>
      </c>
      <c r="C684" t="s">
        <v>9122</v>
      </c>
      <c r="D684" t="s">
        <v>4383</v>
      </c>
      <c r="E684">
        <v>2018</v>
      </c>
      <c r="F684" t="s">
        <v>9123</v>
      </c>
      <c r="G684" t="s">
        <v>5770</v>
      </c>
      <c r="H684" t="s">
        <v>5071</v>
      </c>
      <c r="I684" t="s">
        <v>5059</v>
      </c>
      <c r="J684">
        <v>66</v>
      </c>
      <c r="K684">
        <v>71</v>
      </c>
      <c r="L684">
        <v>5</v>
      </c>
      <c r="M684" t="s">
        <v>4386</v>
      </c>
      <c r="N684" t="s">
        <v>4387</v>
      </c>
      <c r="O684" t="s">
        <v>4384</v>
      </c>
      <c r="P684" t="s">
        <v>5059</v>
      </c>
      <c r="Q684" t="s">
        <v>9124</v>
      </c>
    </row>
    <row r="685" spans="1:17" x14ac:dyDescent="0.25">
      <c r="A685" t="s">
        <v>5059</v>
      </c>
      <c r="B685" t="s">
        <v>5059</v>
      </c>
      <c r="C685" t="s">
        <v>5059</v>
      </c>
      <c r="D685" t="s">
        <v>3693</v>
      </c>
      <c r="E685">
        <v>2019</v>
      </c>
      <c r="F685" t="s">
        <v>3693</v>
      </c>
      <c r="G685" t="s">
        <v>5059</v>
      </c>
      <c r="H685" t="s">
        <v>5059</v>
      </c>
      <c r="I685" t="s">
        <v>5059</v>
      </c>
      <c r="L685">
        <v>140</v>
      </c>
      <c r="M685" t="s">
        <v>5059</v>
      </c>
      <c r="N685" t="s">
        <v>3695</v>
      </c>
      <c r="O685" t="s">
        <v>9125</v>
      </c>
      <c r="P685" t="s">
        <v>5059</v>
      </c>
      <c r="Q685" t="s">
        <v>9126</v>
      </c>
    </row>
    <row r="686" spans="1:17" x14ac:dyDescent="0.25">
      <c r="A686" t="s">
        <v>9127</v>
      </c>
      <c r="B686" t="s">
        <v>9128</v>
      </c>
      <c r="C686" t="s">
        <v>9129</v>
      </c>
      <c r="D686" t="s">
        <v>3711</v>
      </c>
      <c r="E686">
        <v>2019</v>
      </c>
      <c r="F686" t="s">
        <v>9130</v>
      </c>
      <c r="G686" t="s">
        <v>9131</v>
      </c>
      <c r="H686" t="s">
        <v>5059</v>
      </c>
      <c r="I686" t="s">
        <v>9132</v>
      </c>
      <c r="J686">
        <v>200</v>
      </c>
      <c r="K686">
        <v>206</v>
      </c>
      <c r="L686">
        <v>6</v>
      </c>
      <c r="M686" t="s">
        <v>3714</v>
      </c>
      <c r="N686" t="s">
        <v>3715</v>
      </c>
      <c r="O686" t="s">
        <v>3712</v>
      </c>
      <c r="P686" t="s">
        <v>9133</v>
      </c>
      <c r="Q686" t="s">
        <v>9134</v>
      </c>
    </row>
    <row r="687" spans="1:17" x14ac:dyDescent="0.25">
      <c r="A687" t="s">
        <v>9135</v>
      </c>
      <c r="B687" t="s">
        <v>9136</v>
      </c>
      <c r="C687" t="s">
        <v>9137</v>
      </c>
      <c r="D687" t="s">
        <v>4397</v>
      </c>
      <c r="E687">
        <v>2018</v>
      </c>
      <c r="F687" t="s">
        <v>9138</v>
      </c>
      <c r="G687" t="s">
        <v>5059</v>
      </c>
      <c r="H687" t="s">
        <v>5059</v>
      </c>
      <c r="I687" t="s">
        <v>9139</v>
      </c>
      <c r="M687" t="s">
        <v>4400</v>
      </c>
      <c r="N687" t="s">
        <v>4401</v>
      </c>
      <c r="O687" t="s">
        <v>4398</v>
      </c>
      <c r="P687" t="s">
        <v>5059</v>
      </c>
      <c r="Q687" t="s">
        <v>9140</v>
      </c>
    </row>
    <row r="688" spans="1:17" x14ac:dyDescent="0.25">
      <c r="A688" t="s">
        <v>9141</v>
      </c>
      <c r="B688" t="s">
        <v>9142</v>
      </c>
      <c r="C688" t="s">
        <v>9143</v>
      </c>
      <c r="D688" t="s">
        <v>4404</v>
      </c>
      <c r="E688">
        <v>2019</v>
      </c>
      <c r="F688" t="s">
        <v>9144</v>
      </c>
      <c r="G688" t="s">
        <v>5059</v>
      </c>
      <c r="H688" t="s">
        <v>5059</v>
      </c>
      <c r="I688" t="s">
        <v>9145</v>
      </c>
      <c r="J688">
        <v>162</v>
      </c>
      <c r="K688">
        <v>167</v>
      </c>
      <c r="L688">
        <v>5</v>
      </c>
      <c r="M688" t="s">
        <v>4407</v>
      </c>
      <c r="N688" t="s">
        <v>4408</v>
      </c>
      <c r="O688" t="s">
        <v>4405</v>
      </c>
      <c r="P688" t="s">
        <v>9146</v>
      </c>
      <c r="Q688" t="s">
        <v>9147</v>
      </c>
    </row>
    <row r="689" spans="1:17" x14ac:dyDescent="0.25">
      <c r="A689" t="s">
        <v>9148</v>
      </c>
      <c r="B689" t="s">
        <v>9149</v>
      </c>
      <c r="C689" t="s">
        <v>9150</v>
      </c>
      <c r="D689" t="s">
        <v>3732</v>
      </c>
      <c r="E689">
        <v>2019</v>
      </c>
      <c r="F689" t="s">
        <v>9151</v>
      </c>
      <c r="G689" t="s">
        <v>5059</v>
      </c>
      <c r="H689" t="s">
        <v>5059</v>
      </c>
      <c r="I689" t="s">
        <v>5059</v>
      </c>
      <c r="M689" t="s">
        <v>3735</v>
      </c>
      <c r="N689" t="s">
        <v>3736</v>
      </c>
      <c r="O689" t="s">
        <v>3733</v>
      </c>
      <c r="P689" t="s">
        <v>5059</v>
      </c>
      <c r="Q689" t="s">
        <v>9152</v>
      </c>
    </row>
    <row r="690" spans="1:17" x14ac:dyDescent="0.25">
      <c r="A690" t="s">
        <v>9153</v>
      </c>
      <c r="B690" t="s">
        <v>9154</v>
      </c>
      <c r="C690" t="s">
        <v>9155</v>
      </c>
      <c r="D690" t="s">
        <v>4418</v>
      </c>
      <c r="E690">
        <v>2018</v>
      </c>
      <c r="F690" t="s">
        <v>9156</v>
      </c>
      <c r="G690" t="s">
        <v>5059</v>
      </c>
      <c r="H690" t="s">
        <v>5059</v>
      </c>
      <c r="I690" t="s">
        <v>5059</v>
      </c>
      <c r="M690" t="s">
        <v>5059</v>
      </c>
      <c r="N690" t="s">
        <v>4421</v>
      </c>
      <c r="O690" t="s">
        <v>4419</v>
      </c>
      <c r="P690" t="s">
        <v>5059</v>
      </c>
      <c r="Q690" t="s">
        <v>9157</v>
      </c>
    </row>
    <row r="691" spans="1:17" x14ac:dyDescent="0.25">
      <c r="A691" t="s">
        <v>8764</v>
      </c>
      <c r="B691" t="s">
        <v>8765</v>
      </c>
      <c r="C691" t="s">
        <v>8766</v>
      </c>
      <c r="D691" t="s">
        <v>3964</v>
      </c>
      <c r="E691">
        <v>2017</v>
      </c>
      <c r="F691" t="s">
        <v>4039</v>
      </c>
      <c r="G691" t="s">
        <v>8821</v>
      </c>
      <c r="H691" t="s">
        <v>5059</v>
      </c>
      <c r="I691" t="s">
        <v>9158</v>
      </c>
      <c r="M691" t="s">
        <v>4425</v>
      </c>
      <c r="N691" t="s">
        <v>4426</v>
      </c>
      <c r="O691" t="s">
        <v>4423</v>
      </c>
      <c r="P691" t="s">
        <v>5059</v>
      </c>
      <c r="Q691" t="s">
        <v>9159</v>
      </c>
    </row>
    <row r="692" spans="1:17" x14ac:dyDescent="0.25">
      <c r="A692" t="s">
        <v>9160</v>
      </c>
      <c r="B692" t="s">
        <v>9161</v>
      </c>
      <c r="C692" t="s">
        <v>9162</v>
      </c>
      <c r="D692" t="s">
        <v>3739</v>
      </c>
      <c r="E692">
        <v>2019</v>
      </c>
      <c r="F692" t="s">
        <v>9163</v>
      </c>
      <c r="G692" t="s">
        <v>5238</v>
      </c>
      <c r="H692" t="s">
        <v>5194</v>
      </c>
      <c r="I692" t="s">
        <v>5059</v>
      </c>
      <c r="M692" t="s">
        <v>5059</v>
      </c>
      <c r="N692" t="s">
        <v>3742</v>
      </c>
      <c r="O692" t="s">
        <v>3740</v>
      </c>
      <c r="P692" t="s">
        <v>9164</v>
      </c>
      <c r="Q692" t="s">
        <v>9165</v>
      </c>
    </row>
    <row r="693" spans="1:17" x14ac:dyDescent="0.25">
      <c r="A693" t="s">
        <v>9166</v>
      </c>
      <c r="B693" t="s">
        <v>9167</v>
      </c>
      <c r="C693" t="s">
        <v>9168</v>
      </c>
      <c r="D693" t="s">
        <v>4440</v>
      </c>
      <c r="E693">
        <v>2018</v>
      </c>
      <c r="F693" t="s">
        <v>9169</v>
      </c>
      <c r="G693" t="s">
        <v>5059</v>
      </c>
      <c r="H693" t="s">
        <v>5059</v>
      </c>
      <c r="I693" t="s">
        <v>9170</v>
      </c>
      <c r="M693" t="s">
        <v>4443</v>
      </c>
      <c r="N693" t="s">
        <v>4444</v>
      </c>
      <c r="O693" t="s">
        <v>4441</v>
      </c>
      <c r="P693" t="s">
        <v>9171</v>
      </c>
      <c r="Q693" t="s">
        <v>9172</v>
      </c>
    </row>
    <row r="694" spans="1:17" x14ac:dyDescent="0.25">
      <c r="A694" t="s">
        <v>9173</v>
      </c>
      <c r="B694" t="s">
        <v>9174</v>
      </c>
      <c r="C694" t="s">
        <v>9175</v>
      </c>
      <c r="D694" t="s">
        <v>3745</v>
      </c>
      <c r="E694">
        <v>2019</v>
      </c>
      <c r="F694" t="s">
        <v>6793</v>
      </c>
      <c r="G694" t="s">
        <v>9176</v>
      </c>
      <c r="H694" t="s">
        <v>5059</v>
      </c>
      <c r="I694" t="s">
        <v>9177</v>
      </c>
      <c r="M694" t="s">
        <v>3748</v>
      </c>
      <c r="N694" t="s">
        <v>3749</v>
      </c>
      <c r="O694" t="s">
        <v>3746</v>
      </c>
      <c r="P694" t="s">
        <v>9178</v>
      </c>
      <c r="Q694" t="s">
        <v>9179</v>
      </c>
    </row>
    <row r="695" spans="1:17" x14ac:dyDescent="0.25">
      <c r="A695" t="s">
        <v>9180</v>
      </c>
      <c r="B695" t="s">
        <v>9181</v>
      </c>
      <c r="C695" t="s">
        <v>9182</v>
      </c>
      <c r="D695" t="s">
        <v>3752</v>
      </c>
      <c r="E695">
        <v>2019</v>
      </c>
      <c r="F695" t="s">
        <v>9183</v>
      </c>
      <c r="G695" t="s">
        <v>5059</v>
      </c>
      <c r="H695" t="s">
        <v>5059</v>
      </c>
      <c r="I695" t="s">
        <v>5059</v>
      </c>
      <c r="M695" t="s">
        <v>5059</v>
      </c>
      <c r="N695" t="s">
        <v>3755</v>
      </c>
      <c r="O695" t="s">
        <v>3753</v>
      </c>
      <c r="P695" t="s">
        <v>9184</v>
      </c>
      <c r="Q695" t="s">
        <v>9185</v>
      </c>
    </row>
    <row r="696" spans="1:17" x14ac:dyDescent="0.25">
      <c r="A696" t="s">
        <v>9186</v>
      </c>
      <c r="B696" t="s">
        <v>9187</v>
      </c>
      <c r="C696" t="s">
        <v>9188</v>
      </c>
      <c r="D696" t="s">
        <v>4447</v>
      </c>
      <c r="E696">
        <v>2018</v>
      </c>
      <c r="F696" t="s">
        <v>4157</v>
      </c>
      <c r="G696" t="s">
        <v>9189</v>
      </c>
      <c r="H696" t="s">
        <v>5059</v>
      </c>
      <c r="I696" t="s">
        <v>9190</v>
      </c>
      <c r="M696" t="s">
        <v>4450</v>
      </c>
      <c r="N696" t="s">
        <v>4451</v>
      </c>
      <c r="O696" t="s">
        <v>4448</v>
      </c>
      <c r="P696" t="s">
        <v>9191</v>
      </c>
      <c r="Q696" t="s">
        <v>9192</v>
      </c>
    </row>
    <row r="697" spans="1:17" x14ac:dyDescent="0.25">
      <c r="A697" t="s">
        <v>9193</v>
      </c>
      <c r="B697" t="s">
        <v>9194</v>
      </c>
      <c r="C697" t="s">
        <v>9195</v>
      </c>
      <c r="D697" t="s">
        <v>4454</v>
      </c>
      <c r="E697">
        <v>2018</v>
      </c>
      <c r="F697" t="s">
        <v>9196</v>
      </c>
      <c r="G697" t="s">
        <v>5165</v>
      </c>
      <c r="H697" t="s">
        <v>5549</v>
      </c>
      <c r="I697" t="s">
        <v>9197</v>
      </c>
      <c r="J697">
        <v>1692</v>
      </c>
      <c r="K697">
        <v>1694</v>
      </c>
      <c r="L697">
        <v>2</v>
      </c>
      <c r="M697" t="s">
        <v>4457</v>
      </c>
      <c r="N697" t="s">
        <v>4458</v>
      </c>
      <c r="O697" t="s">
        <v>4455</v>
      </c>
      <c r="P697" t="s">
        <v>9198</v>
      </c>
      <c r="Q697" t="s">
        <v>9199</v>
      </c>
    </row>
    <row r="698" spans="1:17" x14ac:dyDescent="0.25">
      <c r="A698" t="s">
        <v>8367</v>
      </c>
      <c r="B698" t="s">
        <v>8709</v>
      </c>
      <c r="C698" t="s">
        <v>8710</v>
      </c>
      <c r="D698" t="s">
        <v>4467</v>
      </c>
      <c r="E698">
        <v>2019</v>
      </c>
      <c r="F698" t="s">
        <v>9200</v>
      </c>
      <c r="G698" t="s">
        <v>5157</v>
      </c>
      <c r="H698" t="s">
        <v>5367</v>
      </c>
      <c r="I698" t="s">
        <v>9201</v>
      </c>
      <c r="M698" t="s">
        <v>4470</v>
      </c>
      <c r="N698" t="s">
        <v>4471</v>
      </c>
      <c r="O698" t="s">
        <v>4468</v>
      </c>
      <c r="P698" t="s">
        <v>5059</v>
      </c>
      <c r="Q698" t="s">
        <v>9202</v>
      </c>
    </row>
    <row r="699" spans="1:17" x14ac:dyDescent="0.25">
      <c r="A699" t="s">
        <v>9203</v>
      </c>
      <c r="B699" t="s">
        <v>9204</v>
      </c>
      <c r="C699" t="s">
        <v>9205</v>
      </c>
      <c r="D699" t="s">
        <v>4501</v>
      </c>
      <c r="E699">
        <v>2017</v>
      </c>
      <c r="F699" t="s">
        <v>9206</v>
      </c>
      <c r="G699" t="s">
        <v>5059</v>
      </c>
      <c r="H699" t="s">
        <v>5059</v>
      </c>
      <c r="I699" t="s">
        <v>9207</v>
      </c>
      <c r="M699" t="s">
        <v>4504</v>
      </c>
      <c r="N699" t="s">
        <v>4505</v>
      </c>
      <c r="O699" t="s">
        <v>4502</v>
      </c>
      <c r="P699" t="s">
        <v>5059</v>
      </c>
      <c r="Q699" t="s">
        <v>9208</v>
      </c>
    </row>
    <row r="700" spans="1:17" x14ac:dyDescent="0.25">
      <c r="A700" t="s">
        <v>9209</v>
      </c>
      <c r="B700" t="s">
        <v>9210</v>
      </c>
      <c r="C700" t="s">
        <v>9211</v>
      </c>
      <c r="D700" t="s">
        <v>4508</v>
      </c>
      <c r="E700">
        <v>2017</v>
      </c>
      <c r="F700" t="s">
        <v>9212</v>
      </c>
      <c r="G700" t="s">
        <v>5059</v>
      </c>
      <c r="H700" t="s">
        <v>5059</v>
      </c>
      <c r="I700" t="s">
        <v>9213</v>
      </c>
      <c r="M700" t="s">
        <v>4511</v>
      </c>
      <c r="N700" t="s">
        <v>4512</v>
      </c>
      <c r="O700" t="s">
        <v>4509</v>
      </c>
      <c r="P700" t="s">
        <v>9214</v>
      </c>
      <c r="Q700" t="s">
        <v>9215</v>
      </c>
    </row>
    <row r="701" spans="1:17" x14ac:dyDescent="0.25">
      <c r="A701" t="s">
        <v>9216</v>
      </c>
      <c r="B701" t="s">
        <v>9217</v>
      </c>
      <c r="C701" t="s">
        <v>9218</v>
      </c>
      <c r="D701" t="s">
        <v>4529</v>
      </c>
      <c r="E701">
        <v>2017</v>
      </c>
      <c r="F701" t="s">
        <v>9219</v>
      </c>
      <c r="G701" t="s">
        <v>5059</v>
      </c>
      <c r="H701" t="s">
        <v>5059</v>
      </c>
      <c r="I701" t="s">
        <v>9220</v>
      </c>
      <c r="J701">
        <v>78</v>
      </c>
      <c r="K701">
        <v>83</v>
      </c>
      <c r="L701">
        <v>5</v>
      </c>
      <c r="M701" t="s">
        <v>4532</v>
      </c>
      <c r="N701" t="s">
        <v>4533</v>
      </c>
      <c r="O701" t="s">
        <v>4530</v>
      </c>
      <c r="P701" t="s">
        <v>5059</v>
      </c>
      <c r="Q701" t="s">
        <v>9221</v>
      </c>
    </row>
    <row r="702" spans="1:17" x14ac:dyDescent="0.25">
      <c r="A702" t="s">
        <v>9222</v>
      </c>
      <c r="B702" t="s">
        <v>9223</v>
      </c>
      <c r="C702" t="s">
        <v>9224</v>
      </c>
      <c r="D702" t="s">
        <v>4562</v>
      </c>
      <c r="E702">
        <v>2003</v>
      </c>
      <c r="F702" t="s">
        <v>9225</v>
      </c>
      <c r="G702" t="s">
        <v>9226</v>
      </c>
      <c r="H702" t="s">
        <v>5091</v>
      </c>
      <c r="I702" t="s">
        <v>5059</v>
      </c>
      <c r="J702">
        <v>27</v>
      </c>
      <c r="K702">
        <v>28</v>
      </c>
      <c r="L702">
        <v>1</v>
      </c>
      <c r="M702" t="s">
        <v>5059</v>
      </c>
      <c r="N702" t="s">
        <v>4565</v>
      </c>
      <c r="O702" t="s">
        <v>4563</v>
      </c>
      <c r="P702" t="s">
        <v>5059</v>
      </c>
      <c r="Q702" t="s">
        <v>9227</v>
      </c>
    </row>
    <row r="703" spans="1:17" x14ac:dyDescent="0.25">
      <c r="A703" t="s">
        <v>9228</v>
      </c>
      <c r="B703" t="s">
        <v>9229</v>
      </c>
      <c r="C703" t="s">
        <v>9230</v>
      </c>
      <c r="D703" t="s">
        <v>4182</v>
      </c>
      <c r="E703">
        <v>2016</v>
      </c>
      <c r="F703" t="s">
        <v>9231</v>
      </c>
      <c r="G703" t="s">
        <v>9232</v>
      </c>
      <c r="H703" t="s">
        <v>5059</v>
      </c>
      <c r="I703" t="s">
        <v>9233</v>
      </c>
      <c r="J703">
        <v>205</v>
      </c>
      <c r="K703">
        <v>221</v>
      </c>
      <c r="L703">
        <v>16</v>
      </c>
      <c r="M703" t="s">
        <v>4185</v>
      </c>
      <c r="N703" t="s">
        <v>4186</v>
      </c>
      <c r="O703" t="s">
        <v>4183</v>
      </c>
      <c r="P703" t="s">
        <v>9234</v>
      </c>
      <c r="Q703" t="s">
        <v>9235</v>
      </c>
    </row>
    <row r="704" spans="1:17" x14ac:dyDescent="0.25">
      <c r="A704" t="s">
        <v>9236</v>
      </c>
      <c r="B704" t="s">
        <v>9237</v>
      </c>
      <c r="C704" t="s">
        <v>9238</v>
      </c>
      <c r="D704" t="s">
        <v>4196</v>
      </c>
      <c r="E704">
        <v>2016</v>
      </c>
      <c r="F704" t="s">
        <v>6793</v>
      </c>
      <c r="G704" t="s">
        <v>9239</v>
      </c>
      <c r="H704" t="s">
        <v>5059</v>
      </c>
      <c r="I704" t="s">
        <v>5059</v>
      </c>
      <c r="J704">
        <v>115</v>
      </c>
      <c r="K704">
        <v>127</v>
      </c>
      <c r="L704">
        <v>12</v>
      </c>
      <c r="M704" t="s">
        <v>4199</v>
      </c>
      <c r="N704" t="s">
        <v>4200</v>
      </c>
      <c r="O704" t="s">
        <v>4197</v>
      </c>
      <c r="P704" t="s">
        <v>9240</v>
      </c>
      <c r="Q704" t="s">
        <v>9241</v>
      </c>
    </row>
    <row r="705" spans="1:17" x14ac:dyDescent="0.25">
      <c r="A705" t="s">
        <v>5059</v>
      </c>
      <c r="B705" t="s">
        <v>5059</v>
      </c>
      <c r="C705" t="s">
        <v>5059</v>
      </c>
      <c r="D705" t="s">
        <v>4580</v>
      </c>
      <c r="E705">
        <v>2013</v>
      </c>
      <c r="F705" t="s">
        <v>9242</v>
      </c>
      <c r="G705" t="s">
        <v>5059</v>
      </c>
      <c r="H705" t="s">
        <v>5059</v>
      </c>
      <c r="I705" t="s">
        <v>5059</v>
      </c>
      <c r="J705">
        <v>105</v>
      </c>
      <c r="K705">
        <v>127</v>
      </c>
      <c r="L705">
        <v>22</v>
      </c>
      <c r="M705" t="s">
        <v>5059</v>
      </c>
      <c r="N705" t="s">
        <v>4583</v>
      </c>
      <c r="O705" t="s">
        <v>4581</v>
      </c>
      <c r="P705" t="s">
        <v>5059</v>
      </c>
      <c r="Q705" t="s">
        <v>9243</v>
      </c>
    </row>
    <row r="706" spans="1:17" x14ac:dyDescent="0.25">
      <c r="A706" t="s">
        <v>9244</v>
      </c>
      <c r="B706" t="s">
        <v>9245</v>
      </c>
      <c r="C706" t="s">
        <v>9246</v>
      </c>
      <c r="D706" t="s">
        <v>3861</v>
      </c>
      <c r="E706">
        <v>2017</v>
      </c>
      <c r="F706" t="s">
        <v>4157</v>
      </c>
      <c r="G706" t="s">
        <v>9247</v>
      </c>
      <c r="H706" t="s">
        <v>5059</v>
      </c>
      <c r="I706" t="s">
        <v>9248</v>
      </c>
      <c r="M706" t="s">
        <v>3864</v>
      </c>
      <c r="N706" t="s">
        <v>3865</v>
      </c>
      <c r="O706" t="s">
        <v>3862</v>
      </c>
      <c r="P706" t="s">
        <v>9249</v>
      </c>
      <c r="Q706" t="s">
        <v>9250</v>
      </c>
    </row>
    <row r="707" spans="1:17" x14ac:dyDescent="0.25">
      <c r="A707" t="s">
        <v>9251</v>
      </c>
      <c r="B707" t="s">
        <v>9252</v>
      </c>
      <c r="C707" t="s">
        <v>9253</v>
      </c>
      <c r="D707" t="s">
        <v>4210</v>
      </c>
      <c r="E707">
        <v>2016</v>
      </c>
      <c r="F707" t="s">
        <v>9254</v>
      </c>
      <c r="G707" t="s">
        <v>5059</v>
      </c>
      <c r="H707" t="s">
        <v>5059</v>
      </c>
      <c r="I707" t="s">
        <v>9255</v>
      </c>
      <c r="M707" t="s">
        <v>4213</v>
      </c>
      <c r="N707" t="s">
        <v>4214</v>
      </c>
      <c r="O707" t="s">
        <v>4211</v>
      </c>
      <c r="P707" t="s">
        <v>9256</v>
      </c>
      <c r="Q707" t="s">
        <v>9257</v>
      </c>
    </row>
    <row r="708" spans="1:17" x14ac:dyDescent="0.25">
      <c r="A708" t="s">
        <v>9258</v>
      </c>
      <c r="B708" t="s">
        <v>9259</v>
      </c>
      <c r="C708" t="s">
        <v>9260</v>
      </c>
      <c r="D708" t="s">
        <v>4217</v>
      </c>
      <c r="E708">
        <v>2016</v>
      </c>
      <c r="F708" t="s">
        <v>9261</v>
      </c>
      <c r="G708" t="s">
        <v>5059</v>
      </c>
      <c r="H708" t="s">
        <v>5059</v>
      </c>
      <c r="I708" t="s">
        <v>5059</v>
      </c>
      <c r="J708">
        <v>569</v>
      </c>
      <c r="K708">
        <v>578</v>
      </c>
      <c r="L708">
        <v>9</v>
      </c>
      <c r="M708" t="s">
        <v>4219</v>
      </c>
      <c r="N708" t="s">
        <v>4220</v>
      </c>
      <c r="O708" t="s">
        <v>4218</v>
      </c>
      <c r="P708" t="s">
        <v>5059</v>
      </c>
      <c r="Q708" t="s">
        <v>9262</v>
      </c>
    </row>
    <row r="709" spans="1:17" x14ac:dyDescent="0.25">
      <c r="A709" t="s">
        <v>9263</v>
      </c>
      <c r="B709" t="s">
        <v>9264</v>
      </c>
      <c r="C709" t="s">
        <v>9265</v>
      </c>
      <c r="D709" t="s">
        <v>3875</v>
      </c>
      <c r="E709">
        <v>2015</v>
      </c>
      <c r="F709" t="s">
        <v>5905</v>
      </c>
      <c r="G709" t="s">
        <v>9266</v>
      </c>
      <c r="H709" t="s">
        <v>5202</v>
      </c>
      <c r="I709" t="s">
        <v>9267</v>
      </c>
      <c r="M709" t="s">
        <v>3878</v>
      </c>
      <c r="N709" t="s">
        <v>3879</v>
      </c>
      <c r="O709" t="s">
        <v>3876</v>
      </c>
      <c r="P709" t="s">
        <v>5059</v>
      </c>
      <c r="Q709" t="s">
        <v>9268</v>
      </c>
    </row>
    <row r="710" spans="1:17" x14ac:dyDescent="0.25">
      <c r="A710" t="s">
        <v>9269</v>
      </c>
      <c r="B710" t="s">
        <v>9270</v>
      </c>
      <c r="C710" t="s">
        <v>9271</v>
      </c>
      <c r="D710" t="s">
        <v>4223</v>
      </c>
      <c r="E710">
        <v>2016</v>
      </c>
      <c r="F710" t="s">
        <v>9272</v>
      </c>
      <c r="G710" t="s">
        <v>5059</v>
      </c>
      <c r="H710" t="s">
        <v>5059</v>
      </c>
      <c r="I710" t="s">
        <v>9273</v>
      </c>
      <c r="J710">
        <v>127</v>
      </c>
      <c r="K710">
        <v>132</v>
      </c>
      <c r="L710">
        <v>5</v>
      </c>
      <c r="M710" t="s">
        <v>4226</v>
      </c>
      <c r="N710" t="s">
        <v>4227</v>
      </c>
      <c r="O710" t="s">
        <v>4224</v>
      </c>
      <c r="P710" t="s">
        <v>9274</v>
      </c>
      <c r="Q710" t="s">
        <v>9275</v>
      </c>
    </row>
    <row r="711" spans="1:17" x14ac:dyDescent="0.25">
      <c r="A711" t="s">
        <v>9276</v>
      </c>
      <c r="B711" t="s">
        <v>9277</v>
      </c>
      <c r="C711" t="s">
        <v>9278</v>
      </c>
      <c r="D711" t="s">
        <v>4230</v>
      </c>
      <c r="E711">
        <v>2016</v>
      </c>
      <c r="F711" t="s">
        <v>6258</v>
      </c>
      <c r="G711" t="s">
        <v>9279</v>
      </c>
      <c r="H711" t="s">
        <v>5059</v>
      </c>
      <c r="I711" t="s">
        <v>5059</v>
      </c>
      <c r="J711">
        <v>584</v>
      </c>
      <c r="K711">
        <v>592</v>
      </c>
      <c r="L711">
        <v>8</v>
      </c>
      <c r="M711" t="s">
        <v>4233</v>
      </c>
      <c r="N711" t="s">
        <v>4234</v>
      </c>
      <c r="O711" t="s">
        <v>4231</v>
      </c>
      <c r="P711" t="s">
        <v>9280</v>
      </c>
      <c r="Q711" t="s">
        <v>9281</v>
      </c>
    </row>
    <row r="712" spans="1:17" x14ac:dyDescent="0.25">
      <c r="A712" t="s">
        <v>5059</v>
      </c>
      <c r="B712" t="s">
        <v>5059</v>
      </c>
      <c r="C712" t="s">
        <v>5059</v>
      </c>
      <c r="D712" t="s">
        <v>4592</v>
      </c>
      <c r="E712">
        <v>2014</v>
      </c>
      <c r="F712" t="s">
        <v>9282</v>
      </c>
      <c r="G712" t="s">
        <v>9283</v>
      </c>
      <c r="H712" t="s">
        <v>5059</v>
      </c>
      <c r="I712" t="s">
        <v>5059</v>
      </c>
      <c r="M712" t="s">
        <v>5059</v>
      </c>
      <c r="N712" t="s">
        <v>4594</v>
      </c>
      <c r="O712" t="s">
        <v>4593</v>
      </c>
      <c r="P712" t="s">
        <v>5059</v>
      </c>
      <c r="Q712" t="s">
        <v>9284</v>
      </c>
    </row>
    <row r="713" spans="1:17" x14ac:dyDescent="0.25">
      <c r="A713" t="s">
        <v>9285</v>
      </c>
      <c r="B713" t="s">
        <v>9286</v>
      </c>
      <c r="C713" t="s">
        <v>9287</v>
      </c>
      <c r="D713" t="s">
        <v>4604</v>
      </c>
      <c r="E713">
        <v>2014</v>
      </c>
      <c r="F713" t="s">
        <v>9288</v>
      </c>
      <c r="G713" t="s">
        <v>5059</v>
      </c>
      <c r="H713" t="s">
        <v>5059</v>
      </c>
      <c r="I713" t="s">
        <v>5059</v>
      </c>
      <c r="M713" t="s">
        <v>4607</v>
      </c>
      <c r="N713" t="s">
        <v>4608</v>
      </c>
      <c r="O713" t="s">
        <v>4605</v>
      </c>
      <c r="P713" t="s">
        <v>5059</v>
      </c>
      <c r="Q713" t="s">
        <v>9289</v>
      </c>
    </row>
    <row r="714" spans="1:17" x14ac:dyDescent="0.25">
      <c r="A714" t="s">
        <v>9290</v>
      </c>
      <c r="B714" t="s">
        <v>9291</v>
      </c>
      <c r="C714" t="s">
        <v>9292</v>
      </c>
      <c r="D714" t="s">
        <v>4618</v>
      </c>
      <c r="E714">
        <v>2013</v>
      </c>
      <c r="F714" t="s">
        <v>9293</v>
      </c>
      <c r="G714" t="s">
        <v>5059</v>
      </c>
      <c r="H714" t="s">
        <v>5059</v>
      </c>
      <c r="I714" t="s">
        <v>9294</v>
      </c>
      <c r="J714">
        <v>795</v>
      </c>
      <c r="K714">
        <v>800</v>
      </c>
      <c r="L714">
        <v>5</v>
      </c>
      <c r="M714" t="s">
        <v>4621</v>
      </c>
      <c r="N714" t="s">
        <v>4622</v>
      </c>
      <c r="O714" t="s">
        <v>4619</v>
      </c>
      <c r="P714" t="s">
        <v>9295</v>
      </c>
      <c r="Q714" t="s">
        <v>9296</v>
      </c>
    </row>
    <row r="715" spans="1:17" x14ac:dyDescent="0.25">
      <c r="A715" t="s">
        <v>9297</v>
      </c>
      <c r="B715" t="s">
        <v>9298</v>
      </c>
      <c r="C715" t="s">
        <v>9299</v>
      </c>
      <c r="D715" t="s">
        <v>4277</v>
      </c>
      <c r="E715">
        <v>2015</v>
      </c>
      <c r="F715" t="s">
        <v>9300</v>
      </c>
      <c r="G715" t="s">
        <v>5051</v>
      </c>
      <c r="H715" t="s">
        <v>5059</v>
      </c>
      <c r="I715" t="s">
        <v>5059</v>
      </c>
      <c r="J715">
        <v>1684</v>
      </c>
      <c r="K715">
        <v>1695</v>
      </c>
      <c r="L715">
        <v>11</v>
      </c>
      <c r="M715" t="s">
        <v>5059</v>
      </c>
      <c r="N715" t="s">
        <v>4280</v>
      </c>
      <c r="O715" t="s">
        <v>4278</v>
      </c>
      <c r="P715" t="s">
        <v>5059</v>
      </c>
      <c r="Q715" t="s">
        <v>9301</v>
      </c>
    </row>
    <row r="716" spans="1:17" x14ac:dyDescent="0.25">
      <c r="A716" t="s">
        <v>9302</v>
      </c>
      <c r="B716" t="s">
        <v>9303</v>
      </c>
      <c r="C716" t="s">
        <v>9304</v>
      </c>
      <c r="D716" t="s">
        <v>4625</v>
      </c>
      <c r="E716">
        <v>2015</v>
      </c>
      <c r="F716" t="s">
        <v>9305</v>
      </c>
      <c r="G716" t="s">
        <v>5059</v>
      </c>
      <c r="H716" t="s">
        <v>5059</v>
      </c>
      <c r="I716" t="s">
        <v>5059</v>
      </c>
      <c r="J716">
        <v>1703</v>
      </c>
      <c r="K716">
        <v>1719</v>
      </c>
      <c r="L716">
        <v>16</v>
      </c>
      <c r="M716" t="s">
        <v>4628</v>
      </c>
      <c r="N716" t="s">
        <v>4629</v>
      </c>
      <c r="O716" t="s">
        <v>4626</v>
      </c>
      <c r="P716" t="s">
        <v>5059</v>
      </c>
      <c r="Q716" t="s">
        <v>9306</v>
      </c>
    </row>
    <row r="717" spans="1:17" x14ac:dyDescent="0.25">
      <c r="A717" t="s">
        <v>9307</v>
      </c>
      <c r="B717" t="s">
        <v>9308</v>
      </c>
      <c r="C717" t="s">
        <v>9309</v>
      </c>
      <c r="D717" t="s">
        <v>4639</v>
      </c>
      <c r="E717">
        <v>2010</v>
      </c>
      <c r="F717" t="s">
        <v>9225</v>
      </c>
      <c r="G717" t="s">
        <v>9310</v>
      </c>
      <c r="H717" t="s">
        <v>5180</v>
      </c>
      <c r="I717" t="s">
        <v>5059</v>
      </c>
      <c r="M717" t="s">
        <v>5059</v>
      </c>
      <c r="N717" t="s">
        <v>4641</v>
      </c>
      <c r="O717" t="s">
        <v>4640</v>
      </c>
      <c r="P717" t="s">
        <v>5059</v>
      </c>
      <c r="Q717" t="s">
        <v>9311</v>
      </c>
    </row>
    <row r="718" spans="1:17" x14ac:dyDescent="0.25">
      <c r="A718" t="s">
        <v>9312</v>
      </c>
      <c r="B718" t="s">
        <v>9313</v>
      </c>
      <c r="C718" t="s">
        <v>9314</v>
      </c>
      <c r="D718" t="s">
        <v>4648</v>
      </c>
      <c r="E718">
        <v>2015</v>
      </c>
      <c r="F718" t="s">
        <v>6999</v>
      </c>
      <c r="G718" t="s">
        <v>5051</v>
      </c>
      <c r="H718" t="s">
        <v>5059</v>
      </c>
      <c r="I718" t="s">
        <v>5059</v>
      </c>
      <c r="J718">
        <v>1860</v>
      </c>
      <c r="K718">
        <v>1866</v>
      </c>
      <c r="L718">
        <v>6</v>
      </c>
      <c r="M718" t="s">
        <v>4651</v>
      </c>
      <c r="N718" t="s">
        <v>4652</v>
      </c>
      <c r="O718" t="s">
        <v>4649</v>
      </c>
      <c r="P718" t="s">
        <v>5059</v>
      </c>
      <c r="Q718" t="s">
        <v>9315</v>
      </c>
    </row>
    <row r="719" spans="1:17" x14ac:dyDescent="0.25">
      <c r="A719" t="s">
        <v>9316</v>
      </c>
      <c r="B719" t="s">
        <v>9317</v>
      </c>
      <c r="C719" t="s">
        <v>9318</v>
      </c>
      <c r="D719" t="s">
        <v>4662</v>
      </c>
      <c r="E719">
        <v>2008</v>
      </c>
      <c r="F719" t="s">
        <v>9319</v>
      </c>
      <c r="G719" t="s">
        <v>5059</v>
      </c>
      <c r="H719" t="s">
        <v>9320</v>
      </c>
      <c r="I719" t="s">
        <v>5059</v>
      </c>
      <c r="M719" t="s">
        <v>5059</v>
      </c>
      <c r="N719" t="s">
        <v>4664</v>
      </c>
      <c r="O719" t="s">
        <v>4663</v>
      </c>
      <c r="P719" t="s">
        <v>5059</v>
      </c>
      <c r="Q719" t="s">
        <v>9321</v>
      </c>
    </row>
    <row r="720" spans="1:17" x14ac:dyDescent="0.25">
      <c r="A720" t="s">
        <v>9322</v>
      </c>
      <c r="B720" t="s">
        <v>9323</v>
      </c>
      <c r="C720" t="s">
        <v>9324</v>
      </c>
      <c r="D720" t="s">
        <v>3923</v>
      </c>
      <c r="E720">
        <v>2016</v>
      </c>
      <c r="F720" t="s">
        <v>9325</v>
      </c>
      <c r="G720" t="s">
        <v>5059</v>
      </c>
      <c r="H720" t="s">
        <v>5059</v>
      </c>
      <c r="I720" t="s">
        <v>5059</v>
      </c>
      <c r="M720" t="s">
        <v>5059</v>
      </c>
      <c r="N720" t="s">
        <v>3926</v>
      </c>
      <c r="O720" t="s">
        <v>3924</v>
      </c>
      <c r="P720" t="s">
        <v>5059</v>
      </c>
      <c r="Q720" t="s">
        <v>9326</v>
      </c>
    </row>
    <row r="721" spans="1:17" x14ac:dyDescent="0.25">
      <c r="A721" t="s">
        <v>9327</v>
      </c>
      <c r="B721" t="s">
        <v>9328</v>
      </c>
      <c r="C721" t="s">
        <v>9329</v>
      </c>
      <c r="D721" t="s">
        <v>3929</v>
      </c>
      <c r="E721">
        <v>2016</v>
      </c>
      <c r="F721" t="s">
        <v>9330</v>
      </c>
      <c r="G721" t="s">
        <v>9331</v>
      </c>
      <c r="H721" t="s">
        <v>5059</v>
      </c>
      <c r="I721" t="s">
        <v>5059</v>
      </c>
      <c r="J721">
        <v>399</v>
      </c>
      <c r="K721">
        <v>405</v>
      </c>
      <c r="L721">
        <v>6</v>
      </c>
      <c r="M721" t="s">
        <v>3932</v>
      </c>
      <c r="N721" t="s">
        <v>3933</v>
      </c>
      <c r="O721" t="s">
        <v>3930</v>
      </c>
      <c r="P721" t="s">
        <v>9332</v>
      </c>
      <c r="Q721" t="s">
        <v>9333</v>
      </c>
    </row>
    <row r="722" spans="1:17" x14ac:dyDescent="0.25">
      <c r="A722" t="s">
        <v>9334</v>
      </c>
      <c r="B722" t="s">
        <v>9335</v>
      </c>
      <c r="C722" t="s">
        <v>9336</v>
      </c>
      <c r="D722" t="s">
        <v>4304</v>
      </c>
      <c r="E722">
        <v>2016</v>
      </c>
      <c r="F722" t="s">
        <v>9337</v>
      </c>
      <c r="G722" t="s">
        <v>9338</v>
      </c>
      <c r="H722" t="s">
        <v>5059</v>
      </c>
      <c r="I722" t="s">
        <v>5059</v>
      </c>
      <c r="J722">
        <v>223</v>
      </c>
      <c r="K722">
        <v>232</v>
      </c>
      <c r="L722">
        <v>9</v>
      </c>
      <c r="M722" t="s">
        <v>4307</v>
      </c>
      <c r="N722" t="s">
        <v>4308</v>
      </c>
      <c r="O722" t="s">
        <v>4305</v>
      </c>
      <c r="P722" t="s">
        <v>9339</v>
      </c>
      <c r="Q722" t="s">
        <v>9340</v>
      </c>
    </row>
    <row r="723" spans="1:17" x14ac:dyDescent="0.25">
      <c r="A723" t="s">
        <v>9341</v>
      </c>
      <c r="B723" t="s">
        <v>9342</v>
      </c>
      <c r="C723" t="s">
        <v>9343</v>
      </c>
      <c r="D723" t="s">
        <v>4696</v>
      </c>
      <c r="E723">
        <v>2014</v>
      </c>
      <c r="F723" t="s">
        <v>9344</v>
      </c>
      <c r="G723" t="s">
        <v>5059</v>
      </c>
      <c r="H723" t="s">
        <v>5059</v>
      </c>
      <c r="I723" t="s">
        <v>5059</v>
      </c>
      <c r="J723">
        <v>191</v>
      </c>
      <c r="K723">
        <v>215</v>
      </c>
      <c r="L723">
        <v>24</v>
      </c>
      <c r="M723" t="s">
        <v>4698</v>
      </c>
      <c r="N723" t="s">
        <v>4699</v>
      </c>
      <c r="O723" t="s">
        <v>4697</v>
      </c>
      <c r="P723" t="s">
        <v>5059</v>
      </c>
      <c r="Q723" t="s">
        <v>9345</v>
      </c>
    </row>
    <row r="724" spans="1:17" x14ac:dyDescent="0.25">
      <c r="A724" t="s">
        <v>9346</v>
      </c>
      <c r="B724" t="s">
        <v>9347</v>
      </c>
      <c r="C724" t="s">
        <v>9348</v>
      </c>
      <c r="D724" t="s">
        <v>3950</v>
      </c>
      <c r="E724">
        <v>2016</v>
      </c>
      <c r="F724" t="s">
        <v>9349</v>
      </c>
      <c r="G724" t="s">
        <v>5059</v>
      </c>
      <c r="H724" t="s">
        <v>5059</v>
      </c>
      <c r="I724" t="s">
        <v>9350</v>
      </c>
      <c r="J724">
        <v>156</v>
      </c>
      <c r="K724">
        <v>157</v>
      </c>
      <c r="L724">
        <v>1</v>
      </c>
      <c r="M724" t="s">
        <v>3953</v>
      </c>
      <c r="N724" t="s">
        <v>3954</v>
      </c>
      <c r="O724" t="s">
        <v>3951</v>
      </c>
      <c r="P724" t="s">
        <v>9351</v>
      </c>
      <c r="Q724" t="s">
        <v>9352</v>
      </c>
    </row>
    <row r="725" spans="1:17" x14ac:dyDescent="0.25">
      <c r="A725" t="s">
        <v>9353</v>
      </c>
      <c r="B725" t="s">
        <v>9354</v>
      </c>
      <c r="C725" t="s">
        <v>9355</v>
      </c>
      <c r="D725" t="s">
        <v>4708</v>
      </c>
      <c r="E725">
        <v>1997</v>
      </c>
      <c r="F725" t="s">
        <v>4157</v>
      </c>
      <c r="G725" t="s">
        <v>9356</v>
      </c>
      <c r="H725" t="s">
        <v>5059</v>
      </c>
      <c r="I725" t="s">
        <v>5059</v>
      </c>
      <c r="J725">
        <v>178</v>
      </c>
      <c r="K725">
        <v>186</v>
      </c>
      <c r="L725">
        <v>8</v>
      </c>
      <c r="M725" t="s">
        <v>4711</v>
      </c>
      <c r="N725" t="s">
        <v>4712</v>
      </c>
      <c r="O725" t="s">
        <v>4709</v>
      </c>
      <c r="P725" t="s">
        <v>9357</v>
      </c>
      <c r="Q725" t="s">
        <v>9358</v>
      </c>
    </row>
    <row r="726" spans="1:17" x14ac:dyDescent="0.25">
      <c r="A726" t="s">
        <v>9359</v>
      </c>
      <c r="B726" t="s">
        <v>9360</v>
      </c>
      <c r="C726" t="s">
        <v>9361</v>
      </c>
      <c r="D726" t="s">
        <v>4715</v>
      </c>
      <c r="E726">
        <v>2012</v>
      </c>
      <c r="F726" t="s">
        <v>9362</v>
      </c>
      <c r="G726" t="s">
        <v>5070</v>
      </c>
      <c r="H726" t="s">
        <v>5050</v>
      </c>
      <c r="I726" t="s">
        <v>5059</v>
      </c>
      <c r="J726">
        <v>30</v>
      </c>
      <c r="K726">
        <v>33</v>
      </c>
      <c r="L726">
        <v>3</v>
      </c>
      <c r="M726" t="s">
        <v>5059</v>
      </c>
      <c r="N726" t="s">
        <v>4718</v>
      </c>
      <c r="O726" t="s">
        <v>4716</v>
      </c>
      <c r="P726" t="s">
        <v>5059</v>
      </c>
      <c r="Q726" t="s">
        <v>9363</v>
      </c>
    </row>
    <row r="727" spans="1:17" x14ac:dyDescent="0.25">
      <c r="A727" t="s">
        <v>9364</v>
      </c>
      <c r="B727" t="s">
        <v>9365</v>
      </c>
      <c r="C727" t="s">
        <v>9366</v>
      </c>
      <c r="D727" t="s">
        <v>4331</v>
      </c>
      <c r="E727">
        <v>2016</v>
      </c>
      <c r="F727" t="s">
        <v>9367</v>
      </c>
      <c r="G727" t="s">
        <v>5059</v>
      </c>
      <c r="H727" t="s">
        <v>5059</v>
      </c>
      <c r="I727" t="s">
        <v>5059</v>
      </c>
      <c r="M727" t="s">
        <v>5059</v>
      </c>
      <c r="N727" t="s">
        <v>4334</v>
      </c>
      <c r="O727" t="s">
        <v>4332</v>
      </c>
      <c r="P727" t="s">
        <v>5059</v>
      </c>
      <c r="Q727" t="s">
        <v>9368</v>
      </c>
    </row>
    <row r="728" spans="1:17" x14ac:dyDescent="0.25">
      <c r="A728" t="s">
        <v>9369</v>
      </c>
      <c r="B728" t="s">
        <v>9370</v>
      </c>
      <c r="C728" t="s">
        <v>9371</v>
      </c>
      <c r="D728" t="s">
        <v>4721</v>
      </c>
      <c r="E728">
        <v>2007</v>
      </c>
      <c r="F728" t="s">
        <v>9372</v>
      </c>
      <c r="G728" t="s">
        <v>5202</v>
      </c>
      <c r="H728" t="s">
        <v>5059</v>
      </c>
      <c r="I728" t="s">
        <v>5059</v>
      </c>
      <c r="M728" t="s">
        <v>5059</v>
      </c>
      <c r="N728" t="s">
        <v>4724</v>
      </c>
      <c r="O728" t="s">
        <v>4722</v>
      </c>
      <c r="P728" t="s">
        <v>5059</v>
      </c>
      <c r="Q728" t="s">
        <v>9373</v>
      </c>
    </row>
    <row r="729" spans="1:17" x14ac:dyDescent="0.25">
      <c r="A729" t="s">
        <v>9374</v>
      </c>
      <c r="B729" t="s">
        <v>9375</v>
      </c>
      <c r="C729" t="s">
        <v>9376</v>
      </c>
      <c r="D729" t="s">
        <v>4727</v>
      </c>
      <c r="E729">
        <v>2014</v>
      </c>
      <c r="F729" t="s">
        <v>9377</v>
      </c>
      <c r="G729" t="s">
        <v>9378</v>
      </c>
      <c r="H729" t="s">
        <v>5059</v>
      </c>
      <c r="I729" t="s">
        <v>5059</v>
      </c>
      <c r="J729">
        <v>643</v>
      </c>
      <c r="K729">
        <v>647</v>
      </c>
      <c r="L729">
        <v>4</v>
      </c>
      <c r="M729" t="s">
        <v>5059</v>
      </c>
      <c r="N729" t="s">
        <v>4730</v>
      </c>
      <c r="O729" t="s">
        <v>4728</v>
      </c>
      <c r="P729" t="s">
        <v>5059</v>
      </c>
      <c r="Q729" t="s">
        <v>9379</v>
      </c>
    </row>
    <row r="730" spans="1:17" x14ac:dyDescent="0.25">
      <c r="A730" t="s">
        <v>9380</v>
      </c>
      <c r="B730" t="s">
        <v>9381</v>
      </c>
      <c r="C730" t="s">
        <v>9382</v>
      </c>
      <c r="D730" t="s">
        <v>4733</v>
      </c>
      <c r="E730">
        <v>2008</v>
      </c>
      <c r="F730" t="s">
        <v>9383</v>
      </c>
      <c r="G730" t="s">
        <v>5059</v>
      </c>
      <c r="H730" t="s">
        <v>5059</v>
      </c>
      <c r="I730" t="s">
        <v>9384</v>
      </c>
      <c r="M730" t="s">
        <v>5059</v>
      </c>
      <c r="N730" t="s">
        <v>4736</v>
      </c>
      <c r="O730" t="s">
        <v>4734</v>
      </c>
      <c r="P730" t="s">
        <v>5059</v>
      </c>
      <c r="Q730" t="s">
        <v>9385</v>
      </c>
    </row>
    <row r="731" spans="1:17" x14ac:dyDescent="0.25">
      <c r="A731" t="s">
        <v>9386</v>
      </c>
      <c r="B731" t="s">
        <v>9387</v>
      </c>
      <c r="C731" t="s">
        <v>9388</v>
      </c>
      <c r="D731" t="s">
        <v>4739</v>
      </c>
      <c r="E731">
        <v>2010</v>
      </c>
      <c r="F731" t="s">
        <v>4157</v>
      </c>
      <c r="G731" t="s">
        <v>9389</v>
      </c>
      <c r="H731" t="s">
        <v>5059</v>
      </c>
      <c r="I731" t="s">
        <v>9390</v>
      </c>
      <c r="M731" t="s">
        <v>4742</v>
      </c>
      <c r="N731" t="s">
        <v>4743</v>
      </c>
      <c r="O731" t="s">
        <v>4740</v>
      </c>
      <c r="P731" t="s">
        <v>9391</v>
      </c>
      <c r="Q731" t="s">
        <v>9392</v>
      </c>
    </row>
    <row r="732" spans="1:17" x14ac:dyDescent="0.25">
      <c r="A732" t="s">
        <v>9393</v>
      </c>
      <c r="B732" t="s">
        <v>9394</v>
      </c>
      <c r="C732" t="s">
        <v>9395</v>
      </c>
      <c r="D732" t="s">
        <v>4348</v>
      </c>
      <c r="E732">
        <v>2015</v>
      </c>
      <c r="F732" t="s">
        <v>9396</v>
      </c>
      <c r="G732" t="s">
        <v>5059</v>
      </c>
      <c r="H732" t="s">
        <v>5059</v>
      </c>
      <c r="I732" t="s">
        <v>9397</v>
      </c>
      <c r="M732" t="s">
        <v>4351</v>
      </c>
      <c r="N732" t="s">
        <v>4352</v>
      </c>
      <c r="O732" t="s">
        <v>4349</v>
      </c>
      <c r="P732" t="s">
        <v>9398</v>
      </c>
      <c r="Q732" t="s">
        <v>9399</v>
      </c>
    </row>
    <row r="733" spans="1:17" x14ac:dyDescent="0.25">
      <c r="A733" t="s">
        <v>9400</v>
      </c>
      <c r="B733" t="s">
        <v>9401</v>
      </c>
      <c r="C733" t="s">
        <v>9402</v>
      </c>
      <c r="D733" t="s">
        <v>4556</v>
      </c>
      <c r="E733">
        <v>2014</v>
      </c>
      <c r="F733" t="s">
        <v>9403</v>
      </c>
      <c r="G733" t="s">
        <v>5051</v>
      </c>
      <c r="H733" t="s">
        <v>5059</v>
      </c>
      <c r="I733" t="s">
        <v>5059</v>
      </c>
      <c r="J733">
        <v>2233</v>
      </c>
      <c r="K733">
        <v>2242</v>
      </c>
      <c r="L733">
        <v>9</v>
      </c>
      <c r="M733" t="s">
        <v>5059</v>
      </c>
      <c r="N733" t="s">
        <v>4559</v>
      </c>
      <c r="O733" t="s">
        <v>4557</v>
      </c>
      <c r="P733" t="s">
        <v>5059</v>
      </c>
      <c r="Q733" t="s">
        <v>9404</v>
      </c>
    </row>
    <row r="734" spans="1:17" x14ac:dyDescent="0.25">
      <c r="A734" t="s">
        <v>9405</v>
      </c>
      <c r="B734" t="s">
        <v>9406</v>
      </c>
      <c r="C734" t="s">
        <v>9407</v>
      </c>
      <c r="D734" t="s">
        <v>3984</v>
      </c>
      <c r="E734">
        <v>2015</v>
      </c>
      <c r="F734" t="s">
        <v>9408</v>
      </c>
      <c r="G734" t="s">
        <v>5059</v>
      </c>
      <c r="H734" t="s">
        <v>5059</v>
      </c>
      <c r="I734" t="s">
        <v>5059</v>
      </c>
      <c r="J734">
        <v>69</v>
      </c>
      <c r="K734">
        <v>83</v>
      </c>
      <c r="L734">
        <v>14</v>
      </c>
      <c r="M734" t="s">
        <v>5059</v>
      </c>
      <c r="N734" t="s">
        <v>3987</v>
      </c>
      <c r="O734" t="s">
        <v>3985</v>
      </c>
      <c r="P734" t="s">
        <v>5059</v>
      </c>
      <c r="Q734" t="s">
        <v>9409</v>
      </c>
    </row>
    <row r="735" spans="1:17" x14ac:dyDescent="0.25">
      <c r="A735" t="s">
        <v>9410</v>
      </c>
      <c r="B735" t="s">
        <v>9411</v>
      </c>
      <c r="C735" t="s">
        <v>9412</v>
      </c>
      <c r="D735" t="s">
        <v>4568</v>
      </c>
      <c r="E735">
        <v>2015</v>
      </c>
      <c r="F735" t="s">
        <v>8485</v>
      </c>
      <c r="G735" t="s">
        <v>9413</v>
      </c>
      <c r="H735" t="s">
        <v>5059</v>
      </c>
      <c r="I735" t="s">
        <v>5059</v>
      </c>
      <c r="J735">
        <v>425</v>
      </c>
      <c r="K735">
        <v>428</v>
      </c>
      <c r="L735">
        <v>3</v>
      </c>
      <c r="M735" t="s">
        <v>5059</v>
      </c>
      <c r="N735" t="s">
        <v>4571</v>
      </c>
      <c r="O735" t="s">
        <v>4569</v>
      </c>
      <c r="P735" t="s">
        <v>9414</v>
      </c>
      <c r="Q735" t="s">
        <v>9415</v>
      </c>
    </row>
    <row r="736" spans="1:17" x14ac:dyDescent="0.25">
      <c r="A736" t="s">
        <v>9416</v>
      </c>
      <c r="B736" t="s">
        <v>9417</v>
      </c>
      <c r="C736" t="s">
        <v>9418</v>
      </c>
      <c r="D736" t="s">
        <v>4574</v>
      </c>
      <c r="E736">
        <v>2012</v>
      </c>
      <c r="F736" t="s">
        <v>4157</v>
      </c>
      <c r="G736" t="s">
        <v>9419</v>
      </c>
      <c r="H736" t="s">
        <v>5059</v>
      </c>
      <c r="I736" t="s">
        <v>9420</v>
      </c>
      <c r="M736" t="s">
        <v>4577</v>
      </c>
      <c r="N736" t="s">
        <v>4578</v>
      </c>
      <c r="O736" t="s">
        <v>4575</v>
      </c>
      <c r="P736" t="s">
        <v>9421</v>
      </c>
      <c r="Q736" t="s">
        <v>9422</v>
      </c>
    </row>
    <row r="737" spans="1:17" x14ac:dyDescent="0.25">
      <c r="A737" t="s">
        <v>9423</v>
      </c>
      <c r="B737" t="s">
        <v>9424</v>
      </c>
      <c r="C737" t="s">
        <v>9425</v>
      </c>
      <c r="D737" t="s">
        <v>4586</v>
      </c>
      <c r="E737">
        <v>2008</v>
      </c>
      <c r="F737" t="s">
        <v>9426</v>
      </c>
      <c r="G737" t="s">
        <v>9201</v>
      </c>
      <c r="H737" t="s">
        <v>5091</v>
      </c>
      <c r="I737" t="s">
        <v>5059</v>
      </c>
      <c r="J737">
        <v>1958</v>
      </c>
      <c r="K737">
        <v>1975</v>
      </c>
      <c r="L737">
        <v>17</v>
      </c>
      <c r="M737" t="s">
        <v>4589</v>
      </c>
      <c r="N737" t="s">
        <v>4590</v>
      </c>
      <c r="O737" t="s">
        <v>4587</v>
      </c>
      <c r="P737" t="s">
        <v>4588</v>
      </c>
      <c r="Q737" t="s">
        <v>9427</v>
      </c>
    </row>
    <row r="738" spans="1:17" x14ac:dyDescent="0.25">
      <c r="A738" t="s">
        <v>9428</v>
      </c>
      <c r="B738" t="s">
        <v>9429</v>
      </c>
      <c r="C738" t="s">
        <v>9430</v>
      </c>
      <c r="D738" t="s">
        <v>4015</v>
      </c>
      <c r="E738">
        <v>2016</v>
      </c>
      <c r="F738" t="s">
        <v>9431</v>
      </c>
      <c r="G738" t="s">
        <v>5059</v>
      </c>
      <c r="H738" t="s">
        <v>5059</v>
      </c>
      <c r="I738" t="s">
        <v>9432</v>
      </c>
      <c r="J738">
        <v>1220</v>
      </c>
      <c r="K738">
        <v>1227</v>
      </c>
      <c r="L738">
        <v>7</v>
      </c>
      <c r="M738" t="s">
        <v>4018</v>
      </c>
      <c r="N738" t="s">
        <v>4019</v>
      </c>
      <c r="O738" t="s">
        <v>4016</v>
      </c>
      <c r="P738" t="s">
        <v>9433</v>
      </c>
      <c r="Q738" t="s">
        <v>9434</v>
      </c>
    </row>
    <row r="739" spans="1:17" x14ac:dyDescent="0.25">
      <c r="A739" t="s">
        <v>9435</v>
      </c>
      <c r="B739" t="s">
        <v>9436</v>
      </c>
      <c r="C739" t="s">
        <v>9437</v>
      </c>
      <c r="D739" t="s">
        <v>4597</v>
      </c>
      <c r="E739">
        <v>2013</v>
      </c>
      <c r="F739" t="s">
        <v>9438</v>
      </c>
      <c r="G739" t="s">
        <v>9439</v>
      </c>
      <c r="H739" t="s">
        <v>5059</v>
      </c>
      <c r="I739" t="s">
        <v>5059</v>
      </c>
      <c r="J739">
        <v>4182</v>
      </c>
      <c r="K739">
        <v>4190</v>
      </c>
      <c r="L739">
        <v>8</v>
      </c>
      <c r="M739" t="s">
        <v>4600</v>
      </c>
      <c r="N739" t="s">
        <v>4601</v>
      </c>
      <c r="O739" t="s">
        <v>4598</v>
      </c>
      <c r="P739" t="s">
        <v>4599</v>
      </c>
      <c r="Q739" t="s">
        <v>9440</v>
      </c>
    </row>
    <row r="740" spans="1:17" x14ac:dyDescent="0.25">
      <c r="A740" t="s">
        <v>9441</v>
      </c>
      <c r="B740" t="s">
        <v>9442</v>
      </c>
      <c r="C740" t="s">
        <v>9443</v>
      </c>
      <c r="D740" t="s">
        <v>4411</v>
      </c>
      <c r="E740">
        <v>2015</v>
      </c>
      <c r="F740" t="s">
        <v>9444</v>
      </c>
      <c r="G740" t="s">
        <v>5059</v>
      </c>
      <c r="H740" t="s">
        <v>5059</v>
      </c>
      <c r="I740" t="s">
        <v>5059</v>
      </c>
      <c r="J740">
        <v>190</v>
      </c>
      <c r="K740">
        <v>201</v>
      </c>
      <c r="L740">
        <v>11</v>
      </c>
      <c r="M740" t="s">
        <v>4414</v>
      </c>
      <c r="N740" t="s">
        <v>4415</v>
      </c>
      <c r="O740" t="s">
        <v>4412</v>
      </c>
      <c r="P740" t="s">
        <v>5059</v>
      </c>
      <c r="Q740" t="s">
        <v>9445</v>
      </c>
    </row>
    <row r="741" spans="1:17" x14ac:dyDescent="0.25">
      <c r="A741" t="s">
        <v>9446</v>
      </c>
      <c r="B741" t="s">
        <v>9447</v>
      </c>
      <c r="C741" t="s">
        <v>9448</v>
      </c>
      <c r="D741" t="s">
        <v>4632</v>
      </c>
      <c r="E741">
        <v>2013</v>
      </c>
      <c r="F741" t="s">
        <v>9449</v>
      </c>
      <c r="G741" t="s">
        <v>5059</v>
      </c>
      <c r="H741" t="s">
        <v>5059</v>
      </c>
      <c r="I741" t="s">
        <v>9450</v>
      </c>
      <c r="M741" t="s">
        <v>4635</v>
      </c>
      <c r="N741" t="s">
        <v>4636</v>
      </c>
      <c r="O741" t="s">
        <v>4633</v>
      </c>
      <c r="P741" t="s">
        <v>9451</v>
      </c>
      <c r="Q741" t="s">
        <v>9452</v>
      </c>
    </row>
    <row r="742" spans="1:17" x14ac:dyDescent="0.25">
      <c r="A742" t="s">
        <v>5059</v>
      </c>
      <c r="B742" t="s">
        <v>5059</v>
      </c>
      <c r="C742" t="s">
        <v>5059</v>
      </c>
      <c r="D742" t="s">
        <v>4428</v>
      </c>
      <c r="E742">
        <v>2016</v>
      </c>
      <c r="F742" t="s">
        <v>5836</v>
      </c>
      <c r="G742" t="s">
        <v>9453</v>
      </c>
      <c r="H742" t="s">
        <v>5059</v>
      </c>
      <c r="I742" t="s">
        <v>5059</v>
      </c>
      <c r="J742">
        <v>1</v>
      </c>
      <c r="K742">
        <v>1504</v>
      </c>
      <c r="L742">
        <v>1503</v>
      </c>
      <c r="M742" t="s">
        <v>5059</v>
      </c>
      <c r="N742" t="s">
        <v>4430</v>
      </c>
      <c r="O742" t="s">
        <v>4429</v>
      </c>
      <c r="P742" t="s">
        <v>5059</v>
      </c>
      <c r="Q742" t="s">
        <v>9454</v>
      </c>
    </row>
    <row r="743" spans="1:17" x14ac:dyDescent="0.25">
      <c r="A743" t="s">
        <v>9455</v>
      </c>
      <c r="B743" t="s">
        <v>9456</v>
      </c>
      <c r="C743" t="s">
        <v>9457</v>
      </c>
      <c r="D743" t="s">
        <v>4433</v>
      </c>
      <c r="E743">
        <v>2015</v>
      </c>
      <c r="F743" t="s">
        <v>6258</v>
      </c>
      <c r="G743" t="s">
        <v>9458</v>
      </c>
      <c r="H743" t="s">
        <v>5059</v>
      </c>
      <c r="I743" t="s">
        <v>5059</v>
      </c>
      <c r="J743">
        <v>67</v>
      </c>
      <c r="K743">
        <v>77</v>
      </c>
      <c r="L743">
        <v>10</v>
      </c>
      <c r="M743" t="s">
        <v>4436</v>
      </c>
      <c r="N743" t="s">
        <v>4437</v>
      </c>
      <c r="O743" t="s">
        <v>4434</v>
      </c>
      <c r="P743" t="s">
        <v>5059</v>
      </c>
      <c r="Q743" t="s">
        <v>9459</v>
      </c>
    </row>
    <row r="744" spans="1:17" x14ac:dyDescent="0.25">
      <c r="A744" t="s">
        <v>9307</v>
      </c>
      <c r="B744" t="s">
        <v>9308</v>
      </c>
      <c r="C744" t="s">
        <v>9309</v>
      </c>
      <c r="D744" t="s">
        <v>4643</v>
      </c>
      <c r="E744">
        <v>2009</v>
      </c>
      <c r="F744" t="s">
        <v>9225</v>
      </c>
      <c r="G744" t="s">
        <v>9460</v>
      </c>
      <c r="H744" t="s">
        <v>5463</v>
      </c>
      <c r="I744" t="s">
        <v>5059</v>
      </c>
      <c r="M744" t="s">
        <v>5059</v>
      </c>
      <c r="N744" t="s">
        <v>4645</v>
      </c>
      <c r="O744" t="s">
        <v>4644</v>
      </c>
      <c r="P744" t="s">
        <v>5059</v>
      </c>
      <c r="Q744" t="s">
        <v>9461</v>
      </c>
    </row>
    <row r="745" spans="1:17" x14ac:dyDescent="0.25">
      <c r="A745" t="s">
        <v>9462</v>
      </c>
      <c r="B745" t="s">
        <v>9463</v>
      </c>
      <c r="C745" t="s">
        <v>9464</v>
      </c>
      <c r="D745" t="s">
        <v>4655</v>
      </c>
      <c r="E745">
        <v>2014</v>
      </c>
      <c r="F745" t="s">
        <v>4157</v>
      </c>
      <c r="G745" t="s">
        <v>9465</v>
      </c>
      <c r="H745" t="s">
        <v>5059</v>
      </c>
      <c r="I745" t="s">
        <v>9466</v>
      </c>
      <c r="M745" t="s">
        <v>4658</v>
      </c>
      <c r="N745" t="s">
        <v>4659</v>
      </c>
      <c r="O745" t="s">
        <v>4656</v>
      </c>
      <c r="P745" t="s">
        <v>9467</v>
      </c>
      <c r="Q745" t="s">
        <v>9468</v>
      </c>
    </row>
    <row r="746" spans="1:17" x14ac:dyDescent="0.25">
      <c r="A746" t="s">
        <v>9469</v>
      </c>
      <c r="B746" t="s">
        <v>9470</v>
      </c>
      <c r="C746" t="s">
        <v>9471</v>
      </c>
      <c r="D746" t="s">
        <v>4667</v>
      </c>
      <c r="E746">
        <v>1994</v>
      </c>
      <c r="F746" t="s">
        <v>9472</v>
      </c>
      <c r="G746" t="s">
        <v>5059</v>
      </c>
      <c r="H746" t="s">
        <v>5059</v>
      </c>
      <c r="I746" t="s">
        <v>5059</v>
      </c>
      <c r="J746">
        <v>306</v>
      </c>
      <c r="K746">
        <v>309</v>
      </c>
      <c r="L746">
        <v>3</v>
      </c>
      <c r="M746" t="s">
        <v>5059</v>
      </c>
      <c r="N746" t="s">
        <v>4670</v>
      </c>
      <c r="O746" t="s">
        <v>4668</v>
      </c>
      <c r="P746" t="s">
        <v>5059</v>
      </c>
      <c r="Q746" t="s">
        <v>9473</v>
      </c>
    </row>
    <row r="747" spans="1:17" x14ac:dyDescent="0.25">
      <c r="A747" t="s">
        <v>9474</v>
      </c>
      <c r="B747" t="s">
        <v>9475</v>
      </c>
      <c r="C747" t="s">
        <v>9476</v>
      </c>
      <c r="D747" t="s">
        <v>4673</v>
      </c>
      <c r="E747">
        <v>1995</v>
      </c>
      <c r="F747" t="s">
        <v>9477</v>
      </c>
      <c r="G747" t="s">
        <v>9478</v>
      </c>
      <c r="H747" t="s">
        <v>5059</v>
      </c>
      <c r="I747" t="s">
        <v>5059</v>
      </c>
      <c r="J747">
        <v>1141</v>
      </c>
      <c r="K747">
        <v>1163</v>
      </c>
      <c r="L747">
        <v>22</v>
      </c>
      <c r="M747" t="s">
        <v>5059</v>
      </c>
      <c r="N747" t="s">
        <v>4676</v>
      </c>
      <c r="O747" t="s">
        <v>4674</v>
      </c>
      <c r="P747" t="s">
        <v>9479</v>
      </c>
      <c r="Q747" t="s">
        <v>9480</v>
      </c>
    </row>
    <row r="748" spans="1:17" x14ac:dyDescent="0.25">
      <c r="A748" t="s">
        <v>9481</v>
      </c>
      <c r="B748" t="s">
        <v>9482</v>
      </c>
      <c r="C748" t="s">
        <v>9483</v>
      </c>
      <c r="D748" t="s">
        <v>4474</v>
      </c>
      <c r="E748">
        <v>2017</v>
      </c>
      <c r="F748" t="s">
        <v>9484</v>
      </c>
      <c r="G748" t="s">
        <v>5059</v>
      </c>
      <c r="H748" t="s">
        <v>5059</v>
      </c>
      <c r="I748" t="s">
        <v>5059</v>
      </c>
      <c r="J748">
        <v>704</v>
      </c>
      <c r="K748">
        <v>710</v>
      </c>
      <c r="L748">
        <v>6</v>
      </c>
      <c r="M748" t="s">
        <v>5059</v>
      </c>
      <c r="N748" t="s">
        <v>4477</v>
      </c>
      <c r="O748" t="s">
        <v>4475</v>
      </c>
      <c r="P748" t="s">
        <v>9485</v>
      </c>
      <c r="Q748" t="s">
        <v>9486</v>
      </c>
    </row>
    <row r="749" spans="1:17" x14ac:dyDescent="0.25">
      <c r="A749" t="s">
        <v>9487</v>
      </c>
      <c r="B749" t="s">
        <v>9488</v>
      </c>
      <c r="C749" t="s">
        <v>9489</v>
      </c>
      <c r="D749" t="s">
        <v>4065</v>
      </c>
      <c r="E749">
        <v>2017</v>
      </c>
      <c r="F749" t="s">
        <v>9490</v>
      </c>
      <c r="G749" t="s">
        <v>5059</v>
      </c>
      <c r="H749" t="s">
        <v>5059</v>
      </c>
      <c r="I749" t="s">
        <v>5059</v>
      </c>
      <c r="M749" t="s">
        <v>5059</v>
      </c>
      <c r="N749" t="s">
        <v>4068</v>
      </c>
      <c r="O749" t="s">
        <v>4066</v>
      </c>
      <c r="P749" t="s">
        <v>5059</v>
      </c>
      <c r="Q749" t="s">
        <v>9491</v>
      </c>
    </row>
    <row r="750" spans="1:17" x14ac:dyDescent="0.25">
      <c r="A750" t="s">
        <v>9492</v>
      </c>
      <c r="B750" t="s">
        <v>9493</v>
      </c>
      <c r="C750" t="s">
        <v>9494</v>
      </c>
      <c r="D750" t="s">
        <v>4686</v>
      </c>
      <c r="E750">
        <v>1991</v>
      </c>
      <c r="F750" t="s">
        <v>9495</v>
      </c>
      <c r="G750" t="s">
        <v>9496</v>
      </c>
      <c r="H750" t="s">
        <v>5051</v>
      </c>
      <c r="I750" t="s">
        <v>5059</v>
      </c>
      <c r="J750">
        <v>47</v>
      </c>
      <c r="K750">
        <v>48</v>
      </c>
      <c r="L750">
        <v>1</v>
      </c>
      <c r="M750" t="s">
        <v>5059</v>
      </c>
      <c r="N750" t="s">
        <v>4689</v>
      </c>
      <c r="O750" t="s">
        <v>4687</v>
      </c>
      <c r="P750" t="s">
        <v>5059</v>
      </c>
      <c r="Q750" t="s">
        <v>9497</v>
      </c>
    </row>
    <row r="751" spans="1:17" x14ac:dyDescent="0.25">
      <c r="A751" t="s">
        <v>9498</v>
      </c>
      <c r="B751" t="s">
        <v>9499</v>
      </c>
      <c r="C751" t="s">
        <v>9500</v>
      </c>
      <c r="D751" t="s">
        <v>4082</v>
      </c>
      <c r="E751">
        <v>2016</v>
      </c>
      <c r="F751" t="s">
        <v>9501</v>
      </c>
      <c r="G751" t="s">
        <v>9502</v>
      </c>
      <c r="H751" t="s">
        <v>5059</v>
      </c>
      <c r="I751" t="s">
        <v>5059</v>
      </c>
      <c r="J751">
        <v>756</v>
      </c>
      <c r="K751">
        <v>758</v>
      </c>
      <c r="L751">
        <v>2</v>
      </c>
      <c r="M751" t="s">
        <v>5059</v>
      </c>
      <c r="N751" t="s">
        <v>4085</v>
      </c>
      <c r="O751" t="s">
        <v>4083</v>
      </c>
      <c r="P751" t="s">
        <v>9503</v>
      </c>
      <c r="Q751" t="s">
        <v>9504</v>
      </c>
    </row>
    <row r="752" spans="1:17" x14ac:dyDescent="0.25">
      <c r="A752" t="s">
        <v>5059</v>
      </c>
      <c r="B752" t="s">
        <v>5059</v>
      </c>
      <c r="C752" t="s">
        <v>5059</v>
      </c>
      <c r="D752" t="s">
        <v>4691</v>
      </c>
      <c r="E752">
        <v>2003</v>
      </c>
      <c r="F752" t="s">
        <v>9505</v>
      </c>
      <c r="G752" t="s">
        <v>5059</v>
      </c>
      <c r="H752" t="s">
        <v>5059</v>
      </c>
      <c r="I752" t="s">
        <v>5059</v>
      </c>
      <c r="M752" t="s">
        <v>5059</v>
      </c>
      <c r="N752" t="s">
        <v>4693</v>
      </c>
      <c r="O752" t="s">
        <v>9506</v>
      </c>
      <c r="P752" t="s">
        <v>5059</v>
      </c>
      <c r="Q752" t="s">
        <v>9507</v>
      </c>
    </row>
    <row r="753" spans="1:17" x14ac:dyDescent="0.25">
      <c r="A753" t="s">
        <v>9508</v>
      </c>
      <c r="B753" t="s">
        <v>9509</v>
      </c>
      <c r="C753" t="s">
        <v>9510</v>
      </c>
      <c r="D753" t="s">
        <v>4702</v>
      </c>
      <c r="E753">
        <v>2015</v>
      </c>
      <c r="F753" t="s">
        <v>9511</v>
      </c>
      <c r="G753" t="s">
        <v>5059</v>
      </c>
      <c r="H753" t="s">
        <v>5059</v>
      </c>
      <c r="I753" t="s">
        <v>5059</v>
      </c>
      <c r="J753">
        <v>62</v>
      </c>
      <c r="K753">
        <v>70</v>
      </c>
      <c r="L753">
        <v>8</v>
      </c>
      <c r="M753" t="s">
        <v>5059</v>
      </c>
      <c r="N753" t="s">
        <v>4705</v>
      </c>
      <c r="O753" t="s">
        <v>4703</v>
      </c>
      <c r="P753" t="s">
        <v>5059</v>
      </c>
      <c r="Q753" t="s">
        <v>9512</v>
      </c>
    </row>
    <row r="754" spans="1:17" x14ac:dyDescent="0.25">
      <c r="A754" t="s">
        <v>9513</v>
      </c>
      <c r="B754" t="s">
        <v>9514</v>
      </c>
      <c r="C754" t="s">
        <v>9515</v>
      </c>
      <c r="D754" t="s">
        <v>4480</v>
      </c>
      <c r="E754">
        <v>2016</v>
      </c>
      <c r="F754" t="s">
        <v>9516</v>
      </c>
      <c r="G754" t="s">
        <v>5291</v>
      </c>
      <c r="H754" t="s">
        <v>5051</v>
      </c>
      <c r="I754" t="s">
        <v>5059</v>
      </c>
      <c r="J754">
        <v>331</v>
      </c>
      <c r="K754">
        <v>342</v>
      </c>
      <c r="L754">
        <v>11</v>
      </c>
      <c r="M754" t="s">
        <v>4483</v>
      </c>
      <c r="N754" t="s">
        <v>4484</v>
      </c>
      <c r="O754" t="s">
        <v>4481</v>
      </c>
      <c r="P754" t="s">
        <v>9517</v>
      </c>
      <c r="Q754" t="s">
        <v>9518</v>
      </c>
    </row>
    <row r="755" spans="1:17" x14ac:dyDescent="0.25">
      <c r="A755" t="s">
        <v>9519</v>
      </c>
      <c r="B755" t="s">
        <v>9520</v>
      </c>
      <c r="C755" t="s">
        <v>9521</v>
      </c>
      <c r="D755" t="s">
        <v>4487</v>
      </c>
      <c r="E755">
        <v>2016</v>
      </c>
      <c r="F755" t="s">
        <v>9522</v>
      </c>
      <c r="G755" t="s">
        <v>5059</v>
      </c>
      <c r="H755" t="s">
        <v>5059</v>
      </c>
      <c r="I755" t="s">
        <v>9523</v>
      </c>
      <c r="J755">
        <v>993</v>
      </c>
      <c r="K755">
        <v>994</v>
      </c>
      <c r="L755">
        <v>1</v>
      </c>
      <c r="M755" t="s">
        <v>4490</v>
      </c>
      <c r="N755" t="s">
        <v>4491</v>
      </c>
      <c r="O755" t="s">
        <v>4488</v>
      </c>
      <c r="P755" t="s">
        <v>5059</v>
      </c>
      <c r="Q755" t="s">
        <v>9524</v>
      </c>
    </row>
    <row r="756" spans="1:17" x14ac:dyDescent="0.25">
      <c r="A756" t="s">
        <v>9525</v>
      </c>
      <c r="B756" t="s">
        <v>9526</v>
      </c>
      <c r="C756" t="s">
        <v>9527</v>
      </c>
      <c r="D756" t="s">
        <v>4494</v>
      </c>
      <c r="E756">
        <v>2017</v>
      </c>
      <c r="F756" t="s">
        <v>4157</v>
      </c>
      <c r="G756" t="s">
        <v>9528</v>
      </c>
      <c r="H756" t="s">
        <v>5059</v>
      </c>
      <c r="I756" t="s">
        <v>9529</v>
      </c>
      <c r="M756" t="s">
        <v>4497</v>
      </c>
      <c r="N756" t="s">
        <v>4498</v>
      </c>
      <c r="O756" t="s">
        <v>4495</v>
      </c>
      <c r="P756" t="s">
        <v>9530</v>
      </c>
      <c r="Q756" t="s">
        <v>9531</v>
      </c>
    </row>
    <row r="757" spans="1:17" x14ac:dyDescent="0.25">
      <c r="A757" t="s">
        <v>9532</v>
      </c>
      <c r="B757" t="s">
        <v>9533</v>
      </c>
      <c r="C757" t="s">
        <v>9534</v>
      </c>
      <c r="D757" t="s">
        <v>4130</v>
      </c>
      <c r="E757">
        <v>2017</v>
      </c>
      <c r="F757" t="s">
        <v>9535</v>
      </c>
      <c r="G757" t="s">
        <v>5059</v>
      </c>
      <c r="H757" t="s">
        <v>5059</v>
      </c>
      <c r="I757" t="s">
        <v>5059</v>
      </c>
      <c r="J757">
        <v>25</v>
      </c>
      <c r="K757">
        <v>34</v>
      </c>
      <c r="L757">
        <v>9</v>
      </c>
      <c r="M757" t="s">
        <v>4133</v>
      </c>
      <c r="N757" t="s">
        <v>4134</v>
      </c>
      <c r="O757" t="s">
        <v>4131</v>
      </c>
      <c r="P757" t="s">
        <v>9536</v>
      </c>
      <c r="Q757" t="s">
        <v>9537</v>
      </c>
    </row>
    <row r="758" spans="1:17" x14ac:dyDescent="0.25">
      <c r="A758" t="s">
        <v>9538</v>
      </c>
      <c r="B758" t="s">
        <v>9539</v>
      </c>
      <c r="C758" t="s">
        <v>9540</v>
      </c>
      <c r="D758" t="s">
        <v>4137</v>
      </c>
      <c r="E758">
        <v>2016</v>
      </c>
      <c r="F758" t="s">
        <v>9541</v>
      </c>
      <c r="G758" t="s">
        <v>9542</v>
      </c>
      <c r="H758" t="s">
        <v>5059</v>
      </c>
      <c r="I758" t="s">
        <v>5059</v>
      </c>
      <c r="J758">
        <v>138</v>
      </c>
      <c r="K758">
        <v>143</v>
      </c>
      <c r="L758">
        <v>5</v>
      </c>
      <c r="M758" t="s">
        <v>4140</v>
      </c>
      <c r="N758" t="s">
        <v>4141</v>
      </c>
      <c r="O758" t="s">
        <v>4138</v>
      </c>
      <c r="P758" t="s">
        <v>9543</v>
      </c>
      <c r="Q758" t="s">
        <v>9544</v>
      </c>
    </row>
    <row r="759" spans="1:17" x14ac:dyDescent="0.25">
      <c r="A759" t="s">
        <v>9545</v>
      </c>
      <c r="B759" t="s">
        <v>9546</v>
      </c>
      <c r="C759" t="s">
        <v>9547</v>
      </c>
      <c r="D759" t="s">
        <v>4515</v>
      </c>
      <c r="E759">
        <v>2016</v>
      </c>
      <c r="F759" t="s">
        <v>9548</v>
      </c>
      <c r="G759" t="s">
        <v>5059</v>
      </c>
      <c r="H759" t="s">
        <v>5059</v>
      </c>
      <c r="I759" t="s">
        <v>9549</v>
      </c>
      <c r="J759">
        <v>216</v>
      </c>
      <c r="K759">
        <v>221</v>
      </c>
      <c r="L759">
        <v>5</v>
      </c>
      <c r="M759" t="s">
        <v>4518</v>
      </c>
      <c r="N759" t="s">
        <v>4519</v>
      </c>
      <c r="O759" t="s">
        <v>4516</v>
      </c>
      <c r="P759" t="s">
        <v>9550</v>
      </c>
      <c r="Q759" t="s">
        <v>9551</v>
      </c>
    </row>
    <row r="760" spans="1:17" x14ac:dyDescent="0.25">
      <c r="A760" t="s">
        <v>9552</v>
      </c>
      <c r="B760" t="s">
        <v>9553</v>
      </c>
      <c r="C760" t="s">
        <v>9554</v>
      </c>
      <c r="D760" t="s">
        <v>4752</v>
      </c>
      <c r="E760">
        <v>2011</v>
      </c>
      <c r="F760" t="s">
        <v>9555</v>
      </c>
      <c r="G760" t="s">
        <v>5059</v>
      </c>
      <c r="H760" t="s">
        <v>5059</v>
      </c>
      <c r="I760" t="s">
        <v>5059</v>
      </c>
      <c r="J760">
        <v>24</v>
      </c>
      <c r="K760">
        <v>30</v>
      </c>
      <c r="L760">
        <v>6</v>
      </c>
      <c r="M760" t="s">
        <v>5059</v>
      </c>
      <c r="N760" t="s">
        <v>4755</v>
      </c>
      <c r="O760" t="s">
        <v>4753</v>
      </c>
      <c r="P760" t="s">
        <v>9556</v>
      </c>
      <c r="Q760" t="s">
        <v>9557</v>
      </c>
    </row>
    <row r="761" spans="1:17" x14ac:dyDescent="0.25">
      <c r="A761" t="s">
        <v>9558</v>
      </c>
      <c r="B761" t="s">
        <v>9559</v>
      </c>
      <c r="C761" t="s">
        <v>9560</v>
      </c>
      <c r="D761" t="s">
        <v>4144</v>
      </c>
      <c r="E761">
        <v>2017</v>
      </c>
      <c r="F761" t="s">
        <v>9561</v>
      </c>
      <c r="G761" t="s">
        <v>9562</v>
      </c>
      <c r="H761" t="s">
        <v>5059</v>
      </c>
      <c r="I761" t="s">
        <v>5059</v>
      </c>
      <c r="J761">
        <v>93</v>
      </c>
      <c r="K761">
        <v>98</v>
      </c>
      <c r="L761">
        <v>5</v>
      </c>
      <c r="M761" t="s">
        <v>4147</v>
      </c>
      <c r="N761" t="s">
        <v>4148</v>
      </c>
      <c r="O761" t="s">
        <v>4145</v>
      </c>
      <c r="P761" t="s">
        <v>9563</v>
      </c>
      <c r="Q761" t="s">
        <v>9564</v>
      </c>
    </row>
    <row r="762" spans="1:17" x14ac:dyDescent="0.25">
      <c r="A762" t="s">
        <v>9565</v>
      </c>
      <c r="B762" t="s">
        <v>9566</v>
      </c>
      <c r="C762" t="s">
        <v>9567</v>
      </c>
      <c r="D762" t="s">
        <v>4522</v>
      </c>
      <c r="E762">
        <v>2016</v>
      </c>
      <c r="F762" t="s">
        <v>9568</v>
      </c>
      <c r="G762" t="s">
        <v>5059</v>
      </c>
      <c r="H762" t="s">
        <v>5059</v>
      </c>
      <c r="I762" t="s">
        <v>5059</v>
      </c>
      <c r="J762">
        <v>29</v>
      </c>
      <c r="K762">
        <v>34</v>
      </c>
      <c r="L762">
        <v>5</v>
      </c>
      <c r="M762" t="s">
        <v>4525</v>
      </c>
      <c r="N762" t="s">
        <v>4526</v>
      </c>
      <c r="O762" t="s">
        <v>4523</v>
      </c>
      <c r="P762" t="s">
        <v>9569</v>
      </c>
      <c r="Q762" t="s">
        <v>9570</v>
      </c>
    </row>
    <row r="763" spans="1:17" x14ac:dyDescent="0.25">
      <c r="A763" t="s">
        <v>9571</v>
      </c>
      <c r="B763" t="s">
        <v>9572</v>
      </c>
      <c r="C763" t="s">
        <v>9573</v>
      </c>
      <c r="D763" t="s">
        <v>4758</v>
      </c>
      <c r="E763">
        <v>2013</v>
      </c>
      <c r="F763" t="s">
        <v>9574</v>
      </c>
      <c r="G763" t="s">
        <v>5059</v>
      </c>
      <c r="H763" t="s">
        <v>5059</v>
      </c>
      <c r="I763" t="s">
        <v>9575</v>
      </c>
      <c r="J763">
        <v>145</v>
      </c>
      <c r="K763">
        <v>150</v>
      </c>
      <c r="L763">
        <v>5</v>
      </c>
      <c r="M763" t="s">
        <v>4761</v>
      </c>
      <c r="N763" t="s">
        <v>4762</v>
      </c>
      <c r="O763" t="s">
        <v>4759</v>
      </c>
      <c r="P763" t="s">
        <v>5059</v>
      </c>
      <c r="Q763" t="s">
        <v>9576</v>
      </c>
    </row>
    <row r="764" spans="1:17" x14ac:dyDescent="0.25">
      <c r="A764" t="s">
        <v>9577</v>
      </c>
      <c r="B764" t="s">
        <v>9578</v>
      </c>
      <c r="C764" t="s">
        <v>9579</v>
      </c>
      <c r="D764" t="s">
        <v>4549</v>
      </c>
      <c r="E764">
        <v>2017</v>
      </c>
      <c r="F764" t="s">
        <v>6258</v>
      </c>
      <c r="G764" t="s">
        <v>9580</v>
      </c>
      <c r="H764" t="s">
        <v>5059</v>
      </c>
      <c r="I764" t="s">
        <v>5059</v>
      </c>
      <c r="J764">
        <v>601</v>
      </c>
      <c r="K764">
        <v>620</v>
      </c>
      <c r="L764">
        <v>19</v>
      </c>
      <c r="M764" t="s">
        <v>4552</v>
      </c>
      <c r="N764" t="s">
        <v>4553</v>
      </c>
      <c r="O764" t="s">
        <v>4550</v>
      </c>
      <c r="P764" t="s">
        <v>9581</v>
      </c>
      <c r="Q764" t="s">
        <v>9582</v>
      </c>
    </row>
  </sheetData>
  <pageMargins left="0.7" right="0.7" top="0.75" bottom="0.75" header="0.3" footer="0.3"/>
  <pageSetup paperSize="9" orientation="portrait" horizontalDpi="1200" verticalDpi="1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37"/>
  <sheetViews>
    <sheetView zoomScale="77" zoomScaleNormal="77" workbookViewId="0">
      <pane ySplit="1" topLeftCell="A2" activePane="bottomLeft" state="frozen"/>
      <selection pane="bottomLeft" activeCell="C1" sqref="C1"/>
    </sheetView>
  </sheetViews>
  <sheetFormatPr defaultColWidth="9.140625" defaultRowHeight="15" x14ac:dyDescent="0.25"/>
  <cols>
    <col min="1" max="1" width="31.5703125" style="8" customWidth="1"/>
    <col min="2" max="2" width="15.28515625" style="8" customWidth="1"/>
    <col min="3" max="3" width="9.140625" style="8"/>
    <col min="4" max="4" width="9.140625" style="2"/>
    <col min="5" max="5" width="52.140625" style="2" customWidth="1"/>
    <col min="6" max="6" width="89.85546875" style="4" customWidth="1"/>
    <col min="7" max="7" width="108.5703125" style="4" customWidth="1"/>
    <col min="8" max="8" width="50.28515625" style="4" customWidth="1"/>
    <col min="9" max="9" width="29.7109375" style="4" customWidth="1"/>
    <col min="10" max="10" width="45.85546875" style="2" customWidth="1"/>
    <col min="11" max="11" width="56.140625" style="4" customWidth="1"/>
    <col min="12" max="12" width="9.140625" style="2" customWidth="1"/>
    <col min="13" max="16384" width="9.140625" style="2"/>
  </cols>
  <sheetData>
    <row r="1" spans="1:11" x14ac:dyDescent="0.25">
      <c r="A1" s="1" t="s">
        <v>0</v>
      </c>
      <c r="B1" s="1" t="s">
        <v>1</v>
      </c>
      <c r="C1" s="1" t="s">
        <v>2</v>
      </c>
      <c r="D1" s="1" t="s">
        <v>3</v>
      </c>
      <c r="E1" s="1" t="s">
        <v>4</v>
      </c>
      <c r="F1" s="3" t="s">
        <v>5</v>
      </c>
      <c r="G1" s="3" t="s">
        <v>6</v>
      </c>
      <c r="H1" s="3" t="s">
        <v>7</v>
      </c>
      <c r="I1" s="3" t="s">
        <v>8</v>
      </c>
      <c r="J1" s="1" t="s">
        <v>9</v>
      </c>
      <c r="K1" s="3" t="s">
        <v>10</v>
      </c>
    </row>
    <row r="2" spans="1:11" ht="57.75" customHeight="1" x14ac:dyDescent="0.25">
      <c r="A2" s="8" t="s">
        <v>11</v>
      </c>
      <c r="B2" s="8">
        <v>1</v>
      </c>
      <c r="C2" s="2" t="s">
        <v>11</v>
      </c>
      <c r="D2" s="2" t="s">
        <v>12</v>
      </c>
      <c r="E2" s="2" t="s">
        <v>13</v>
      </c>
      <c r="F2" s="4" t="s">
        <v>14</v>
      </c>
      <c r="G2" s="4" t="s">
        <v>15</v>
      </c>
      <c r="H2" s="4" t="s">
        <v>16</v>
      </c>
      <c r="J2" s="2" t="s">
        <v>17</v>
      </c>
      <c r="K2" s="5" t="s">
        <v>18</v>
      </c>
    </row>
    <row r="3" spans="1:11" ht="195" x14ac:dyDescent="0.25">
      <c r="A3" s="2"/>
      <c r="B3" s="8" t="s">
        <v>19</v>
      </c>
      <c r="C3" s="2" t="s">
        <v>20</v>
      </c>
      <c r="D3" s="2" t="s">
        <v>21</v>
      </c>
      <c r="E3" s="2" t="s">
        <v>22</v>
      </c>
      <c r="F3" s="4" t="s">
        <v>23</v>
      </c>
      <c r="G3" s="4" t="s">
        <v>24</v>
      </c>
      <c r="H3" s="4" t="s">
        <v>25</v>
      </c>
      <c r="I3" s="4" t="s">
        <v>26</v>
      </c>
      <c r="J3" s="2" t="s">
        <v>27</v>
      </c>
      <c r="K3" s="5" t="s">
        <v>28</v>
      </c>
    </row>
    <row r="4" spans="1:11" ht="360" x14ac:dyDescent="0.25">
      <c r="A4" s="2"/>
      <c r="B4" s="8" t="s">
        <v>29</v>
      </c>
      <c r="C4" s="2" t="s">
        <v>20</v>
      </c>
      <c r="D4" s="2" t="s">
        <v>30</v>
      </c>
      <c r="E4" s="2" t="s">
        <v>31</v>
      </c>
      <c r="F4" s="4" t="s">
        <v>32</v>
      </c>
      <c r="G4" s="4" t="s">
        <v>33</v>
      </c>
      <c r="I4" s="4" t="s">
        <v>34</v>
      </c>
      <c r="J4" s="2" t="s">
        <v>35</v>
      </c>
      <c r="K4" s="5" t="s">
        <v>36</v>
      </c>
    </row>
    <row r="5" spans="1:11" ht="195" x14ac:dyDescent="0.25">
      <c r="A5" s="8" t="s">
        <v>11</v>
      </c>
      <c r="B5" s="8">
        <v>1</v>
      </c>
      <c r="C5" s="2" t="s">
        <v>11</v>
      </c>
      <c r="D5" s="2" t="s">
        <v>37</v>
      </c>
      <c r="E5" s="2" t="s">
        <v>38</v>
      </c>
      <c r="F5" s="4" t="s">
        <v>39</v>
      </c>
      <c r="G5" s="4" t="s">
        <v>40</v>
      </c>
      <c r="H5" s="4" t="s">
        <v>41</v>
      </c>
      <c r="I5" s="4" t="s">
        <v>42</v>
      </c>
      <c r="J5" s="2" t="s">
        <v>43</v>
      </c>
      <c r="K5" s="5" t="s">
        <v>44</v>
      </c>
    </row>
    <row r="6" spans="1:11" ht="165" x14ac:dyDescent="0.25">
      <c r="A6" s="8" t="s">
        <v>11</v>
      </c>
      <c r="B6" s="8">
        <v>3</v>
      </c>
      <c r="C6" s="2" t="s">
        <v>11</v>
      </c>
      <c r="D6" s="2" t="s">
        <v>45</v>
      </c>
      <c r="E6" s="2" t="s">
        <v>46</v>
      </c>
      <c r="F6" s="4" t="s">
        <v>47</v>
      </c>
      <c r="G6" s="4" t="s">
        <v>48</v>
      </c>
      <c r="H6" s="4" t="s">
        <v>49</v>
      </c>
      <c r="I6" s="4" t="s">
        <v>26</v>
      </c>
      <c r="J6" s="2" t="s">
        <v>50</v>
      </c>
      <c r="K6" s="13" t="s">
        <v>51</v>
      </c>
    </row>
    <row r="7" spans="1:11" ht="300" x14ac:dyDescent="0.25">
      <c r="A7" s="2"/>
      <c r="B7" s="8" t="s">
        <v>52</v>
      </c>
      <c r="C7" s="2" t="s">
        <v>20</v>
      </c>
      <c r="D7" s="2" t="s">
        <v>53</v>
      </c>
      <c r="E7" s="2" t="s">
        <v>54</v>
      </c>
      <c r="F7" s="4" t="s">
        <v>55</v>
      </c>
      <c r="G7" s="4" t="s">
        <v>56</v>
      </c>
      <c r="H7" s="4" t="s">
        <v>57</v>
      </c>
      <c r="I7" s="4" t="s">
        <v>26</v>
      </c>
      <c r="J7" s="2" t="s">
        <v>58</v>
      </c>
      <c r="K7" s="5" t="s">
        <v>59</v>
      </c>
    </row>
    <row r="8" spans="1:11" ht="195" x14ac:dyDescent="0.25">
      <c r="A8" s="8" t="s">
        <v>11</v>
      </c>
      <c r="B8" s="8">
        <v>1</v>
      </c>
      <c r="C8" s="2" t="s">
        <v>11</v>
      </c>
      <c r="D8" s="2" t="s">
        <v>60</v>
      </c>
      <c r="E8" s="2" t="s">
        <v>61</v>
      </c>
      <c r="F8" s="4" t="s">
        <v>62</v>
      </c>
      <c r="G8" s="4" t="s">
        <v>63</v>
      </c>
      <c r="H8" s="4" t="s">
        <v>64</v>
      </c>
      <c r="I8" s="4" t="s">
        <v>26</v>
      </c>
      <c r="J8" s="2" t="s">
        <v>65</v>
      </c>
      <c r="K8" s="5" t="s">
        <v>66</v>
      </c>
    </row>
    <row r="9" spans="1:11" ht="165" x14ac:dyDescent="0.25">
      <c r="A9" s="2"/>
      <c r="B9" s="8" t="s">
        <v>19</v>
      </c>
      <c r="C9" s="2" t="s">
        <v>20</v>
      </c>
      <c r="D9" s="2" t="s">
        <v>67</v>
      </c>
      <c r="E9" s="2" t="s">
        <v>68</v>
      </c>
      <c r="F9" s="4" t="s">
        <v>69</v>
      </c>
      <c r="G9" s="4" t="s">
        <v>70</v>
      </c>
      <c r="H9" s="4" t="s">
        <v>71</v>
      </c>
      <c r="I9" s="4" t="s">
        <v>26</v>
      </c>
      <c r="J9" s="2" t="s">
        <v>72</v>
      </c>
      <c r="K9" s="5" t="s">
        <v>73</v>
      </c>
    </row>
    <row r="10" spans="1:11" ht="270" x14ac:dyDescent="0.25">
      <c r="A10" s="2"/>
      <c r="B10" s="8" t="s">
        <v>74</v>
      </c>
      <c r="C10" s="2" t="s">
        <v>20</v>
      </c>
      <c r="D10" s="2" t="s">
        <v>75</v>
      </c>
      <c r="F10" s="4" t="s">
        <v>76</v>
      </c>
      <c r="G10" s="4" t="s">
        <v>77</v>
      </c>
      <c r="I10" s="4" t="s">
        <v>26</v>
      </c>
      <c r="K10" s="5" t="s">
        <v>78</v>
      </c>
    </row>
    <row r="11" spans="1:11" ht="150" x14ac:dyDescent="0.25">
      <c r="A11" s="2"/>
      <c r="B11" s="8" t="s">
        <v>19</v>
      </c>
      <c r="C11" s="2" t="s">
        <v>20</v>
      </c>
      <c r="D11" s="2" t="s">
        <v>79</v>
      </c>
      <c r="E11" s="2" t="s">
        <v>80</v>
      </c>
      <c r="F11" s="4" t="s">
        <v>81</v>
      </c>
      <c r="G11" s="4" t="s">
        <v>82</v>
      </c>
      <c r="H11" s="4" t="s">
        <v>83</v>
      </c>
      <c r="I11" s="4" t="s">
        <v>26</v>
      </c>
      <c r="J11" s="2" t="s">
        <v>84</v>
      </c>
      <c r="K11" s="5" t="s">
        <v>85</v>
      </c>
    </row>
    <row r="12" spans="1:11" ht="180" x14ac:dyDescent="0.25">
      <c r="A12" s="8" t="s">
        <v>11</v>
      </c>
      <c r="B12" s="8">
        <v>1</v>
      </c>
      <c r="C12" s="2" t="s">
        <v>11</v>
      </c>
      <c r="D12" s="2" t="s">
        <v>86</v>
      </c>
      <c r="E12" s="2" t="s">
        <v>87</v>
      </c>
      <c r="F12" s="4" t="s">
        <v>88</v>
      </c>
      <c r="G12" s="4" t="s">
        <v>89</v>
      </c>
      <c r="H12" s="4" t="s">
        <v>90</v>
      </c>
      <c r="I12" s="4" t="s">
        <v>26</v>
      </c>
      <c r="J12" s="2" t="s">
        <v>91</v>
      </c>
      <c r="K12" s="5" t="s">
        <v>92</v>
      </c>
    </row>
    <row r="13" spans="1:11" ht="120" x14ac:dyDescent="0.25">
      <c r="A13" s="8" t="s">
        <v>11</v>
      </c>
      <c r="B13" s="8">
        <v>1</v>
      </c>
      <c r="C13" s="2" t="s">
        <v>11</v>
      </c>
      <c r="D13" s="2" t="s">
        <v>93</v>
      </c>
      <c r="E13" s="2" t="s">
        <v>94</v>
      </c>
      <c r="F13" s="4" t="s">
        <v>95</v>
      </c>
      <c r="G13" s="4" t="s">
        <v>96</v>
      </c>
      <c r="H13" s="4" t="s">
        <v>97</v>
      </c>
      <c r="I13" s="4" t="s">
        <v>42</v>
      </c>
      <c r="J13" s="2" t="s">
        <v>98</v>
      </c>
      <c r="K13" s="5" t="s">
        <v>99</v>
      </c>
    </row>
    <row r="14" spans="1:11" ht="135" x14ac:dyDescent="0.25">
      <c r="A14" s="2"/>
      <c r="B14" s="8" t="s">
        <v>100</v>
      </c>
      <c r="C14" s="2" t="s">
        <v>20</v>
      </c>
      <c r="D14" s="2" t="s">
        <v>101</v>
      </c>
      <c r="E14" s="2" t="s">
        <v>102</v>
      </c>
      <c r="F14" s="4" t="s">
        <v>103</v>
      </c>
      <c r="G14" s="4" t="s">
        <v>104</v>
      </c>
      <c r="H14" s="4" t="s">
        <v>105</v>
      </c>
      <c r="I14" s="4" t="s">
        <v>42</v>
      </c>
      <c r="J14" s="2" t="s">
        <v>106</v>
      </c>
      <c r="K14" s="5" t="s">
        <v>107</v>
      </c>
    </row>
    <row r="15" spans="1:11" ht="210" x14ac:dyDescent="0.25">
      <c r="A15" s="2"/>
      <c r="B15" s="8" t="s">
        <v>19</v>
      </c>
      <c r="C15" s="2" t="s">
        <v>20</v>
      </c>
      <c r="D15" s="2" t="s">
        <v>108</v>
      </c>
      <c r="E15" s="2" t="s">
        <v>109</v>
      </c>
      <c r="F15" s="4" t="s">
        <v>110</v>
      </c>
      <c r="G15" s="4" t="s">
        <v>111</v>
      </c>
      <c r="H15" s="4" t="s">
        <v>112</v>
      </c>
      <c r="I15" s="4" t="s">
        <v>26</v>
      </c>
      <c r="J15" s="2" t="s">
        <v>113</v>
      </c>
      <c r="K15" s="5" t="s">
        <v>114</v>
      </c>
    </row>
    <row r="16" spans="1:11" ht="120" x14ac:dyDescent="0.25">
      <c r="A16" s="8" t="s">
        <v>11</v>
      </c>
      <c r="B16" s="8">
        <v>1</v>
      </c>
      <c r="C16" s="2" t="s">
        <v>11</v>
      </c>
      <c r="D16" s="2" t="s">
        <v>115</v>
      </c>
      <c r="E16" s="2" t="s">
        <v>116</v>
      </c>
      <c r="F16" s="4" t="s">
        <v>117</v>
      </c>
      <c r="G16" s="4" t="s">
        <v>118</v>
      </c>
      <c r="H16" s="4" t="s">
        <v>119</v>
      </c>
      <c r="I16" s="4" t="s">
        <v>42</v>
      </c>
      <c r="J16" s="2" t="s">
        <v>120</v>
      </c>
      <c r="K16" s="5" t="s">
        <v>121</v>
      </c>
    </row>
    <row r="17" spans="1:11" ht="195" x14ac:dyDescent="0.25">
      <c r="A17" s="8" t="s">
        <v>20</v>
      </c>
      <c r="B17" s="8">
        <v>1</v>
      </c>
      <c r="C17" s="2" t="s">
        <v>11</v>
      </c>
      <c r="D17" s="2" t="s">
        <v>122</v>
      </c>
      <c r="E17" s="2" t="s">
        <v>123</v>
      </c>
      <c r="F17" s="4" t="s">
        <v>124</v>
      </c>
      <c r="G17" s="4" t="s">
        <v>125</v>
      </c>
      <c r="H17" s="4" t="s">
        <v>126</v>
      </c>
      <c r="I17" s="4" t="s">
        <v>42</v>
      </c>
      <c r="J17" s="2" t="s">
        <v>127</v>
      </c>
      <c r="K17" s="5" t="s">
        <v>128</v>
      </c>
    </row>
    <row r="18" spans="1:11" ht="150" x14ac:dyDescent="0.25">
      <c r="A18" s="2"/>
      <c r="B18" s="8" t="s">
        <v>19</v>
      </c>
      <c r="C18" s="2" t="s">
        <v>20</v>
      </c>
      <c r="D18" s="2" t="s">
        <v>129</v>
      </c>
      <c r="E18" s="2" t="s">
        <v>130</v>
      </c>
      <c r="F18" s="4" t="s">
        <v>131</v>
      </c>
      <c r="G18" s="4" t="s">
        <v>132</v>
      </c>
      <c r="H18" s="4" t="s">
        <v>133</v>
      </c>
      <c r="I18" s="4" t="s">
        <v>26</v>
      </c>
      <c r="J18" s="2" t="s">
        <v>134</v>
      </c>
      <c r="K18" s="5" t="s">
        <v>135</v>
      </c>
    </row>
    <row r="19" spans="1:11" ht="255" x14ac:dyDescent="0.25">
      <c r="A19" s="8" t="s">
        <v>11</v>
      </c>
      <c r="B19" s="8">
        <v>2</v>
      </c>
      <c r="C19" s="8" t="s">
        <v>11</v>
      </c>
      <c r="D19" s="2" t="s">
        <v>136</v>
      </c>
      <c r="E19" s="2" t="s">
        <v>137</v>
      </c>
      <c r="F19" s="4" t="s">
        <v>138</v>
      </c>
      <c r="G19" s="4" t="s">
        <v>139</v>
      </c>
      <c r="H19" s="4" t="s">
        <v>140</v>
      </c>
      <c r="I19" s="4" t="s">
        <v>26</v>
      </c>
      <c r="J19" s="2" t="s">
        <v>141</v>
      </c>
      <c r="K19" s="13" t="s">
        <v>142</v>
      </c>
    </row>
    <row r="20" spans="1:11" ht="150" x14ac:dyDescent="0.25">
      <c r="A20" s="8" t="s">
        <v>11</v>
      </c>
      <c r="B20" s="8">
        <v>1</v>
      </c>
      <c r="C20" s="2" t="s">
        <v>11</v>
      </c>
      <c r="D20" s="2" t="s">
        <v>143</v>
      </c>
      <c r="E20" s="2" t="s">
        <v>144</v>
      </c>
      <c r="F20" s="4" t="s">
        <v>145</v>
      </c>
      <c r="G20" s="4" t="s">
        <v>146</v>
      </c>
      <c r="H20" s="4" t="s">
        <v>147</v>
      </c>
      <c r="I20" s="4" t="s">
        <v>26</v>
      </c>
      <c r="J20" s="2" t="s">
        <v>148</v>
      </c>
      <c r="K20" s="5" t="s">
        <v>149</v>
      </c>
    </row>
    <row r="21" spans="1:11" ht="240" x14ac:dyDescent="0.25">
      <c r="A21" s="2"/>
      <c r="B21" s="8" t="s">
        <v>19</v>
      </c>
      <c r="C21" s="2" t="s">
        <v>20</v>
      </c>
      <c r="D21" s="2" t="s">
        <v>150</v>
      </c>
      <c r="E21" s="2" t="s">
        <v>151</v>
      </c>
      <c r="F21" s="4" t="s">
        <v>152</v>
      </c>
      <c r="G21" s="4" t="s">
        <v>153</v>
      </c>
      <c r="H21" s="4" t="s">
        <v>154</v>
      </c>
      <c r="I21" s="4" t="s">
        <v>42</v>
      </c>
      <c r="J21" s="2" t="s">
        <v>155</v>
      </c>
      <c r="K21" s="5" t="s">
        <v>156</v>
      </c>
    </row>
    <row r="22" spans="1:11" ht="240" x14ac:dyDescent="0.25">
      <c r="A22" s="8" t="s">
        <v>11</v>
      </c>
      <c r="B22" s="8">
        <v>2</v>
      </c>
      <c r="C22" s="8" t="s">
        <v>11</v>
      </c>
      <c r="D22" s="2" t="s">
        <v>157</v>
      </c>
      <c r="E22" s="2" t="s">
        <v>158</v>
      </c>
      <c r="F22" s="4" t="s">
        <v>159</v>
      </c>
      <c r="G22" s="4" t="s">
        <v>160</v>
      </c>
      <c r="H22" s="4" t="s">
        <v>161</v>
      </c>
      <c r="I22" s="4" t="s">
        <v>42</v>
      </c>
      <c r="J22" s="2" t="s">
        <v>162</v>
      </c>
      <c r="K22" s="13" t="s">
        <v>163</v>
      </c>
    </row>
    <row r="23" spans="1:11" ht="225" x14ac:dyDescent="0.25">
      <c r="A23" s="2"/>
      <c r="B23" s="8" t="s">
        <v>19</v>
      </c>
      <c r="C23" s="2" t="s">
        <v>20</v>
      </c>
      <c r="D23" s="2" t="s">
        <v>164</v>
      </c>
      <c r="E23" s="2" t="s">
        <v>165</v>
      </c>
      <c r="F23" s="4" t="s">
        <v>166</v>
      </c>
      <c r="G23" s="4" t="s">
        <v>167</v>
      </c>
      <c r="H23" s="4" t="s">
        <v>168</v>
      </c>
      <c r="I23" s="4" t="s">
        <v>26</v>
      </c>
      <c r="J23" s="2" t="s">
        <v>169</v>
      </c>
      <c r="K23" s="5" t="s">
        <v>170</v>
      </c>
    </row>
    <row r="24" spans="1:11" ht="195" x14ac:dyDescent="0.25">
      <c r="A24" s="2"/>
      <c r="B24" s="8" t="s">
        <v>19</v>
      </c>
      <c r="C24" s="2" t="s">
        <v>20</v>
      </c>
      <c r="D24" s="2" t="s">
        <v>171</v>
      </c>
      <c r="E24" s="2" t="s">
        <v>172</v>
      </c>
      <c r="F24" s="4" t="s">
        <v>173</v>
      </c>
      <c r="G24" s="4" t="s">
        <v>174</v>
      </c>
      <c r="H24" s="4" t="s">
        <v>175</v>
      </c>
      <c r="I24" s="4" t="s">
        <v>26</v>
      </c>
      <c r="J24" s="2" t="s">
        <v>176</v>
      </c>
      <c r="K24" s="5" t="s">
        <v>177</v>
      </c>
    </row>
    <row r="25" spans="1:11" ht="240" x14ac:dyDescent="0.25">
      <c r="A25" s="2"/>
      <c r="B25" s="8" t="s">
        <v>19</v>
      </c>
      <c r="C25" s="2" t="s">
        <v>20</v>
      </c>
      <c r="D25" s="2" t="s">
        <v>178</v>
      </c>
      <c r="E25" s="2" t="s">
        <v>179</v>
      </c>
      <c r="F25" s="4" t="s">
        <v>180</v>
      </c>
      <c r="G25" s="4" t="s">
        <v>181</v>
      </c>
      <c r="H25" s="4" t="s">
        <v>182</v>
      </c>
      <c r="I25" s="4" t="s">
        <v>26</v>
      </c>
      <c r="J25" s="2" t="s">
        <v>183</v>
      </c>
      <c r="K25" s="5" t="s">
        <v>184</v>
      </c>
    </row>
    <row r="26" spans="1:11" ht="195" x14ac:dyDescent="0.25">
      <c r="A26" s="8" t="s">
        <v>11</v>
      </c>
      <c r="B26" s="8">
        <v>3</v>
      </c>
      <c r="C26" s="2" t="s">
        <v>11</v>
      </c>
      <c r="D26" s="2" t="s">
        <v>185</v>
      </c>
      <c r="E26" s="2" t="s">
        <v>186</v>
      </c>
      <c r="F26" s="4" t="s">
        <v>187</v>
      </c>
      <c r="G26" s="4" t="s">
        <v>188</v>
      </c>
      <c r="H26" s="4" t="s">
        <v>189</v>
      </c>
      <c r="I26" s="4" t="s">
        <v>26</v>
      </c>
      <c r="J26" s="2" t="s">
        <v>190</v>
      </c>
      <c r="K26" s="13" t="s">
        <v>191</v>
      </c>
    </row>
    <row r="27" spans="1:11" ht="255" x14ac:dyDescent="0.25">
      <c r="A27" s="2"/>
      <c r="B27" s="8" t="s">
        <v>19</v>
      </c>
      <c r="C27" s="2" t="s">
        <v>20</v>
      </c>
      <c r="D27" s="2" t="s">
        <v>192</v>
      </c>
      <c r="E27" s="2" t="s">
        <v>193</v>
      </c>
      <c r="F27" s="4" t="s">
        <v>194</v>
      </c>
      <c r="G27" s="4" t="s">
        <v>195</v>
      </c>
      <c r="H27" s="4" t="s">
        <v>196</v>
      </c>
      <c r="I27" s="4" t="s">
        <v>26</v>
      </c>
      <c r="J27" s="2" t="s">
        <v>197</v>
      </c>
      <c r="K27" s="5" t="s">
        <v>198</v>
      </c>
    </row>
    <row r="28" spans="1:11" ht="165" x14ac:dyDescent="0.25">
      <c r="A28" s="2"/>
      <c r="B28" s="8" t="s">
        <v>19</v>
      </c>
      <c r="C28" s="2" t="s">
        <v>20</v>
      </c>
      <c r="D28" s="2" t="s">
        <v>199</v>
      </c>
      <c r="E28" s="2" t="s">
        <v>200</v>
      </c>
      <c r="F28" s="4" t="s">
        <v>201</v>
      </c>
      <c r="G28" s="4" t="s">
        <v>202</v>
      </c>
      <c r="H28" s="4" t="s">
        <v>203</v>
      </c>
      <c r="I28" s="4" t="s">
        <v>26</v>
      </c>
      <c r="J28" s="2" t="s">
        <v>204</v>
      </c>
      <c r="K28" s="5" t="s">
        <v>205</v>
      </c>
    </row>
    <row r="29" spans="1:11" ht="180" x14ac:dyDescent="0.25">
      <c r="A29" s="8" t="s">
        <v>11</v>
      </c>
      <c r="B29" s="8">
        <v>2</v>
      </c>
      <c r="C29" s="8" t="s">
        <v>11</v>
      </c>
      <c r="D29" s="2" t="s">
        <v>206</v>
      </c>
      <c r="E29" s="2" t="s">
        <v>207</v>
      </c>
      <c r="F29" s="4" t="s">
        <v>208</v>
      </c>
      <c r="G29" s="4" t="s">
        <v>209</v>
      </c>
      <c r="H29" s="4" t="s">
        <v>210</v>
      </c>
      <c r="I29" s="4" t="s">
        <v>42</v>
      </c>
      <c r="J29" s="2" t="s">
        <v>211</v>
      </c>
      <c r="K29" s="13" t="s">
        <v>212</v>
      </c>
    </row>
    <row r="30" spans="1:11" ht="300" x14ac:dyDescent="0.25">
      <c r="A30" s="2"/>
      <c r="B30" s="8" t="s">
        <v>19</v>
      </c>
      <c r="C30" s="2" t="s">
        <v>20</v>
      </c>
      <c r="D30" s="2" t="s">
        <v>213</v>
      </c>
      <c r="E30" s="2" t="s">
        <v>214</v>
      </c>
      <c r="F30" s="4" t="s">
        <v>215</v>
      </c>
      <c r="G30" s="4" t="s">
        <v>216</v>
      </c>
      <c r="H30" s="4" t="s">
        <v>217</v>
      </c>
      <c r="I30" s="4" t="s">
        <v>26</v>
      </c>
      <c r="J30" s="2" t="s">
        <v>218</v>
      </c>
      <c r="K30" s="5" t="s">
        <v>219</v>
      </c>
    </row>
    <row r="31" spans="1:11" ht="270" x14ac:dyDescent="0.25">
      <c r="A31" s="2"/>
      <c r="B31" s="8" t="s">
        <v>19</v>
      </c>
      <c r="C31" s="2" t="s">
        <v>20</v>
      </c>
      <c r="D31" s="2" t="s">
        <v>220</v>
      </c>
      <c r="E31" s="2" t="s">
        <v>221</v>
      </c>
      <c r="F31" s="4" t="s">
        <v>222</v>
      </c>
      <c r="G31" s="4" t="s">
        <v>223</v>
      </c>
      <c r="H31" s="4" t="s">
        <v>224</v>
      </c>
      <c r="I31" s="4" t="s">
        <v>26</v>
      </c>
      <c r="J31" s="2" t="s">
        <v>225</v>
      </c>
      <c r="K31" s="5" t="s">
        <v>226</v>
      </c>
    </row>
    <row r="32" spans="1:11" ht="180" x14ac:dyDescent="0.25">
      <c r="A32" s="2"/>
      <c r="B32" s="8" t="s">
        <v>19</v>
      </c>
      <c r="C32" s="2" t="s">
        <v>20</v>
      </c>
      <c r="D32" s="2" t="s">
        <v>227</v>
      </c>
      <c r="E32" s="2" t="s">
        <v>228</v>
      </c>
      <c r="F32" s="4" t="s">
        <v>229</v>
      </c>
      <c r="G32" s="4" t="s">
        <v>230</v>
      </c>
      <c r="H32" s="4" t="s">
        <v>231</v>
      </c>
      <c r="I32" s="4" t="s">
        <v>26</v>
      </c>
      <c r="J32" s="2" t="s">
        <v>232</v>
      </c>
      <c r="K32" s="5" t="s">
        <v>233</v>
      </c>
    </row>
    <row r="33" spans="1:11" ht="120" x14ac:dyDescent="0.25">
      <c r="A33" s="8" t="s">
        <v>11</v>
      </c>
      <c r="B33" s="8">
        <v>3</v>
      </c>
      <c r="C33" s="2" t="s">
        <v>11</v>
      </c>
      <c r="D33" s="2" t="s">
        <v>234</v>
      </c>
      <c r="E33" s="2" t="s">
        <v>235</v>
      </c>
      <c r="F33" s="4" t="s">
        <v>236</v>
      </c>
      <c r="H33" s="4" t="s">
        <v>237</v>
      </c>
      <c r="I33" s="4" t="s">
        <v>26</v>
      </c>
      <c r="J33" s="2" t="s">
        <v>238</v>
      </c>
      <c r="K33" s="13" t="s">
        <v>239</v>
      </c>
    </row>
    <row r="34" spans="1:11" ht="240" x14ac:dyDescent="0.25">
      <c r="A34" s="2"/>
      <c r="B34" s="8" t="s">
        <v>19</v>
      </c>
      <c r="C34" s="2" t="s">
        <v>20</v>
      </c>
      <c r="D34" s="2" t="s">
        <v>240</v>
      </c>
      <c r="E34" s="2" t="s">
        <v>241</v>
      </c>
      <c r="F34" s="4" t="s">
        <v>242</v>
      </c>
      <c r="G34" s="4" t="s">
        <v>243</v>
      </c>
      <c r="H34" s="4" t="s">
        <v>244</v>
      </c>
      <c r="I34" s="4" t="s">
        <v>26</v>
      </c>
      <c r="J34" s="2" t="s">
        <v>245</v>
      </c>
      <c r="K34" s="5" t="s">
        <v>246</v>
      </c>
    </row>
    <row r="35" spans="1:11" ht="180" x14ac:dyDescent="0.25">
      <c r="A35" s="8" t="s">
        <v>11</v>
      </c>
      <c r="B35" s="8">
        <v>1</v>
      </c>
      <c r="C35" s="2" t="s">
        <v>11</v>
      </c>
      <c r="D35" s="2" t="s">
        <v>247</v>
      </c>
      <c r="E35" s="2" t="s">
        <v>248</v>
      </c>
      <c r="F35" s="4" t="s">
        <v>249</v>
      </c>
      <c r="G35" s="4" t="s">
        <v>250</v>
      </c>
      <c r="H35" s="4" t="s">
        <v>251</v>
      </c>
      <c r="I35" s="4" t="s">
        <v>26</v>
      </c>
      <c r="J35" s="2" t="s">
        <v>252</v>
      </c>
      <c r="K35" s="5" t="s">
        <v>253</v>
      </c>
    </row>
    <row r="36" spans="1:11" ht="225" x14ac:dyDescent="0.25">
      <c r="A36" s="8" t="s">
        <v>11</v>
      </c>
      <c r="B36" s="8">
        <v>1</v>
      </c>
      <c r="C36" s="2" t="s">
        <v>11</v>
      </c>
      <c r="D36" s="2" t="s">
        <v>254</v>
      </c>
      <c r="E36" s="2" t="s">
        <v>255</v>
      </c>
      <c r="F36" s="4" t="s">
        <v>256</v>
      </c>
      <c r="G36" s="4" t="s">
        <v>257</v>
      </c>
      <c r="H36" s="4" t="s">
        <v>258</v>
      </c>
      <c r="I36" s="4" t="s">
        <v>26</v>
      </c>
      <c r="J36" s="2" t="s">
        <v>259</v>
      </c>
      <c r="K36" s="5" t="s">
        <v>260</v>
      </c>
    </row>
    <row r="37" spans="1:11" ht="255" x14ac:dyDescent="0.25">
      <c r="A37" s="2"/>
      <c r="B37" s="8" t="s">
        <v>74</v>
      </c>
      <c r="C37" s="2" t="s">
        <v>20</v>
      </c>
      <c r="D37" s="2" t="s">
        <v>261</v>
      </c>
      <c r="F37" s="4" t="s">
        <v>262</v>
      </c>
      <c r="G37" s="4" t="s">
        <v>263</v>
      </c>
      <c r="I37" s="4" t="s">
        <v>26</v>
      </c>
      <c r="K37" s="5" t="s">
        <v>264</v>
      </c>
    </row>
    <row r="38" spans="1:11" ht="240" x14ac:dyDescent="0.25">
      <c r="A38" s="2"/>
      <c r="B38" s="8" t="s">
        <v>19</v>
      </c>
      <c r="C38" s="2" t="s">
        <v>20</v>
      </c>
      <c r="D38" s="2" t="s">
        <v>265</v>
      </c>
      <c r="E38" s="2" t="s">
        <v>266</v>
      </c>
      <c r="F38" s="4" t="s">
        <v>267</v>
      </c>
      <c r="G38" s="4" t="s">
        <v>268</v>
      </c>
      <c r="H38" s="4" t="s">
        <v>269</v>
      </c>
      <c r="I38" s="4" t="s">
        <v>26</v>
      </c>
      <c r="J38" s="2" t="s">
        <v>270</v>
      </c>
      <c r="K38" s="5" t="s">
        <v>271</v>
      </c>
    </row>
    <row r="39" spans="1:11" ht="165" x14ac:dyDescent="0.25">
      <c r="A39" s="8" t="s">
        <v>11</v>
      </c>
      <c r="B39" s="8">
        <v>1</v>
      </c>
      <c r="C39" s="2" t="s">
        <v>11</v>
      </c>
      <c r="D39" s="2" t="s">
        <v>272</v>
      </c>
      <c r="E39" s="2" t="s">
        <v>273</v>
      </c>
      <c r="F39" s="4" t="s">
        <v>274</v>
      </c>
      <c r="G39" s="4" t="s">
        <v>275</v>
      </c>
      <c r="H39" s="4" t="s">
        <v>276</v>
      </c>
      <c r="I39" s="4" t="s">
        <v>26</v>
      </c>
      <c r="J39" s="2" t="s">
        <v>277</v>
      </c>
      <c r="K39" s="5" t="s">
        <v>278</v>
      </c>
    </row>
    <row r="40" spans="1:11" ht="165" x14ac:dyDescent="0.25">
      <c r="A40" s="2"/>
      <c r="B40" s="8" t="s">
        <v>19</v>
      </c>
      <c r="C40" s="2" t="s">
        <v>20</v>
      </c>
      <c r="D40" s="2" t="s">
        <v>279</v>
      </c>
      <c r="E40" s="2" t="s">
        <v>280</v>
      </c>
      <c r="F40" s="4" t="s">
        <v>281</v>
      </c>
      <c r="G40" s="4" t="s">
        <v>282</v>
      </c>
      <c r="H40" s="4" t="s">
        <v>283</v>
      </c>
      <c r="I40" s="4" t="s">
        <v>26</v>
      </c>
      <c r="J40" s="2" t="s">
        <v>284</v>
      </c>
      <c r="K40" s="5" t="s">
        <v>285</v>
      </c>
    </row>
    <row r="41" spans="1:11" ht="240" x14ac:dyDescent="0.25">
      <c r="A41" s="8" t="s">
        <v>11</v>
      </c>
      <c r="B41" s="8">
        <v>1</v>
      </c>
      <c r="C41" s="2" t="s">
        <v>11</v>
      </c>
      <c r="D41" s="2" t="s">
        <v>286</v>
      </c>
      <c r="E41" s="2" t="s">
        <v>287</v>
      </c>
      <c r="F41" s="4" t="s">
        <v>288</v>
      </c>
      <c r="G41" s="4" t="s">
        <v>289</v>
      </c>
      <c r="H41" s="4" t="s">
        <v>290</v>
      </c>
      <c r="I41" s="4" t="s">
        <v>26</v>
      </c>
      <c r="J41" s="2" t="s">
        <v>291</v>
      </c>
      <c r="K41" s="5" t="s">
        <v>292</v>
      </c>
    </row>
    <row r="42" spans="1:11" ht="120" x14ac:dyDescent="0.25">
      <c r="A42" s="8" t="s">
        <v>11</v>
      </c>
      <c r="B42" s="8">
        <v>3</v>
      </c>
      <c r="C42" s="2" t="s">
        <v>11</v>
      </c>
      <c r="D42" s="2" t="s">
        <v>293</v>
      </c>
      <c r="E42" s="2" t="s">
        <v>294</v>
      </c>
      <c r="F42" s="4" t="s">
        <v>295</v>
      </c>
      <c r="G42" s="4" t="s">
        <v>296</v>
      </c>
      <c r="H42" s="4" t="s">
        <v>297</v>
      </c>
      <c r="I42" s="4" t="s">
        <v>42</v>
      </c>
      <c r="J42" s="2" t="s">
        <v>298</v>
      </c>
      <c r="K42" s="13" t="s">
        <v>299</v>
      </c>
    </row>
    <row r="43" spans="1:11" ht="105" x14ac:dyDescent="0.25">
      <c r="A43" s="2"/>
      <c r="B43" s="8" t="s">
        <v>19</v>
      </c>
      <c r="C43" s="2" t="s">
        <v>20</v>
      </c>
      <c r="D43" s="2" t="s">
        <v>300</v>
      </c>
      <c r="E43" s="2" t="s">
        <v>301</v>
      </c>
      <c r="F43" s="4" t="s">
        <v>302</v>
      </c>
      <c r="G43" s="4" t="s">
        <v>303</v>
      </c>
      <c r="H43" s="4" t="s">
        <v>304</v>
      </c>
      <c r="I43" s="4" t="s">
        <v>42</v>
      </c>
      <c r="J43" s="2" t="s">
        <v>305</v>
      </c>
      <c r="K43" s="5" t="s">
        <v>306</v>
      </c>
    </row>
    <row r="44" spans="1:11" ht="135" x14ac:dyDescent="0.25">
      <c r="A44" s="8" t="s">
        <v>11</v>
      </c>
      <c r="B44" s="8">
        <v>1</v>
      </c>
      <c r="C44" s="2" t="s">
        <v>11</v>
      </c>
      <c r="D44" s="2" t="s">
        <v>307</v>
      </c>
      <c r="E44" s="2" t="s">
        <v>308</v>
      </c>
      <c r="F44" s="4" t="s">
        <v>309</v>
      </c>
      <c r="G44" s="4" t="s">
        <v>310</v>
      </c>
      <c r="H44" s="4" t="s">
        <v>311</v>
      </c>
      <c r="I44" s="4" t="s">
        <v>26</v>
      </c>
      <c r="J44" s="2" t="s">
        <v>312</v>
      </c>
      <c r="K44" s="5" t="s">
        <v>313</v>
      </c>
    </row>
    <row r="45" spans="1:11" ht="255" x14ac:dyDescent="0.25">
      <c r="A45" s="2"/>
      <c r="B45" s="8" t="s">
        <v>19</v>
      </c>
      <c r="C45" s="2" t="s">
        <v>20</v>
      </c>
      <c r="D45" s="2" t="s">
        <v>314</v>
      </c>
      <c r="E45" s="2" t="s">
        <v>315</v>
      </c>
      <c r="F45" s="4" t="s">
        <v>316</v>
      </c>
      <c r="G45" s="4" t="s">
        <v>317</v>
      </c>
      <c r="H45" s="4" t="s">
        <v>318</v>
      </c>
      <c r="I45" s="4" t="s">
        <v>26</v>
      </c>
      <c r="J45" s="2" t="s">
        <v>319</v>
      </c>
      <c r="K45" s="5" t="s">
        <v>320</v>
      </c>
    </row>
    <row r="46" spans="1:11" ht="225" x14ac:dyDescent="0.25">
      <c r="A46" s="2"/>
      <c r="B46" s="8" t="s">
        <v>19</v>
      </c>
      <c r="C46" s="2" t="s">
        <v>20</v>
      </c>
      <c r="D46" s="2" t="s">
        <v>321</v>
      </c>
      <c r="E46" s="2" t="s">
        <v>322</v>
      </c>
      <c r="F46" s="4" t="s">
        <v>323</v>
      </c>
      <c r="G46" s="4" t="s">
        <v>324</v>
      </c>
      <c r="H46" s="4" t="s">
        <v>325</v>
      </c>
      <c r="I46" s="4" t="s">
        <v>42</v>
      </c>
      <c r="J46" s="2" t="s">
        <v>326</v>
      </c>
      <c r="K46" s="5" t="s">
        <v>327</v>
      </c>
    </row>
    <row r="47" spans="1:11" ht="180" x14ac:dyDescent="0.25">
      <c r="A47" s="2"/>
      <c r="B47" s="8" t="s">
        <v>19</v>
      </c>
      <c r="C47" s="2" t="s">
        <v>20</v>
      </c>
      <c r="D47" s="2" t="s">
        <v>328</v>
      </c>
      <c r="E47" s="2" t="s">
        <v>329</v>
      </c>
      <c r="F47" s="4" t="s">
        <v>330</v>
      </c>
      <c r="G47" s="4" t="s">
        <v>331</v>
      </c>
      <c r="H47" s="4" t="s">
        <v>332</v>
      </c>
      <c r="I47" s="4" t="s">
        <v>42</v>
      </c>
      <c r="J47" s="2" t="s">
        <v>333</v>
      </c>
      <c r="K47" s="5" t="s">
        <v>334</v>
      </c>
    </row>
    <row r="48" spans="1:11" ht="255" x14ac:dyDescent="0.25">
      <c r="A48" s="2"/>
      <c r="B48" s="8" t="s">
        <v>19</v>
      </c>
      <c r="C48" s="2" t="s">
        <v>20</v>
      </c>
      <c r="D48" s="2" t="s">
        <v>335</v>
      </c>
      <c r="E48" s="2" t="s">
        <v>336</v>
      </c>
      <c r="F48" s="4" t="s">
        <v>337</v>
      </c>
      <c r="G48" s="4" t="s">
        <v>338</v>
      </c>
      <c r="H48" s="4" t="s">
        <v>339</v>
      </c>
      <c r="I48" s="4" t="s">
        <v>26</v>
      </c>
      <c r="J48" s="2" t="s">
        <v>340</v>
      </c>
      <c r="K48" s="5" t="s">
        <v>341</v>
      </c>
    </row>
    <row r="49" spans="1:11" ht="285" x14ac:dyDescent="0.25">
      <c r="A49" s="8" t="s">
        <v>11</v>
      </c>
      <c r="B49" s="8">
        <v>3</v>
      </c>
      <c r="C49" s="2" t="s">
        <v>11</v>
      </c>
      <c r="D49" s="2" t="s">
        <v>342</v>
      </c>
      <c r="E49" s="2" t="s">
        <v>343</v>
      </c>
      <c r="F49" s="4" t="s">
        <v>344</v>
      </c>
      <c r="G49" s="4" t="s">
        <v>345</v>
      </c>
      <c r="H49" s="4" t="s">
        <v>346</v>
      </c>
      <c r="I49" s="4" t="s">
        <v>26</v>
      </c>
      <c r="J49" s="2" t="s">
        <v>347</v>
      </c>
      <c r="K49" s="13" t="s">
        <v>348</v>
      </c>
    </row>
    <row r="50" spans="1:11" ht="195" x14ac:dyDescent="0.25">
      <c r="A50" s="2"/>
      <c r="B50" s="8" t="s">
        <v>19</v>
      </c>
      <c r="C50" s="2" t="s">
        <v>20</v>
      </c>
      <c r="D50" s="2" t="s">
        <v>349</v>
      </c>
      <c r="E50" s="2" t="s">
        <v>350</v>
      </c>
      <c r="F50" s="4" t="s">
        <v>351</v>
      </c>
      <c r="G50" s="4" t="s">
        <v>352</v>
      </c>
      <c r="H50" s="4" t="s">
        <v>353</v>
      </c>
      <c r="I50" s="4" t="s">
        <v>26</v>
      </c>
      <c r="J50" s="2" t="s">
        <v>354</v>
      </c>
      <c r="K50" s="5" t="s">
        <v>355</v>
      </c>
    </row>
    <row r="51" spans="1:11" ht="285" x14ac:dyDescent="0.25">
      <c r="A51" s="2"/>
      <c r="B51" s="8" t="s">
        <v>19</v>
      </c>
      <c r="C51" s="2" t="s">
        <v>20</v>
      </c>
      <c r="D51" s="2" t="s">
        <v>356</v>
      </c>
      <c r="E51" s="2" t="s">
        <v>357</v>
      </c>
      <c r="F51" s="4" t="s">
        <v>358</v>
      </c>
      <c r="G51" s="4" t="s">
        <v>359</v>
      </c>
      <c r="H51" s="4" t="s">
        <v>360</v>
      </c>
      <c r="I51" s="4" t="s">
        <v>26</v>
      </c>
      <c r="J51" s="2" t="s">
        <v>361</v>
      </c>
      <c r="K51" s="5" t="s">
        <v>362</v>
      </c>
    </row>
    <row r="52" spans="1:11" ht="300" x14ac:dyDescent="0.25">
      <c r="A52" s="2"/>
      <c r="B52" s="8" t="s">
        <v>19</v>
      </c>
      <c r="C52" s="2" t="s">
        <v>20</v>
      </c>
      <c r="D52" s="2" t="s">
        <v>363</v>
      </c>
      <c r="E52" s="2" t="s">
        <v>364</v>
      </c>
      <c r="F52" s="4" t="s">
        <v>365</v>
      </c>
      <c r="G52" s="4" t="s">
        <v>366</v>
      </c>
      <c r="H52" s="4" t="s">
        <v>367</v>
      </c>
      <c r="I52" s="4" t="s">
        <v>26</v>
      </c>
      <c r="J52" s="2" t="s">
        <v>368</v>
      </c>
      <c r="K52" s="5" t="s">
        <v>369</v>
      </c>
    </row>
    <row r="53" spans="1:11" ht="285" x14ac:dyDescent="0.25">
      <c r="A53" s="2"/>
      <c r="B53" s="8" t="s">
        <v>52</v>
      </c>
      <c r="C53" s="2" t="s">
        <v>20</v>
      </c>
      <c r="D53" s="2" t="s">
        <v>370</v>
      </c>
      <c r="E53" s="2" t="s">
        <v>371</v>
      </c>
      <c r="F53" s="4" t="s">
        <v>372</v>
      </c>
      <c r="G53" s="4" t="s">
        <v>373</v>
      </c>
      <c r="H53" s="4" t="s">
        <v>374</v>
      </c>
      <c r="I53" s="4" t="s">
        <v>26</v>
      </c>
      <c r="J53" s="2" t="s">
        <v>375</v>
      </c>
      <c r="K53" s="5" t="s">
        <v>376</v>
      </c>
    </row>
    <row r="54" spans="1:11" ht="240" x14ac:dyDescent="0.25">
      <c r="A54" s="2"/>
      <c r="B54" s="8" t="s">
        <v>19</v>
      </c>
      <c r="C54" s="2" t="s">
        <v>20</v>
      </c>
      <c r="D54" s="2" t="s">
        <v>377</v>
      </c>
      <c r="E54" s="2" t="s">
        <v>378</v>
      </c>
      <c r="F54" s="4" t="s">
        <v>379</v>
      </c>
      <c r="G54" s="4" t="s">
        <v>380</v>
      </c>
      <c r="H54" s="4" t="s">
        <v>381</v>
      </c>
      <c r="I54" s="4" t="s">
        <v>26</v>
      </c>
      <c r="J54" s="2" t="s">
        <v>382</v>
      </c>
      <c r="K54" s="5" t="s">
        <v>383</v>
      </c>
    </row>
    <row r="55" spans="1:11" ht="195" x14ac:dyDescent="0.25">
      <c r="A55" s="2"/>
      <c r="B55" s="8" t="s">
        <v>19</v>
      </c>
      <c r="C55" s="2" t="s">
        <v>20</v>
      </c>
      <c r="D55" s="2" t="s">
        <v>384</v>
      </c>
      <c r="E55" s="2" t="s">
        <v>385</v>
      </c>
      <c r="F55" s="4" t="s">
        <v>386</v>
      </c>
      <c r="G55" s="4" t="s">
        <v>387</v>
      </c>
      <c r="H55" s="4" t="s">
        <v>388</v>
      </c>
      <c r="I55" s="4" t="s">
        <v>26</v>
      </c>
      <c r="J55" s="2" t="s">
        <v>389</v>
      </c>
      <c r="K55" s="5" t="s">
        <v>390</v>
      </c>
    </row>
    <row r="56" spans="1:11" ht="150" x14ac:dyDescent="0.25">
      <c r="A56" s="2"/>
      <c r="B56" s="8" t="s">
        <v>19</v>
      </c>
      <c r="C56" s="2" t="s">
        <v>20</v>
      </c>
      <c r="D56" s="2" t="s">
        <v>391</v>
      </c>
      <c r="E56" s="2" t="s">
        <v>392</v>
      </c>
      <c r="F56" s="4" t="s">
        <v>393</v>
      </c>
      <c r="G56" s="4" t="s">
        <v>394</v>
      </c>
      <c r="H56" s="4" t="s">
        <v>395</v>
      </c>
      <c r="I56" s="4" t="s">
        <v>42</v>
      </c>
      <c r="J56" s="2" t="s">
        <v>396</v>
      </c>
      <c r="K56" s="5" t="s">
        <v>397</v>
      </c>
    </row>
    <row r="57" spans="1:11" ht="150" x14ac:dyDescent="0.25">
      <c r="A57" s="8" t="s">
        <v>11</v>
      </c>
      <c r="B57" s="8">
        <v>2</v>
      </c>
      <c r="C57" s="8" t="s">
        <v>11</v>
      </c>
      <c r="D57" s="2" t="s">
        <v>398</v>
      </c>
      <c r="E57" s="2" t="s">
        <v>399</v>
      </c>
      <c r="F57" s="4" t="s">
        <v>400</v>
      </c>
      <c r="G57" s="4" t="s">
        <v>401</v>
      </c>
      <c r="H57" s="4" t="s">
        <v>402</v>
      </c>
      <c r="I57" s="4" t="s">
        <v>26</v>
      </c>
      <c r="J57" s="2" t="s">
        <v>403</v>
      </c>
      <c r="K57" s="13" t="s">
        <v>404</v>
      </c>
    </row>
    <row r="58" spans="1:11" ht="150" x14ac:dyDescent="0.25">
      <c r="A58" s="8" t="s">
        <v>11</v>
      </c>
      <c r="B58" s="8">
        <v>1</v>
      </c>
      <c r="C58" s="2" t="s">
        <v>11</v>
      </c>
      <c r="D58" s="2" t="s">
        <v>405</v>
      </c>
      <c r="E58" s="2" t="s">
        <v>406</v>
      </c>
      <c r="F58" s="4" t="s">
        <v>407</v>
      </c>
      <c r="G58" s="4" t="s">
        <v>408</v>
      </c>
      <c r="H58" s="4" t="s">
        <v>409</v>
      </c>
      <c r="I58" s="4" t="s">
        <v>42</v>
      </c>
      <c r="J58" s="2" t="s">
        <v>410</v>
      </c>
      <c r="K58" s="5" t="s">
        <v>411</v>
      </c>
    </row>
    <row r="59" spans="1:11" ht="285" x14ac:dyDescent="0.25">
      <c r="A59" s="8" t="s">
        <v>11</v>
      </c>
      <c r="B59" s="8">
        <v>1</v>
      </c>
      <c r="C59" s="2" t="s">
        <v>11</v>
      </c>
      <c r="D59" s="2" t="s">
        <v>412</v>
      </c>
      <c r="E59" s="2" t="s">
        <v>413</v>
      </c>
      <c r="F59" s="4" t="s">
        <v>414</v>
      </c>
      <c r="G59" s="4" t="s">
        <v>415</v>
      </c>
      <c r="H59" s="4" t="s">
        <v>416</v>
      </c>
      <c r="I59" s="4" t="s">
        <v>26</v>
      </c>
      <c r="J59" s="2" t="s">
        <v>417</v>
      </c>
      <c r="K59" s="5" t="s">
        <v>418</v>
      </c>
    </row>
    <row r="60" spans="1:11" ht="165" x14ac:dyDescent="0.25">
      <c r="A60" s="2"/>
      <c r="B60" s="8" t="s">
        <v>19</v>
      </c>
      <c r="C60" s="2" t="s">
        <v>20</v>
      </c>
      <c r="D60" s="2" t="s">
        <v>419</v>
      </c>
      <c r="E60" s="2" t="s">
        <v>420</v>
      </c>
      <c r="F60" s="4" t="s">
        <v>421</v>
      </c>
      <c r="G60" s="4" t="s">
        <v>422</v>
      </c>
      <c r="H60" s="4" t="s">
        <v>423</v>
      </c>
      <c r="I60" s="4" t="s">
        <v>42</v>
      </c>
      <c r="J60" s="2" t="s">
        <v>424</v>
      </c>
      <c r="K60" s="5" t="s">
        <v>425</v>
      </c>
    </row>
    <row r="61" spans="1:11" ht="240" x14ac:dyDescent="0.25">
      <c r="A61" s="8" t="s">
        <v>426</v>
      </c>
      <c r="B61" s="8">
        <v>2</v>
      </c>
      <c r="C61" s="8" t="s">
        <v>11</v>
      </c>
      <c r="D61" s="2" t="s">
        <v>427</v>
      </c>
      <c r="E61" s="2" t="s">
        <v>428</v>
      </c>
      <c r="F61" s="4" t="s">
        <v>429</v>
      </c>
      <c r="G61" s="4" t="s">
        <v>430</v>
      </c>
      <c r="H61" s="4" t="s">
        <v>431</v>
      </c>
      <c r="I61" s="4" t="s">
        <v>42</v>
      </c>
      <c r="J61" s="2" t="s">
        <v>432</v>
      </c>
      <c r="K61" s="13" t="s">
        <v>433</v>
      </c>
    </row>
    <row r="62" spans="1:11" ht="165" x14ac:dyDescent="0.25">
      <c r="A62" s="2"/>
      <c r="B62" s="8" t="s">
        <v>19</v>
      </c>
      <c r="C62" s="2" t="s">
        <v>20</v>
      </c>
      <c r="D62" s="2" t="s">
        <v>434</v>
      </c>
      <c r="E62" s="2" t="s">
        <v>435</v>
      </c>
      <c r="F62" s="4" t="s">
        <v>436</v>
      </c>
      <c r="G62" s="4" t="s">
        <v>437</v>
      </c>
      <c r="H62" s="4" t="s">
        <v>438</v>
      </c>
      <c r="I62" s="4" t="s">
        <v>42</v>
      </c>
      <c r="J62" s="2" t="s">
        <v>439</v>
      </c>
      <c r="K62" s="5" t="s">
        <v>440</v>
      </c>
    </row>
    <row r="63" spans="1:11" ht="180" x14ac:dyDescent="0.25">
      <c r="A63" s="8" t="s">
        <v>11</v>
      </c>
      <c r="B63" s="8">
        <v>2</v>
      </c>
      <c r="C63" s="8" t="s">
        <v>11</v>
      </c>
      <c r="D63" s="2" t="s">
        <v>441</v>
      </c>
      <c r="E63" s="2" t="s">
        <v>442</v>
      </c>
      <c r="F63" s="4" t="s">
        <v>443</v>
      </c>
      <c r="G63" s="4" t="s">
        <v>444</v>
      </c>
      <c r="H63" s="4" t="s">
        <v>445</v>
      </c>
      <c r="I63" s="4" t="s">
        <v>26</v>
      </c>
      <c r="J63" s="2" t="s">
        <v>446</v>
      </c>
      <c r="K63" s="13" t="s">
        <v>447</v>
      </c>
    </row>
    <row r="64" spans="1:11" ht="120" x14ac:dyDescent="0.25">
      <c r="A64" s="8" t="s">
        <v>11</v>
      </c>
      <c r="B64" s="8">
        <v>1</v>
      </c>
      <c r="C64" s="2" t="s">
        <v>11</v>
      </c>
      <c r="D64" s="2" t="s">
        <v>448</v>
      </c>
      <c r="E64" s="2" t="s">
        <v>449</v>
      </c>
      <c r="F64" s="4" t="s">
        <v>450</v>
      </c>
      <c r="G64" s="4" t="s">
        <v>451</v>
      </c>
      <c r="H64" s="4" t="s">
        <v>452</v>
      </c>
      <c r="I64" s="4" t="s">
        <v>42</v>
      </c>
      <c r="K64" s="5" t="s">
        <v>453</v>
      </c>
    </row>
    <row r="65" spans="1:11" ht="210" x14ac:dyDescent="0.25">
      <c r="A65" s="2"/>
      <c r="B65" s="8" t="s">
        <v>52</v>
      </c>
      <c r="C65" s="2" t="s">
        <v>20</v>
      </c>
      <c r="D65" s="2" t="s">
        <v>454</v>
      </c>
      <c r="E65" s="2" t="s">
        <v>455</v>
      </c>
      <c r="F65" s="4" t="s">
        <v>456</v>
      </c>
      <c r="G65" s="4" t="s">
        <v>457</v>
      </c>
      <c r="H65" s="4" t="s">
        <v>458</v>
      </c>
      <c r="I65" s="4" t="s">
        <v>42</v>
      </c>
      <c r="J65" s="2" t="s">
        <v>459</v>
      </c>
      <c r="K65" s="5" t="s">
        <v>460</v>
      </c>
    </row>
    <row r="66" spans="1:11" ht="180" x14ac:dyDescent="0.25">
      <c r="A66" s="2"/>
      <c r="B66" s="8" t="s">
        <v>19</v>
      </c>
      <c r="C66" s="2" t="s">
        <v>20</v>
      </c>
      <c r="D66" s="2" t="s">
        <v>461</v>
      </c>
      <c r="E66" s="2" t="s">
        <v>462</v>
      </c>
      <c r="F66" s="4" t="s">
        <v>463</v>
      </c>
      <c r="G66" s="4" t="s">
        <v>464</v>
      </c>
      <c r="H66" s="4" t="s">
        <v>465</v>
      </c>
      <c r="I66" s="4" t="s">
        <v>26</v>
      </c>
      <c r="J66" s="2" t="s">
        <v>466</v>
      </c>
      <c r="K66" s="5" t="s">
        <v>467</v>
      </c>
    </row>
    <row r="67" spans="1:11" ht="180" x14ac:dyDescent="0.25">
      <c r="A67" s="2"/>
      <c r="B67" s="8" t="s">
        <v>19</v>
      </c>
      <c r="C67" s="2" t="s">
        <v>20</v>
      </c>
      <c r="D67" s="2" t="s">
        <v>468</v>
      </c>
      <c r="E67" s="2" t="s">
        <v>469</v>
      </c>
      <c r="F67" s="4" t="s">
        <v>470</v>
      </c>
      <c r="G67" s="4" t="s">
        <v>471</v>
      </c>
      <c r="H67" s="4" t="s">
        <v>472</v>
      </c>
      <c r="I67" s="4" t="s">
        <v>26</v>
      </c>
      <c r="J67" s="2" t="s">
        <v>473</v>
      </c>
      <c r="K67" s="5" t="s">
        <v>474</v>
      </c>
    </row>
    <row r="68" spans="1:11" ht="270" x14ac:dyDescent="0.25">
      <c r="A68" s="2"/>
      <c r="B68" s="8" t="s">
        <v>19</v>
      </c>
      <c r="C68" s="2" t="s">
        <v>20</v>
      </c>
      <c r="D68" s="2" t="s">
        <v>475</v>
      </c>
      <c r="E68" s="2" t="s">
        <v>476</v>
      </c>
      <c r="F68" s="4" t="s">
        <v>477</v>
      </c>
      <c r="G68" s="4" t="s">
        <v>478</v>
      </c>
      <c r="H68" s="4" t="s">
        <v>479</v>
      </c>
      <c r="I68" s="4" t="s">
        <v>26</v>
      </c>
      <c r="J68" s="2" t="s">
        <v>480</v>
      </c>
      <c r="K68" s="5" t="s">
        <v>481</v>
      </c>
    </row>
    <row r="69" spans="1:11" ht="195" x14ac:dyDescent="0.25">
      <c r="A69" s="2"/>
      <c r="B69" s="8" t="s">
        <v>19</v>
      </c>
      <c r="C69" s="2" t="s">
        <v>20</v>
      </c>
      <c r="D69" s="2" t="s">
        <v>482</v>
      </c>
      <c r="E69" s="2" t="s">
        <v>483</v>
      </c>
      <c r="F69" s="4" t="s">
        <v>484</v>
      </c>
      <c r="G69" s="4" t="s">
        <v>485</v>
      </c>
      <c r="H69" s="4" t="s">
        <v>486</v>
      </c>
      <c r="I69" s="4" t="s">
        <v>42</v>
      </c>
      <c r="J69" s="2" t="s">
        <v>487</v>
      </c>
      <c r="K69" s="5" t="s">
        <v>488</v>
      </c>
    </row>
    <row r="70" spans="1:11" ht="180" x14ac:dyDescent="0.25">
      <c r="A70" s="8" t="s">
        <v>11</v>
      </c>
      <c r="B70" s="8">
        <v>1</v>
      </c>
      <c r="C70" s="2" t="s">
        <v>11</v>
      </c>
      <c r="D70" s="2" t="s">
        <v>489</v>
      </c>
      <c r="E70" s="2" t="s">
        <v>490</v>
      </c>
      <c r="F70" s="4" t="s">
        <v>491</v>
      </c>
      <c r="G70" s="6" t="s">
        <v>492</v>
      </c>
      <c r="H70" s="4" t="s">
        <v>493</v>
      </c>
      <c r="I70" s="4" t="s">
        <v>42</v>
      </c>
      <c r="J70" s="2" t="s">
        <v>494</v>
      </c>
      <c r="K70" s="5" t="s">
        <v>495</v>
      </c>
    </row>
    <row r="71" spans="1:11" ht="180" x14ac:dyDescent="0.25">
      <c r="A71" s="8" t="s">
        <v>496</v>
      </c>
      <c r="B71" s="8">
        <v>1</v>
      </c>
      <c r="C71" s="2" t="s">
        <v>11</v>
      </c>
      <c r="D71" s="2" t="s">
        <v>497</v>
      </c>
      <c r="E71" s="2" t="s">
        <v>498</v>
      </c>
      <c r="F71" s="4" t="s">
        <v>499</v>
      </c>
      <c r="G71" s="4" t="s">
        <v>500</v>
      </c>
      <c r="H71" s="4" t="s">
        <v>501</v>
      </c>
      <c r="I71" s="4" t="s">
        <v>42</v>
      </c>
      <c r="J71" s="2" t="s">
        <v>502</v>
      </c>
      <c r="K71" s="5" t="s">
        <v>503</v>
      </c>
    </row>
    <row r="72" spans="1:11" ht="180" x14ac:dyDescent="0.25">
      <c r="A72" s="8" t="s">
        <v>11</v>
      </c>
      <c r="B72" s="8">
        <v>1</v>
      </c>
      <c r="C72" s="2" t="s">
        <v>11</v>
      </c>
      <c r="D72" s="2" t="s">
        <v>504</v>
      </c>
      <c r="E72" s="2" t="s">
        <v>505</v>
      </c>
      <c r="F72" s="4" t="s">
        <v>506</v>
      </c>
      <c r="G72" s="4" t="s">
        <v>507</v>
      </c>
      <c r="H72" s="4" t="s">
        <v>508</v>
      </c>
      <c r="I72" s="4" t="s">
        <v>26</v>
      </c>
      <c r="J72" s="2" t="s">
        <v>509</v>
      </c>
      <c r="K72" s="5" t="s">
        <v>510</v>
      </c>
    </row>
    <row r="73" spans="1:11" ht="240" x14ac:dyDescent="0.25">
      <c r="A73" s="8" t="s">
        <v>11</v>
      </c>
      <c r="B73" s="8">
        <v>3</v>
      </c>
      <c r="C73" s="2" t="s">
        <v>11</v>
      </c>
      <c r="D73" s="2" t="s">
        <v>511</v>
      </c>
      <c r="E73" s="2" t="s">
        <v>512</v>
      </c>
      <c r="F73" s="4" t="s">
        <v>513</v>
      </c>
      <c r="G73" s="4" t="s">
        <v>514</v>
      </c>
      <c r="H73" s="4" t="s">
        <v>515</v>
      </c>
      <c r="I73" s="4" t="s">
        <v>26</v>
      </c>
      <c r="J73" s="2" t="s">
        <v>516</v>
      </c>
      <c r="K73" s="5" t="s">
        <v>517</v>
      </c>
    </row>
    <row r="74" spans="1:11" ht="255" x14ac:dyDescent="0.25">
      <c r="A74" s="2"/>
      <c r="B74" s="8" t="s">
        <v>52</v>
      </c>
      <c r="C74" s="2" t="s">
        <v>20</v>
      </c>
      <c r="D74" s="2" t="s">
        <v>518</v>
      </c>
      <c r="E74" s="2" t="s">
        <v>519</v>
      </c>
      <c r="F74" s="4" t="s">
        <v>520</v>
      </c>
      <c r="G74" s="4" t="s">
        <v>521</v>
      </c>
      <c r="H74" s="4" t="s">
        <v>522</v>
      </c>
      <c r="I74" s="4" t="s">
        <v>26</v>
      </c>
      <c r="J74" s="2" t="s">
        <v>523</v>
      </c>
      <c r="K74" s="5" t="s">
        <v>524</v>
      </c>
    </row>
    <row r="75" spans="1:11" ht="360" x14ac:dyDescent="0.25">
      <c r="A75" s="2"/>
      <c r="B75" s="8" t="s">
        <v>19</v>
      </c>
      <c r="C75" s="2" t="s">
        <v>20</v>
      </c>
      <c r="D75" s="2" t="s">
        <v>525</v>
      </c>
      <c r="E75" s="2" t="s">
        <v>526</v>
      </c>
      <c r="F75" s="4" t="s">
        <v>527</v>
      </c>
      <c r="G75" s="4" t="s">
        <v>528</v>
      </c>
      <c r="H75" s="4" t="s">
        <v>529</v>
      </c>
      <c r="I75" s="4" t="s">
        <v>26</v>
      </c>
      <c r="J75" s="2" t="s">
        <v>530</v>
      </c>
      <c r="K75" s="5" t="s">
        <v>531</v>
      </c>
    </row>
    <row r="76" spans="1:11" ht="255" x14ac:dyDescent="0.25">
      <c r="A76" s="2"/>
      <c r="B76" s="8" t="s">
        <v>19</v>
      </c>
      <c r="C76" s="2" t="s">
        <v>20</v>
      </c>
      <c r="D76" s="2" t="s">
        <v>532</v>
      </c>
      <c r="E76" s="2" t="s">
        <v>533</v>
      </c>
      <c r="F76" s="4" t="s">
        <v>534</v>
      </c>
      <c r="G76" s="4" t="s">
        <v>535</v>
      </c>
      <c r="H76" s="4" t="s">
        <v>536</v>
      </c>
      <c r="I76" s="4" t="s">
        <v>42</v>
      </c>
      <c r="J76" s="2" t="s">
        <v>537</v>
      </c>
      <c r="K76" s="5" t="s">
        <v>538</v>
      </c>
    </row>
    <row r="77" spans="1:11" ht="165" x14ac:dyDescent="0.25">
      <c r="A77" s="8" t="s">
        <v>11</v>
      </c>
      <c r="B77" s="8">
        <v>1</v>
      </c>
      <c r="C77" s="2" t="s">
        <v>11</v>
      </c>
      <c r="D77" s="2" t="s">
        <v>539</v>
      </c>
      <c r="E77" s="2" t="s">
        <v>540</v>
      </c>
      <c r="F77" s="4" t="s">
        <v>541</v>
      </c>
      <c r="G77" s="4" t="s">
        <v>542</v>
      </c>
      <c r="H77" s="4" t="s">
        <v>543</v>
      </c>
      <c r="I77" s="4" t="s">
        <v>26</v>
      </c>
      <c r="J77" s="2" t="s">
        <v>544</v>
      </c>
      <c r="K77" s="5" t="s">
        <v>545</v>
      </c>
    </row>
    <row r="78" spans="1:11" ht="225" x14ac:dyDescent="0.25">
      <c r="A78" s="2"/>
      <c r="B78" s="8" t="s">
        <v>19</v>
      </c>
      <c r="C78" s="2" t="s">
        <v>20</v>
      </c>
      <c r="D78" s="2" t="s">
        <v>546</v>
      </c>
      <c r="E78" s="2" t="s">
        <v>547</v>
      </c>
      <c r="F78" s="4" t="s">
        <v>548</v>
      </c>
      <c r="G78" s="4" t="s">
        <v>549</v>
      </c>
      <c r="H78" s="4" t="s">
        <v>550</v>
      </c>
      <c r="I78" s="4" t="s">
        <v>26</v>
      </c>
      <c r="J78" s="2" t="s">
        <v>551</v>
      </c>
      <c r="K78" s="5" t="s">
        <v>552</v>
      </c>
    </row>
    <row r="79" spans="1:11" ht="225" x14ac:dyDescent="0.25">
      <c r="A79" s="2"/>
      <c r="B79" s="8" t="s">
        <v>19</v>
      </c>
      <c r="C79" s="2" t="s">
        <v>20</v>
      </c>
      <c r="D79" s="2" t="s">
        <v>553</v>
      </c>
      <c r="E79" s="2" t="s">
        <v>554</v>
      </c>
      <c r="F79" s="4" t="s">
        <v>555</v>
      </c>
      <c r="G79" s="4" t="s">
        <v>556</v>
      </c>
      <c r="H79" s="4" t="s">
        <v>557</v>
      </c>
      <c r="I79" s="4" t="s">
        <v>26</v>
      </c>
      <c r="J79" s="2" t="s">
        <v>558</v>
      </c>
      <c r="K79" s="5" t="s">
        <v>559</v>
      </c>
    </row>
    <row r="80" spans="1:11" ht="270" x14ac:dyDescent="0.25">
      <c r="A80" s="2"/>
      <c r="B80" s="8" t="s">
        <v>52</v>
      </c>
      <c r="C80" s="2" t="s">
        <v>20</v>
      </c>
      <c r="D80" s="2" t="s">
        <v>560</v>
      </c>
      <c r="E80" s="2" t="s">
        <v>561</v>
      </c>
      <c r="F80" s="4" t="s">
        <v>562</v>
      </c>
      <c r="G80" s="4" t="s">
        <v>563</v>
      </c>
      <c r="I80" s="4" t="s">
        <v>26</v>
      </c>
      <c r="J80" s="2" t="s">
        <v>564</v>
      </c>
      <c r="K80" s="5" t="s">
        <v>565</v>
      </c>
    </row>
    <row r="81" spans="1:11" ht="315" x14ac:dyDescent="0.25">
      <c r="A81" s="8" t="s">
        <v>11</v>
      </c>
      <c r="B81" s="8">
        <v>1</v>
      </c>
      <c r="C81" s="2" t="s">
        <v>11</v>
      </c>
      <c r="D81" s="2" t="s">
        <v>566</v>
      </c>
      <c r="E81" s="2" t="s">
        <v>567</v>
      </c>
      <c r="F81" s="4" t="s">
        <v>568</v>
      </c>
      <c r="G81" s="4" t="s">
        <v>569</v>
      </c>
      <c r="H81" s="4" t="s">
        <v>570</v>
      </c>
      <c r="I81" s="4" t="s">
        <v>26</v>
      </c>
      <c r="J81" s="2" t="s">
        <v>571</v>
      </c>
      <c r="K81" s="5" t="s">
        <v>572</v>
      </c>
    </row>
    <row r="82" spans="1:11" ht="270" x14ac:dyDescent="0.25">
      <c r="A82" s="8" t="s">
        <v>11</v>
      </c>
      <c r="B82" s="8">
        <v>1</v>
      </c>
      <c r="C82" s="2" t="s">
        <v>11</v>
      </c>
      <c r="D82" s="2" t="s">
        <v>573</v>
      </c>
      <c r="E82" s="2" t="s">
        <v>574</v>
      </c>
      <c r="F82" s="4" t="s">
        <v>575</v>
      </c>
      <c r="G82" s="4" t="s">
        <v>576</v>
      </c>
      <c r="H82" s="4" t="s">
        <v>577</v>
      </c>
      <c r="I82" s="4" t="s">
        <v>26</v>
      </c>
      <c r="J82" s="2" t="s">
        <v>578</v>
      </c>
      <c r="K82" s="5" t="s">
        <v>579</v>
      </c>
    </row>
    <row r="83" spans="1:11" ht="240" x14ac:dyDescent="0.25">
      <c r="A83" s="2"/>
      <c r="B83" s="8" t="s">
        <v>52</v>
      </c>
      <c r="C83" s="2" t="s">
        <v>20</v>
      </c>
      <c r="D83" s="2" t="s">
        <v>580</v>
      </c>
      <c r="E83" s="2" t="s">
        <v>581</v>
      </c>
      <c r="F83" s="4" t="s">
        <v>582</v>
      </c>
      <c r="G83" s="4" t="s">
        <v>583</v>
      </c>
      <c r="H83" s="4" t="s">
        <v>584</v>
      </c>
      <c r="I83" s="4" t="s">
        <v>26</v>
      </c>
      <c r="J83" s="2" t="s">
        <v>585</v>
      </c>
      <c r="K83" s="5" t="s">
        <v>586</v>
      </c>
    </row>
    <row r="84" spans="1:11" ht="180" x14ac:dyDescent="0.25">
      <c r="A84" s="8" t="s">
        <v>11</v>
      </c>
      <c r="B84" s="8">
        <v>1</v>
      </c>
      <c r="C84" s="2" t="s">
        <v>11</v>
      </c>
      <c r="D84" s="2" t="s">
        <v>587</v>
      </c>
      <c r="E84" s="2" t="s">
        <v>588</v>
      </c>
      <c r="F84" s="4" t="s">
        <v>589</v>
      </c>
      <c r="G84" s="4" t="s">
        <v>590</v>
      </c>
      <c r="H84" s="4" t="s">
        <v>591</v>
      </c>
      <c r="I84" s="4" t="s">
        <v>42</v>
      </c>
      <c r="J84" s="2" t="s">
        <v>592</v>
      </c>
      <c r="K84" s="5" t="s">
        <v>593</v>
      </c>
    </row>
    <row r="85" spans="1:11" ht="150" x14ac:dyDescent="0.25">
      <c r="A85" s="2"/>
      <c r="B85" s="8" t="s">
        <v>19</v>
      </c>
      <c r="C85" s="2" t="s">
        <v>20</v>
      </c>
      <c r="D85" s="2" t="s">
        <v>594</v>
      </c>
      <c r="E85" s="2" t="s">
        <v>595</v>
      </c>
      <c r="F85" s="4" t="s">
        <v>596</v>
      </c>
      <c r="G85" s="4" t="s">
        <v>597</v>
      </c>
      <c r="H85" s="4" t="s">
        <v>598</v>
      </c>
      <c r="I85" s="4" t="s">
        <v>42</v>
      </c>
      <c r="J85" s="2" t="s">
        <v>599</v>
      </c>
      <c r="K85" s="5" t="s">
        <v>600</v>
      </c>
    </row>
    <row r="86" spans="1:11" ht="195" x14ac:dyDescent="0.25">
      <c r="A86" s="2"/>
      <c r="B86" s="8" t="s">
        <v>100</v>
      </c>
      <c r="C86" s="2" t="s">
        <v>20</v>
      </c>
      <c r="D86" s="2" t="s">
        <v>601</v>
      </c>
      <c r="E86" s="2" t="s">
        <v>602</v>
      </c>
      <c r="F86" s="4" t="s">
        <v>603</v>
      </c>
      <c r="G86" s="4" t="s">
        <v>604</v>
      </c>
      <c r="H86" s="4" t="s">
        <v>605</v>
      </c>
      <c r="I86" s="4" t="s">
        <v>26</v>
      </c>
      <c r="J86" s="2" t="s">
        <v>606</v>
      </c>
      <c r="K86" s="5" t="s">
        <v>607</v>
      </c>
    </row>
    <row r="87" spans="1:11" ht="180" x14ac:dyDescent="0.25">
      <c r="A87" s="2"/>
      <c r="B87" s="8" t="s">
        <v>19</v>
      </c>
      <c r="C87" s="2" t="s">
        <v>20</v>
      </c>
      <c r="D87" s="2" t="s">
        <v>608</v>
      </c>
      <c r="E87" s="2" t="s">
        <v>609</v>
      </c>
      <c r="F87" s="4" t="s">
        <v>610</v>
      </c>
      <c r="G87" s="4" t="s">
        <v>611</v>
      </c>
      <c r="H87" s="4" t="s">
        <v>612</v>
      </c>
      <c r="I87" s="4" t="s">
        <v>26</v>
      </c>
      <c r="J87" s="2" t="s">
        <v>613</v>
      </c>
      <c r="K87" s="5" t="s">
        <v>614</v>
      </c>
    </row>
    <row r="88" spans="1:11" ht="270" x14ac:dyDescent="0.25">
      <c r="A88" s="2"/>
      <c r="B88" s="8" t="s">
        <v>52</v>
      </c>
      <c r="C88" s="2" t="s">
        <v>20</v>
      </c>
      <c r="D88" s="2" t="s">
        <v>615</v>
      </c>
      <c r="E88" s="2" t="s">
        <v>616</v>
      </c>
      <c r="F88" s="4" t="s">
        <v>617</v>
      </c>
      <c r="G88" s="4" t="s">
        <v>618</v>
      </c>
      <c r="H88" s="4" t="s">
        <v>619</v>
      </c>
      <c r="I88" s="4" t="s">
        <v>26</v>
      </c>
      <c r="J88" s="2" t="s">
        <v>620</v>
      </c>
      <c r="K88" s="5" t="s">
        <v>621</v>
      </c>
    </row>
    <row r="89" spans="1:11" ht="300" x14ac:dyDescent="0.25">
      <c r="A89" s="8" t="s">
        <v>11</v>
      </c>
      <c r="B89" s="8">
        <v>1</v>
      </c>
      <c r="C89" s="2" t="s">
        <v>11</v>
      </c>
      <c r="D89" s="2" t="s">
        <v>622</v>
      </c>
      <c r="E89" s="2" t="s">
        <v>623</v>
      </c>
      <c r="F89" s="4" t="s">
        <v>624</v>
      </c>
      <c r="G89" s="4" t="s">
        <v>625</v>
      </c>
      <c r="H89" s="4" t="s">
        <v>626</v>
      </c>
      <c r="I89" s="4" t="s">
        <v>26</v>
      </c>
      <c r="J89" s="2" t="s">
        <v>627</v>
      </c>
      <c r="K89" s="5" t="s">
        <v>628</v>
      </c>
    </row>
    <row r="90" spans="1:11" ht="300" x14ac:dyDescent="0.25">
      <c r="A90" s="2"/>
      <c r="B90" s="8" t="s">
        <v>74</v>
      </c>
      <c r="C90" s="2" t="s">
        <v>20</v>
      </c>
      <c r="D90" s="2" t="s">
        <v>629</v>
      </c>
      <c r="F90" s="4" t="s">
        <v>630</v>
      </c>
      <c r="G90" s="4" t="s">
        <v>631</v>
      </c>
      <c r="I90" s="4" t="s">
        <v>26</v>
      </c>
      <c r="K90" s="5" t="s">
        <v>632</v>
      </c>
    </row>
    <row r="91" spans="1:11" ht="120" x14ac:dyDescent="0.25">
      <c r="A91" s="2"/>
      <c r="B91" s="8" t="s">
        <v>19</v>
      </c>
      <c r="C91" s="2" t="s">
        <v>20</v>
      </c>
      <c r="D91" s="2" t="s">
        <v>633</v>
      </c>
      <c r="E91" s="2" t="s">
        <v>634</v>
      </c>
      <c r="F91" s="4" t="s">
        <v>635</v>
      </c>
      <c r="G91" s="4" t="s">
        <v>636</v>
      </c>
      <c r="H91" s="4" t="s">
        <v>637</v>
      </c>
      <c r="I91" s="4" t="s">
        <v>42</v>
      </c>
      <c r="J91" s="2" t="s">
        <v>638</v>
      </c>
      <c r="K91" s="5" t="s">
        <v>639</v>
      </c>
    </row>
    <row r="92" spans="1:11" ht="240" x14ac:dyDescent="0.25">
      <c r="A92" s="2"/>
      <c r="B92" s="8" t="s">
        <v>19</v>
      </c>
      <c r="C92" s="2" t="s">
        <v>20</v>
      </c>
      <c r="D92" s="2" t="s">
        <v>640</v>
      </c>
      <c r="E92" s="2" t="s">
        <v>641</v>
      </c>
      <c r="F92" s="4" t="s">
        <v>642</v>
      </c>
      <c r="G92" s="4" t="s">
        <v>643</v>
      </c>
      <c r="H92" s="4" t="s">
        <v>644</v>
      </c>
      <c r="I92" s="4" t="s">
        <v>26</v>
      </c>
      <c r="J92" s="2" t="s">
        <v>645</v>
      </c>
      <c r="K92" s="5" t="s">
        <v>646</v>
      </c>
    </row>
    <row r="93" spans="1:11" ht="165" x14ac:dyDescent="0.25">
      <c r="A93" s="2"/>
      <c r="B93" s="8" t="s">
        <v>19</v>
      </c>
      <c r="C93" s="2" t="s">
        <v>20</v>
      </c>
      <c r="D93" s="2" t="s">
        <v>647</v>
      </c>
      <c r="E93" s="2" t="s">
        <v>648</v>
      </c>
      <c r="F93" s="4" t="s">
        <v>649</v>
      </c>
      <c r="G93" s="4" t="s">
        <v>650</v>
      </c>
      <c r="H93" s="4" t="s">
        <v>651</v>
      </c>
      <c r="I93" s="4" t="s">
        <v>42</v>
      </c>
      <c r="J93" s="2" t="s">
        <v>652</v>
      </c>
      <c r="K93" s="5" t="s">
        <v>653</v>
      </c>
    </row>
    <row r="94" spans="1:11" ht="255" x14ac:dyDescent="0.25">
      <c r="B94" s="8" t="s">
        <v>74</v>
      </c>
      <c r="C94" s="8" t="s">
        <v>20</v>
      </c>
      <c r="D94" s="8" t="s">
        <v>654</v>
      </c>
      <c r="F94" s="2" t="s">
        <v>655</v>
      </c>
      <c r="G94" s="4" t="s">
        <v>656</v>
      </c>
      <c r="I94" s="4" t="s">
        <v>26</v>
      </c>
      <c r="K94" s="13" t="s">
        <v>657</v>
      </c>
    </row>
    <row r="95" spans="1:11" ht="135" x14ac:dyDescent="0.25">
      <c r="B95" s="8" t="s">
        <v>74</v>
      </c>
      <c r="C95" s="8" t="s">
        <v>20</v>
      </c>
      <c r="D95" s="8" t="s">
        <v>658</v>
      </c>
      <c r="F95" s="2" t="s">
        <v>659</v>
      </c>
      <c r="G95" s="4" t="s">
        <v>660</v>
      </c>
      <c r="I95" s="4" t="s">
        <v>26</v>
      </c>
      <c r="K95" s="5" t="s">
        <v>661</v>
      </c>
    </row>
    <row r="96" spans="1:11" ht="150" x14ac:dyDescent="0.25">
      <c r="A96" s="8" t="s">
        <v>11</v>
      </c>
      <c r="B96" s="8">
        <v>1</v>
      </c>
      <c r="C96" s="8" t="s">
        <v>11</v>
      </c>
      <c r="D96" s="8" t="s">
        <v>662</v>
      </c>
      <c r="E96" s="2" t="s">
        <v>663</v>
      </c>
      <c r="F96" s="2" t="s">
        <v>664</v>
      </c>
      <c r="G96" s="4" t="s">
        <v>665</v>
      </c>
      <c r="H96" s="4" t="s">
        <v>666</v>
      </c>
      <c r="I96" s="4" t="s">
        <v>42</v>
      </c>
      <c r="J96" s="2" t="s">
        <v>667</v>
      </c>
      <c r="K96" s="5" t="s">
        <v>668</v>
      </c>
    </row>
    <row r="97" spans="1:11" ht="180" x14ac:dyDescent="0.25">
      <c r="B97" s="8" t="s">
        <v>52</v>
      </c>
      <c r="C97" s="8" t="s">
        <v>20</v>
      </c>
      <c r="D97" s="8" t="s">
        <v>669</v>
      </c>
      <c r="E97" s="2" t="s">
        <v>670</v>
      </c>
      <c r="F97" s="2" t="s">
        <v>671</v>
      </c>
      <c r="G97" s="4" t="s">
        <v>672</v>
      </c>
      <c r="H97" s="4" t="s">
        <v>673</v>
      </c>
      <c r="I97" s="4" t="s">
        <v>26</v>
      </c>
      <c r="J97" s="2" t="s">
        <v>674</v>
      </c>
      <c r="K97" s="5" t="s">
        <v>675</v>
      </c>
    </row>
    <row r="98" spans="1:11" ht="225" x14ac:dyDescent="0.25">
      <c r="B98" s="8" t="s">
        <v>19</v>
      </c>
      <c r="C98" s="8" t="s">
        <v>20</v>
      </c>
      <c r="D98" s="8" t="s">
        <v>676</v>
      </c>
      <c r="E98" s="2" t="s">
        <v>677</v>
      </c>
      <c r="F98" s="2" t="s">
        <v>678</v>
      </c>
      <c r="G98" s="4" t="s">
        <v>679</v>
      </c>
      <c r="H98" s="4" t="s">
        <v>680</v>
      </c>
      <c r="I98" s="4" t="s">
        <v>26</v>
      </c>
      <c r="J98" s="2" t="s">
        <v>681</v>
      </c>
      <c r="K98" s="5" t="s">
        <v>682</v>
      </c>
    </row>
    <row r="99" spans="1:11" ht="210" x14ac:dyDescent="0.25">
      <c r="B99" s="8" t="s">
        <v>19</v>
      </c>
      <c r="C99" s="8" t="s">
        <v>20</v>
      </c>
      <c r="D99" s="8" t="s">
        <v>683</v>
      </c>
      <c r="E99" s="2" t="s">
        <v>684</v>
      </c>
      <c r="F99" s="2" t="s">
        <v>685</v>
      </c>
      <c r="G99" s="4" t="s">
        <v>686</v>
      </c>
      <c r="H99" s="4" t="s">
        <v>687</v>
      </c>
      <c r="I99" s="4" t="s">
        <v>26</v>
      </c>
      <c r="J99" s="2" t="s">
        <v>688</v>
      </c>
      <c r="K99" s="5" t="s">
        <v>689</v>
      </c>
    </row>
    <row r="100" spans="1:11" ht="180" x14ac:dyDescent="0.25">
      <c r="B100" s="8" t="s">
        <v>19</v>
      </c>
      <c r="C100" s="8" t="s">
        <v>20</v>
      </c>
      <c r="D100" s="8" t="s">
        <v>690</v>
      </c>
      <c r="E100" s="2" t="s">
        <v>691</v>
      </c>
      <c r="F100" s="2" t="s">
        <v>692</v>
      </c>
      <c r="G100" s="4" t="s">
        <v>693</v>
      </c>
      <c r="H100" s="4" t="s">
        <v>694</v>
      </c>
      <c r="I100" s="4" t="s">
        <v>26</v>
      </c>
      <c r="J100" s="2" t="s">
        <v>695</v>
      </c>
      <c r="K100" s="5" t="s">
        <v>696</v>
      </c>
    </row>
    <row r="101" spans="1:11" ht="195" x14ac:dyDescent="0.25">
      <c r="A101" s="8" t="s">
        <v>11</v>
      </c>
      <c r="B101" s="8">
        <v>3</v>
      </c>
      <c r="C101" s="8" t="s">
        <v>11</v>
      </c>
      <c r="D101" s="8" t="s">
        <v>697</v>
      </c>
      <c r="E101" s="2" t="s">
        <v>698</v>
      </c>
      <c r="F101" s="2" t="s">
        <v>699</v>
      </c>
      <c r="G101" s="4" t="s">
        <v>700</v>
      </c>
      <c r="H101" s="4" t="s">
        <v>701</v>
      </c>
      <c r="I101" s="4" t="s">
        <v>702</v>
      </c>
      <c r="J101" s="2" t="s">
        <v>703</v>
      </c>
      <c r="K101" s="13" t="s">
        <v>704</v>
      </c>
    </row>
    <row r="102" spans="1:11" ht="210" x14ac:dyDescent="0.25">
      <c r="A102" s="8" t="s">
        <v>11</v>
      </c>
      <c r="B102" s="8">
        <v>3</v>
      </c>
      <c r="C102" s="2" t="s">
        <v>11</v>
      </c>
      <c r="D102" s="2" t="s">
        <v>705</v>
      </c>
      <c r="E102" s="2" t="s">
        <v>706</v>
      </c>
      <c r="F102" s="4" t="s">
        <v>707</v>
      </c>
      <c r="G102" s="4" t="s">
        <v>708</v>
      </c>
      <c r="H102" s="4" t="s">
        <v>709</v>
      </c>
      <c r="I102" s="4" t="s">
        <v>26</v>
      </c>
      <c r="J102" s="2" t="s">
        <v>710</v>
      </c>
      <c r="K102" s="13" t="s">
        <v>711</v>
      </c>
    </row>
    <row r="103" spans="1:11" ht="300" x14ac:dyDescent="0.25">
      <c r="A103" s="2"/>
      <c r="B103" s="8" t="s">
        <v>74</v>
      </c>
      <c r="C103" s="2" t="s">
        <v>20</v>
      </c>
      <c r="D103" s="2" t="s">
        <v>712</v>
      </c>
      <c r="F103" s="2" t="s">
        <v>630</v>
      </c>
      <c r="G103" s="4" t="s">
        <v>713</v>
      </c>
      <c r="I103" s="4" t="s">
        <v>26</v>
      </c>
      <c r="K103" s="5" t="s">
        <v>714</v>
      </c>
    </row>
    <row r="104" spans="1:11" ht="240" x14ac:dyDescent="0.25">
      <c r="A104" s="2"/>
      <c r="B104" s="8" t="s">
        <v>19</v>
      </c>
      <c r="C104" s="2" t="s">
        <v>20</v>
      </c>
      <c r="D104" s="2" t="s">
        <v>715</v>
      </c>
      <c r="E104" s="2" t="s">
        <v>716</v>
      </c>
      <c r="F104" s="2" t="s">
        <v>717</v>
      </c>
      <c r="G104" s="4" t="s">
        <v>718</v>
      </c>
      <c r="H104" s="4" t="s">
        <v>719</v>
      </c>
      <c r="I104" s="4" t="s">
        <v>26</v>
      </c>
      <c r="J104" s="2" t="s">
        <v>720</v>
      </c>
      <c r="K104" s="5" t="s">
        <v>721</v>
      </c>
    </row>
    <row r="105" spans="1:11" ht="255" x14ac:dyDescent="0.25">
      <c r="A105" s="2"/>
      <c r="B105" s="8" t="s">
        <v>19</v>
      </c>
      <c r="C105" s="2" t="s">
        <v>20</v>
      </c>
      <c r="D105" s="2" t="s">
        <v>722</v>
      </c>
      <c r="E105" s="2" t="s">
        <v>723</v>
      </c>
      <c r="F105" s="2" t="s">
        <v>724</v>
      </c>
      <c r="G105" s="4" t="s">
        <v>725</v>
      </c>
      <c r="H105" s="4" t="s">
        <v>726</v>
      </c>
      <c r="I105" s="4" t="s">
        <v>26</v>
      </c>
      <c r="J105" s="2" t="s">
        <v>727</v>
      </c>
      <c r="K105" s="5" t="s">
        <v>728</v>
      </c>
    </row>
    <row r="106" spans="1:11" ht="240" x14ac:dyDescent="0.25">
      <c r="A106" s="2"/>
      <c r="B106" s="8" t="s">
        <v>100</v>
      </c>
      <c r="C106" s="2" t="s">
        <v>20</v>
      </c>
      <c r="D106" s="2" t="s">
        <v>729</v>
      </c>
      <c r="E106" s="2" t="s">
        <v>730</v>
      </c>
      <c r="F106" s="2" t="s">
        <v>731</v>
      </c>
      <c r="G106" s="4" t="s">
        <v>732</v>
      </c>
      <c r="H106" s="4" t="s">
        <v>733</v>
      </c>
      <c r="I106" s="4" t="s">
        <v>42</v>
      </c>
      <c r="J106" s="2" t="s">
        <v>734</v>
      </c>
      <c r="K106" s="5" t="s">
        <v>735</v>
      </c>
    </row>
    <row r="107" spans="1:11" ht="255" x14ac:dyDescent="0.25">
      <c r="A107" s="2"/>
      <c r="B107" s="8" t="s">
        <v>19</v>
      </c>
      <c r="C107" s="2" t="s">
        <v>20</v>
      </c>
      <c r="D107" s="2" t="s">
        <v>736</v>
      </c>
      <c r="E107" s="2" t="s">
        <v>737</v>
      </c>
      <c r="F107" s="2" t="s">
        <v>738</v>
      </c>
      <c r="G107" s="4" t="s">
        <v>739</v>
      </c>
      <c r="H107" s="4" t="s">
        <v>740</v>
      </c>
      <c r="I107" s="4" t="s">
        <v>26</v>
      </c>
      <c r="J107" s="2" t="s">
        <v>741</v>
      </c>
      <c r="K107" s="5" t="s">
        <v>742</v>
      </c>
    </row>
    <row r="108" spans="1:11" ht="165" x14ac:dyDescent="0.25">
      <c r="A108" s="2"/>
      <c r="B108" s="8" t="s">
        <v>19</v>
      </c>
      <c r="C108" s="2" t="s">
        <v>20</v>
      </c>
      <c r="D108" s="2" t="s">
        <v>743</v>
      </c>
      <c r="E108" s="2" t="s">
        <v>744</v>
      </c>
      <c r="F108" s="2" t="s">
        <v>745</v>
      </c>
      <c r="G108" s="4" t="s">
        <v>746</v>
      </c>
      <c r="H108" s="4" t="s">
        <v>747</v>
      </c>
      <c r="I108" s="4" t="s">
        <v>26</v>
      </c>
      <c r="J108" s="2" t="s">
        <v>748</v>
      </c>
      <c r="K108" s="5" t="s">
        <v>749</v>
      </c>
    </row>
    <row r="109" spans="1:11" ht="165" x14ac:dyDescent="0.25">
      <c r="A109" s="2"/>
      <c r="B109" s="8" t="s">
        <v>19</v>
      </c>
      <c r="C109" s="2" t="s">
        <v>20</v>
      </c>
      <c r="D109" s="2" t="s">
        <v>750</v>
      </c>
      <c r="E109" s="2" t="s">
        <v>751</v>
      </c>
      <c r="F109" s="2" t="s">
        <v>752</v>
      </c>
      <c r="G109" s="4" t="s">
        <v>753</v>
      </c>
      <c r="H109" s="4" t="s">
        <v>754</v>
      </c>
      <c r="I109" s="4" t="s">
        <v>26</v>
      </c>
      <c r="J109" s="2" t="s">
        <v>755</v>
      </c>
      <c r="K109" s="5" t="s">
        <v>756</v>
      </c>
    </row>
    <row r="110" spans="1:11" ht="195" x14ac:dyDescent="0.25">
      <c r="A110" s="2"/>
      <c r="B110" s="8" t="s">
        <v>100</v>
      </c>
      <c r="C110" s="2" t="s">
        <v>20</v>
      </c>
      <c r="D110" s="2" t="s">
        <v>757</v>
      </c>
      <c r="E110" s="2" t="s">
        <v>758</v>
      </c>
      <c r="F110" s="2" t="s">
        <v>759</v>
      </c>
      <c r="G110" s="4" t="s">
        <v>760</v>
      </c>
      <c r="H110" s="4" t="s">
        <v>761</v>
      </c>
      <c r="I110" s="4" t="s">
        <v>42</v>
      </c>
      <c r="J110" s="2" t="s">
        <v>762</v>
      </c>
      <c r="K110" s="5" t="s">
        <v>763</v>
      </c>
    </row>
    <row r="111" spans="1:11" ht="210" x14ac:dyDescent="0.25">
      <c r="A111" s="2"/>
      <c r="B111" s="8" t="s">
        <v>19</v>
      </c>
      <c r="C111" s="2" t="s">
        <v>20</v>
      </c>
      <c r="D111" s="2" t="s">
        <v>764</v>
      </c>
      <c r="E111" s="2" t="s">
        <v>765</v>
      </c>
      <c r="F111" s="2" t="s">
        <v>766</v>
      </c>
      <c r="G111" s="4" t="s">
        <v>767</v>
      </c>
      <c r="H111" s="4" t="s">
        <v>768</v>
      </c>
      <c r="I111" s="4" t="s">
        <v>26</v>
      </c>
      <c r="J111" s="2" t="s">
        <v>769</v>
      </c>
      <c r="K111" s="5" t="s">
        <v>770</v>
      </c>
    </row>
    <row r="112" spans="1:11" ht="225" x14ac:dyDescent="0.25">
      <c r="A112" s="8" t="s">
        <v>11</v>
      </c>
      <c r="B112" s="8">
        <v>1</v>
      </c>
      <c r="C112" s="2" t="s">
        <v>11</v>
      </c>
      <c r="D112" s="2" t="s">
        <v>771</v>
      </c>
      <c r="E112" s="2" t="s">
        <v>772</v>
      </c>
      <c r="F112" s="2" t="s">
        <v>773</v>
      </c>
      <c r="G112" s="4" t="s">
        <v>774</v>
      </c>
      <c r="H112" s="4" t="s">
        <v>775</v>
      </c>
      <c r="I112" s="4" t="s">
        <v>42</v>
      </c>
      <c r="J112" s="2" t="s">
        <v>776</v>
      </c>
      <c r="K112" s="5" t="s">
        <v>777</v>
      </c>
    </row>
    <row r="113" spans="1:11" ht="240" x14ac:dyDescent="0.25">
      <c r="A113" s="2"/>
      <c r="B113" s="8" t="s">
        <v>52</v>
      </c>
      <c r="C113" s="2" t="s">
        <v>20</v>
      </c>
      <c r="D113" s="2" t="s">
        <v>778</v>
      </c>
      <c r="E113" s="2" t="s">
        <v>779</v>
      </c>
      <c r="F113" s="4" t="s">
        <v>780</v>
      </c>
      <c r="G113" s="4" t="s">
        <v>781</v>
      </c>
      <c r="H113" s="4" t="s">
        <v>782</v>
      </c>
      <c r="I113" s="4" t="s">
        <v>26</v>
      </c>
      <c r="J113" s="2" t="s">
        <v>783</v>
      </c>
      <c r="K113" s="5" t="s">
        <v>784</v>
      </c>
    </row>
    <row r="114" spans="1:11" ht="315" x14ac:dyDescent="0.25">
      <c r="A114" s="8" t="s">
        <v>11</v>
      </c>
      <c r="B114" s="8">
        <v>1</v>
      </c>
      <c r="C114" s="2" t="s">
        <v>11</v>
      </c>
      <c r="D114" s="2" t="s">
        <v>785</v>
      </c>
      <c r="E114" s="2" t="s">
        <v>786</v>
      </c>
      <c r="F114" s="4" t="s">
        <v>787</v>
      </c>
      <c r="G114" s="4" t="s">
        <v>788</v>
      </c>
      <c r="H114" s="4" t="s">
        <v>789</v>
      </c>
      <c r="I114" s="4" t="s">
        <v>26</v>
      </c>
      <c r="J114" s="2" t="s">
        <v>790</v>
      </c>
      <c r="K114" s="5" t="s">
        <v>791</v>
      </c>
    </row>
    <row r="115" spans="1:11" ht="300" x14ac:dyDescent="0.25">
      <c r="A115" s="8" t="s">
        <v>11</v>
      </c>
      <c r="B115" s="8">
        <v>1</v>
      </c>
      <c r="C115" s="2" t="s">
        <v>11</v>
      </c>
      <c r="D115" s="2" t="s">
        <v>792</v>
      </c>
      <c r="E115" s="2" t="s">
        <v>793</v>
      </c>
      <c r="F115" s="2" t="s">
        <v>794</v>
      </c>
      <c r="G115" s="4" t="s">
        <v>795</v>
      </c>
      <c r="H115" s="4" t="s">
        <v>796</v>
      </c>
      <c r="I115" s="4" t="s">
        <v>26</v>
      </c>
      <c r="J115" s="2" t="s">
        <v>797</v>
      </c>
      <c r="K115" s="5" t="s">
        <v>798</v>
      </c>
    </row>
    <row r="116" spans="1:11" ht="90" x14ac:dyDescent="0.25">
      <c r="A116" s="8" t="s">
        <v>11</v>
      </c>
      <c r="B116" s="8">
        <v>3</v>
      </c>
      <c r="C116" s="8" t="s">
        <v>11</v>
      </c>
      <c r="D116" s="2" t="s">
        <v>799</v>
      </c>
      <c r="E116" s="2" t="s">
        <v>800</v>
      </c>
      <c r="F116" s="2" t="s">
        <v>801</v>
      </c>
      <c r="G116" s="4" t="s">
        <v>802</v>
      </c>
      <c r="H116" s="4" t="s">
        <v>803</v>
      </c>
      <c r="J116" s="2" t="s">
        <v>804</v>
      </c>
      <c r="K116" s="13" t="s">
        <v>805</v>
      </c>
    </row>
    <row r="117" spans="1:11" ht="75" x14ac:dyDescent="0.25">
      <c r="A117" s="8" t="s">
        <v>11</v>
      </c>
      <c r="B117" s="8">
        <v>3</v>
      </c>
      <c r="C117" s="8" t="s">
        <v>11</v>
      </c>
      <c r="D117" s="2" t="s">
        <v>806</v>
      </c>
      <c r="E117" s="2" t="s">
        <v>807</v>
      </c>
      <c r="F117" s="2" t="s">
        <v>808</v>
      </c>
      <c r="G117" s="4" t="s">
        <v>809</v>
      </c>
      <c r="H117" s="4" t="s">
        <v>810</v>
      </c>
      <c r="I117" s="4" t="s">
        <v>42</v>
      </c>
      <c r="J117" s="2" t="s">
        <v>811</v>
      </c>
      <c r="K117" s="13" t="s">
        <v>812</v>
      </c>
    </row>
    <row r="118" spans="1:11" ht="150" x14ac:dyDescent="0.25">
      <c r="A118" s="2"/>
      <c r="B118" s="8" t="s">
        <v>19</v>
      </c>
      <c r="C118" s="2" t="s">
        <v>20</v>
      </c>
      <c r="D118" s="2" t="s">
        <v>813</v>
      </c>
      <c r="E118" s="2" t="s">
        <v>814</v>
      </c>
      <c r="F118" s="4" t="s">
        <v>815</v>
      </c>
      <c r="G118" s="4" t="s">
        <v>816</v>
      </c>
      <c r="H118" s="4" t="s">
        <v>817</v>
      </c>
      <c r="I118" s="4" t="s">
        <v>42</v>
      </c>
      <c r="J118" s="2" t="s">
        <v>818</v>
      </c>
      <c r="K118" s="5" t="s">
        <v>819</v>
      </c>
    </row>
    <row r="119" spans="1:11" ht="225" x14ac:dyDescent="0.25">
      <c r="A119" s="2"/>
      <c r="B119" s="8" t="s">
        <v>19</v>
      </c>
      <c r="C119" s="2" t="s">
        <v>20</v>
      </c>
      <c r="D119" s="2" t="s">
        <v>820</v>
      </c>
      <c r="E119" s="2" t="s">
        <v>821</v>
      </c>
      <c r="F119" s="4" t="s">
        <v>822</v>
      </c>
      <c r="G119" s="4" t="s">
        <v>823</v>
      </c>
      <c r="H119" s="4" t="s">
        <v>824</v>
      </c>
      <c r="I119" s="4" t="s">
        <v>42</v>
      </c>
      <c r="J119" s="2" t="s">
        <v>825</v>
      </c>
      <c r="K119" s="5" t="s">
        <v>826</v>
      </c>
    </row>
    <row r="120" spans="1:11" ht="240" x14ac:dyDescent="0.25">
      <c r="A120" s="8" t="s">
        <v>11</v>
      </c>
      <c r="B120" s="8">
        <v>3</v>
      </c>
      <c r="C120" s="8" t="s">
        <v>11</v>
      </c>
      <c r="D120" s="2" t="s">
        <v>827</v>
      </c>
      <c r="E120" s="2" t="s">
        <v>828</v>
      </c>
      <c r="F120" s="4" t="s">
        <v>829</v>
      </c>
      <c r="G120" s="4" t="s">
        <v>830</v>
      </c>
      <c r="H120" s="4" t="s">
        <v>831</v>
      </c>
      <c r="I120" s="4" t="s">
        <v>26</v>
      </c>
      <c r="J120" s="2" t="s">
        <v>832</v>
      </c>
      <c r="K120" s="44" t="s">
        <v>833</v>
      </c>
    </row>
    <row r="121" spans="1:11" ht="135" x14ac:dyDescent="0.25">
      <c r="A121" s="2"/>
      <c r="B121" s="8" t="s">
        <v>19</v>
      </c>
      <c r="C121" s="2" t="s">
        <v>20</v>
      </c>
      <c r="D121" s="2" t="s">
        <v>834</v>
      </c>
      <c r="E121" s="2" t="s">
        <v>835</v>
      </c>
      <c r="F121" s="4" t="s">
        <v>836</v>
      </c>
      <c r="G121" s="4" t="s">
        <v>837</v>
      </c>
      <c r="H121" s="4" t="s">
        <v>838</v>
      </c>
      <c r="I121" s="4" t="s">
        <v>42</v>
      </c>
      <c r="J121" s="2" t="s">
        <v>839</v>
      </c>
      <c r="K121" s="5" t="s">
        <v>840</v>
      </c>
    </row>
    <row r="122" spans="1:11" ht="405" x14ac:dyDescent="0.25">
      <c r="A122" s="2"/>
      <c r="B122" s="8" t="s">
        <v>52</v>
      </c>
      <c r="C122" s="2" t="s">
        <v>20</v>
      </c>
      <c r="D122" s="2" t="s">
        <v>841</v>
      </c>
      <c r="E122" s="2" t="s">
        <v>842</v>
      </c>
      <c r="F122" s="4" t="s">
        <v>843</v>
      </c>
      <c r="G122" s="4" t="s">
        <v>844</v>
      </c>
      <c r="H122" s="4" t="s">
        <v>845</v>
      </c>
      <c r="I122" s="4" t="s">
        <v>42</v>
      </c>
      <c r="J122" s="2" t="s">
        <v>846</v>
      </c>
      <c r="K122" s="5" t="s">
        <v>847</v>
      </c>
    </row>
    <row r="123" spans="1:11" ht="135" x14ac:dyDescent="0.25">
      <c r="A123" s="8" t="s">
        <v>11</v>
      </c>
      <c r="B123" s="8">
        <v>1</v>
      </c>
      <c r="C123" s="2" t="s">
        <v>11</v>
      </c>
      <c r="D123" s="2" t="s">
        <v>848</v>
      </c>
      <c r="E123" s="2" t="s">
        <v>849</v>
      </c>
      <c r="F123" s="4" t="s">
        <v>850</v>
      </c>
      <c r="G123" s="4" t="s">
        <v>851</v>
      </c>
      <c r="H123" s="4" t="s">
        <v>852</v>
      </c>
      <c r="I123" s="4" t="s">
        <v>42</v>
      </c>
      <c r="J123" s="2" t="s">
        <v>853</v>
      </c>
      <c r="K123" s="5" t="s">
        <v>854</v>
      </c>
    </row>
    <row r="124" spans="1:11" ht="150" x14ac:dyDescent="0.25">
      <c r="A124" s="2"/>
      <c r="B124" s="8" t="s">
        <v>19</v>
      </c>
      <c r="C124" s="2" t="s">
        <v>20</v>
      </c>
      <c r="D124" s="2" t="s">
        <v>855</v>
      </c>
      <c r="E124" s="2" t="s">
        <v>856</v>
      </c>
      <c r="F124" s="4" t="s">
        <v>857</v>
      </c>
      <c r="G124" s="4" t="s">
        <v>858</v>
      </c>
      <c r="H124" s="4" t="s">
        <v>859</v>
      </c>
      <c r="I124" s="4" t="s">
        <v>42</v>
      </c>
      <c r="J124" s="2" t="s">
        <v>860</v>
      </c>
      <c r="K124" s="5" t="s">
        <v>861</v>
      </c>
    </row>
    <row r="125" spans="1:11" ht="225" x14ac:dyDescent="0.25">
      <c r="A125" s="8" t="s">
        <v>11</v>
      </c>
      <c r="B125" s="8">
        <v>2</v>
      </c>
      <c r="C125" s="8" t="s">
        <v>11</v>
      </c>
      <c r="D125" s="2" t="s">
        <v>862</v>
      </c>
      <c r="E125" s="2" t="s">
        <v>863</v>
      </c>
      <c r="F125" s="4" t="s">
        <v>864</v>
      </c>
      <c r="G125" s="4" t="s">
        <v>865</v>
      </c>
      <c r="H125" s="4" t="s">
        <v>866</v>
      </c>
      <c r="I125" s="4" t="s">
        <v>26</v>
      </c>
      <c r="J125" s="2" t="s">
        <v>867</v>
      </c>
      <c r="K125" s="13" t="s">
        <v>868</v>
      </c>
    </row>
    <row r="126" spans="1:11" ht="180" x14ac:dyDescent="0.25">
      <c r="A126" s="2"/>
      <c r="B126" s="8" t="s">
        <v>100</v>
      </c>
      <c r="C126" s="2" t="s">
        <v>20</v>
      </c>
      <c r="D126" s="2" t="s">
        <v>869</v>
      </c>
      <c r="E126" s="2" t="s">
        <v>870</v>
      </c>
      <c r="F126" s="4" t="s">
        <v>871</v>
      </c>
      <c r="G126" s="4" t="s">
        <v>872</v>
      </c>
      <c r="H126" s="4" t="s">
        <v>873</v>
      </c>
      <c r="I126" s="4" t="s">
        <v>26</v>
      </c>
      <c r="J126" s="2" t="s">
        <v>874</v>
      </c>
      <c r="K126" s="5" t="s">
        <v>875</v>
      </c>
    </row>
    <row r="127" spans="1:11" ht="135" x14ac:dyDescent="0.25">
      <c r="A127" s="2"/>
      <c r="B127" s="8" t="s">
        <v>29</v>
      </c>
      <c r="C127" s="2" t="s">
        <v>20</v>
      </c>
      <c r="D127" s="2" t="s">
        <v>876</v>
      </c>
      <c r="E127" s="2" t="s">
        <v>877</v>
      </c>
      <c r="F127" s="4" t="s">
        <v>878</v>
      </c>
      <c r="G127" s="4" t="s">
        <v>879</v>
      </c>
      <c r="H127" s="4" t="s">
        <v>880</v>
      </c>
      <c r="I127" s="4" t="s">
        <v>42</v>
      </c>
      <c r="J127" s="2" t="s">
        <v>881</v>
      </c>
      <c r="K127" s="5" t="s">
        <v>882</v>
      </c>
    </row>
    <row r="128" spans="1:11" ht="180" x14ac:dyDescent="0.25">
      <c r="A128" s="2"/>
      <c r="B128" s="8" t="s">
        <v>19</v>
      </c>
      <c r="C128" s="2" t="s">
        <v>20</v>
      </c>
      <c r="D128" s="2" t="s">
        <v>883</v>
      </c>
      <c r="E128" s="2" t="s">
        <v>884</v>
      </c>
      <c r="F128" s="4" t="s">
        <v>885</v>
      </c>
      <c r="G128" s="4" t="s">
        <v>886</v>
      </c>
      <c r="H128" s="4" t="s">
        <v>887</v>
      </c>
      <c r="I128" s="4" t="s">
        <v>42</v>
      </c>
      <c r="J128" s="2" t="s">
        <v>888</v>
      </c>
      <c r="K128" s="5" t="s">
        <v>889</v>
      </c>
    </row>
    <row r="129" spans="1:11" ht="195" x14ac:dyDescent="0.25">
      <c r="A129" s="2"/>
      <c r="B129" s="8" t="s">
        <v>100</v>
      </c>
      <c r="C129" s="2" t="s">
        <v>20</v>
      </c>
      <c r="D129" s="2" t="s">
        <v>890</v>
      </c>
      <c r="E129" s="2" t="s">
        <v>891</v>
      </c>
      <c r="F129" s="4" t="s">
        <v>892</v>
      </c>
      <c r="G129" s="4" t="s">
        <v>893</v>
      </c>
      <c r="H129" s="4" t="s">
        <v>894</v>
      </c>
      <c r="I129" s="4" t="s">
        <v>26</v>
      </c>
      <c r="J129" s="2" t="s">
        <v>895</v>
      </c>
      <c r="K129" s="5" t="s">
        <v>896</v>
      </c>
    </row>
    <row r="130" spans="1:11" ht="225" x14ac:dyDescent="0.25">
      <c r="A130" s="8" t="s">
        <v>11</v>
      </c>
      <c r="B130" s="8">
        <v>3</v>
      </c>
      <c r="C130" s="8" t="s">
        <v>11</v>
      </c>
      <c r="D130" s="2" t="s">
        <v>897</v>
      </c>
      <c r="E130" s="2" t="s">
        <v>898</v>
      </c>
      <c r="F130" s="4" t="s">
        <v>899</v>
      </c>
      <c r="G130" s="4" t="s">
        <v>900</v>
      </c>
      <c r="H130" s="4" t="s">
        <v>901</v>
      </c>
      <c r="I130" s="4" t="s">
        <v>26</v>
      </c>
      <c r="J130" s="2" t="s">
        <v>902</v>
      </c>
      <c r="K130" s="13" t="s">
        <v>903</v>
      </c>
    </row>
    <row r="131" spans="1:11" ht="195" x14ac:dyDescent="0.25">
      <c r="A131" s="8" t="s">
        <v>11</v>
      </c>
      <c r="B131" s="8">
        <v>3</v>
      </c>
      <c r="C131" s="2" t="s">
        <v>11</v>
      </c>
      <c r="D131" s="2" t="s">
        <v>904</v>
      </c>
      <c r="E131" s="2" t="s">
        <v>905</v>
      </c>
      <c r="F131" s="4" t="s">
        <v>906</v>
      </c>
      <c r="G131" s="4" t="s">
        <v>907</v>
      </c>
      <c r="H131" s="4" t="s">
        <v>908</v>
      </c>
      <c r="I131" s="4" t="s">
        <v>42</v>
      </c>
      <c r="J131" s="2" t="s">
        <v>909</v>
      </c>
      <c r="K131" s="5" t="s">
        <v>910</v>
      </c>
    </row>
    <row r="132" spans="1:11" ht="255" x14ac:dyDescent="0.25">
      <c r="A132" s="2"/>
      <c r="B132" s="8" t="s">
        <v>52</v>
      </c>
      <c r="C132" s="2" t="s">
        <v>20</v>
      </c>
      <c r="D132" s="2" t="s">
        <v>911</v>
      </c>
      <c r="E132" s="2" t="s">
        <v>912</v>
      </c>
      <c r="F132" s="4" t="s">
        <v>913</v>
      </c>
      <c r="G132" s="4" t="s">
        <v>914</v>
      </c>
      <c r="H132" s="4" t="s">
        <v>915</v>
      </c>
      <c r="I132" s="4" t="s">
        <v>42</v>
      </c>
      <c r="J132" s="2" t="s">
        <v>916</v>
      </c>
      <c r="K132" s="5" t="s">
        <v>917</v>
      </c>
    </row>
    <row r="133" spans="1:11" ht="165" x14ac:dyDescent="0.25">
      <c r="A133" s="2"/>
      <c r="B133" s="8" t="s">
        <v>29</v>
      </c>
      <c r="C133" s="2" t="s">
        <v>20</v>
      </c>
      <c r="D133" s="2" t="s">
        <v>918</v>
      </c>
      <c r="E133" s="2" t="s">
        <v>919</v>
      </c>
      <c r="F133" s="4" t="s">
        <v>920</v>
      </c>
      <c r="G133" s="4" t="s">
        <v>921</v>
      </c>
      <c r="H133" s="4" t="s">
        <v>922</v>
      </c>
      <c r="I133" s="4" t="s">
        <v>42</v>
      </c>
      <c r="J133" s="2" t="s">
        <v>923</v>
      </c>
      <c r="K133" s="5" t="s">
        <v>924</v>
      </c>
    </row>
    <row r="134" spans="1:11" ht="150" x14ac:dyDescent="0.25">
      <c r="A134" s="2"/>
      <c r="B134" s="8" t="s">
        <v>100</v>
      </c>
      <c r="C134" s="2" t="s">
        <v>20</v>
      </c>
      <c r="D134" s="2" t="s">
        <v>925</v>
      </c>
      <c r="E134" s="2" t="s">
        <v>926</v>
      </c>
      <c r="F134" s="4" t="s">
        <v>927</v>
      </c>
      <c r="G134" s="4" t="s">
        <v>928</v>
      </c>
      <c r="H134" s="4" t="s">
        <v>929</v>
      </c>
      <c r="I134" s="4" t="s">
        <v>42</v>
      </c>
      <c r="J134" s="2" t="s">
        <v>930</v>
      </c>
      <c r="K134" s="5" t="s">
        <v>931</v>
      </c>
    </row>
    <row r="135" spans="1:11" ht="409.5" x14ac:dyDescent="0.25">
      <c r="A135" s="2"/>
      <c r="B135" s="8" t="s">
        <v>52</v>
      </c>
      <c r="C135" s="2" t="s">
        <v>20</v>
      </c>
      <c r="D135" s="2" t="s">
        <v>932</v>
      </c>
      <c r="E135" s="2" t="s">
        <v>933</v>
      </c>
      <c r="F135" s="4" t="s">
        <v>934</v>
      </c>
      <c r="G135" s="4" t="s">
        <v>935</v>
      </c>
      <c r="H135" s="4" t="s">
        <v>936</v>
      </c>
      <c r="I135" s="4" t="s">
        <v>42</v>
      </c>
      <c r="J135" s="2" t="s">
        <v>937</v>
      </c>
      <c r="K135" s="5" t="s">
        <v>938</v>
      </c>
    </row>
    <row r="136" spans="1:11" ht="300" x14ac:dyDescent="0.25">
      <c r="A136" s="8" t="s">
        <v>11</v>
      </c>
      <c r="B136" s="8">
        <v>2</v>
      </c>
      <c r="C136" s="2" t="s">
        <v>11</v>
      </c>
      <c r="D136" s="2" t="s">
        <v>939</v>
      </c>
      <c r="E136" s="2" t="s">
        <v>940</v>
      </c>
      <c r="F136" s="4" t="s">
        <v>941</v>
      </c>
      <c r="G136" s="4" t="s">
        <v>942</v>
      </c>
      <c r="H136" s="4" t="s">
        <v>943</v>
      </c>
      <c r="I136" s="4" t="s">
        <v>26</v>
      </c>
      <c r="J136" s="2" t="s">
        <v>944</v>
      </c>
      <c r="K136" s="5" t="s">
        <v>945</v>
      </c>
    </row>
    <row r="137" spans="1:11" ht="285" x14ac:dyDescent="0.25">
      <c r="A137" s="8" t="s">
        <v>11</v>
      </c>
      <c r="B137" s="8">
        <v>3</v>
      </c>
      <c r="C137" s="8" t="s">
        <v>11</v>
      </c>
      <c r="D137" s="2" t="s">
        <v>946</v>
      </c>
      <c r="E137" s="2" t="s">
        <v>947</v>
      </c>
      <c r="F137" s="4" t="s">
        <v>948</v>
      </c>
      <c r="G137" s="4" t="s">
        <v>949</v>
      </c>
      <c r="H137" s="4" t="s">
        <v>950</v>
      </c>
      <c r="I137" s="4" t="s">
        <v>42</v>
      </c>
      <c r="J137" s="2" t="s">
        <v>951</v>
      </c>
      <c r="K137" s="13" t="s">
        <v>952</v>
      </c>
    </row>
    <row r="138" spans="1:11" ht="120" x14ac:dyDescent="0.25">
      <c r="A138" s="8" t="s">
        <v>11</v>
      </c>
      <c r="B138" s="8">
        <v>1</v>
      </c>
      <c r="C138" s="2" t="s">
        <v>11</v>
      </c>
      <c r="D138" s="2" t="s">
        <v>953</v>
      </c>
      <c r="E138" s="2" t="s">
        <v>954</v>
      </c>
      <c r="F138" s="4" t="s">
        <v>955</v>
      </c>
      <c r="G138" s="4" t="s">
        <v>956</v>
      </c>
      <c r="H138" s="4" t="s">
        <v>957</v>
      </c>
      <c r="I138" s="4" t="s">
        <v>42</v>
      </c>
      <c r="J138" s="2" t="s">
        <v>958</v>
      </c>
      <c r="K138" s="5" t="s">
        <v>959</v>
      </c>
    </row>
    <row r="139" spans="1:11" ht="210" x14ac:dyDescent="0.25">
      <c r="A139" s="8" t="s">
        <v>11</v>
      </c>
      <c r="B139" s="8">
        <v>1</v>
      </c>
      <c r="C139" s="2" t="s">
        <v>11</v>
      </c>
      <c r="D139" s="2" t="s">
        <v>960</v>
      </c>
      <c r="E139" s="2" t="s">
        <v>961</v>
      </c>
      <c r="F139" s="4" t="s">
        <v>962</v>
      </c>
      <c r="G139" s="4" t="s">
        <v>963</v>
      </c>
      <c r="H139" s="4" t="s">
        <v>964</v>
      </c>
      <c r="I139" s="4" t="s">
        <v>26</v>
      </c>
      <c r="J139" s="2" t="s">
        <v>965</v>
      </c>
      <c r="K139" s="5" t="s">
        <v>966</v>
      </c>
    </row>
    <row r="140" spans="1:11" ht="255" x14ac:dyDescent="0.25">
      <c r="A140" s="8" t="s">
        <v>11</v>
      </c>
      <c r="B140" s="8">
        <v>2</v>
      </c>
      <c r="C140" s="8" t="s">
        <v>11</v>
      </c>
      <c r="D140" s="2" t="s">
        <v>967</v>
      </c>
      <c r="E140" s="2" t="s">
        <v>968</v>
      </c>
      <c r="F140" s="4" t="s">
        <v>969</v>
      </c>
      <c r="G140" s="4" t="s">
        <v>970</v>
      </c>
      <c r="H140" s="4" t="s">
        <v>971</v>
      </c>
      <c r="I140" s="4" t="s">
        <v>42</v>
      </c>
      <c r="J140" s="2" t="s">
        <v>972</v>
      </c>
      <c r="K140" s="13" t="s">
        <v>973</v>
      </c>
    </row>
    <row r="141" spans="1:11" ht="210" x14ac:dyDescent="0.25">
      <c r="A141" s="2"/>
      <c r="B141" s="8" t="s">
        <v>19</v>
      </c>
      <c r="C141" s="2" t="s">
        <v>20</v>
      </c>
      <c r="D141" s="2" t="s">
        <v>974</v>
      </c>
      <c r="E141" s="2" t="s">
        <v>975</v>
      </c>
      <c r="F141" s="4" t="s">
        <v>976</v>
      </c>
      <c r="G141" s="4" t="s">
        <v>977</v>
      </c>
      <c r="H141" s="4" t="s">
        <v>978</v>
      </c>
      <c r="I141" s="4" t="s">
        <v>42</v>
      </c>
      <c r="J141" s="2" t="s">
        <v>979</v>
      </c>
      <c r="K141" s="5" t="s">
        <v>980</v>
      </c>
    </row>
    <row r="142" spans="1:11" ht="195" x14ac:dyDescent="0.25">
      <c r="A142" s="8" t="s">
        <v>11</v>
      </c>
      <c r="B142" s="8">
        <v>1</v>
      </c>
      <c r="C142" s="2" t="s">
        <v>11</v>
      </c>
      <c r="D142" s="2" t="s">
        <v>981</v>
      </c>
      <c r="E142" s="2" t="s">
        <v>982</v>
      </c>
      <c r="F142" s="4" t="s">
        <v>983</v>
      </c>
      <c r="G142" s="4" t="s">
        <v>984</v>
      </c>
      <c r="H142" s="4" t="s">
        <v>985</v>
      </c>
      <c r="I142" s="4" t="s">
        <v>42</v>
      </c>
      <c r="J142" s="2" t="s">
        <v>986</v>
      </c>
      <c r="K142" s="5" t="s">
        <v>987</v>
      </c>
    </row>
    <row r="143" spans="1:11" ht="180" x14ac:dyDescent="0.25">
      <c r="A143" s="2"/>
      <c r="B143" s="8" t="s">
        <v>19</v>
      </c>
      <c r="C143" s="2" t="s">
        <v>20</v>
      </c>
      <c r="D143" s="2" t="s">
        <v>988</v>
      </c>
      <c r="E143" s="2" t="s">
        <v>989</v>
      </c>
      <c r="F143" s="4" t="s">
        <v>990</v>
      </c>
      <c r="G143" s="4" t="s">
        <v>991</v>
      </c>
      <c r="H143" s="4" t="s">
        <v>992</v>
      </c>
      <c r="I143" s="4" t="s">
        <v>42</v>
      </c>
      <c r="J143" s="2" t="s">
        <v>993</v>
      </c>
      <c r="K143" s="5" t="s">
        <v>994</v>
      </c>
    </row>
    <row r="144" spans="1:11" ht="90" x14ac:dyDescent="0.25">
      <c r="B144" s="8" t="s">
        <v>74</v>
      </c>
      <c r="C144" s="2" t="s">
        <v>20</v>
      </c>
      <c r="D144" s="2" t="s">
        <v>995</v>
      </c>
      <c r="F144" s="4" t="s">
        <v>996</v>
      </c>
      <c r="G144" s="4" t="s">
        <v>997</v>
      </c>
      <c r="I144" s="4" t="s">
        <v>42</v>
      </c>
      <c r="K144" s="5" t="s">
        <v>998</v>
      </c>
    </row>
    <row r="145" spans="1:11" ht="210" x14ac:dyDescent="0.25">
      <c r="A145" s="2"/>
      <c r="B145" s="8" t="s">
        <v>19</v>
      </c>
      <c r="C145" s="2" t="s">
        <v>20</v>
      </c>
      <c r="D145" s="2" t="s">
        <v>999</v>
      </c>
      <c r="E145" s="2" t="s">
        <v>786</v>
      </c>
      <c r="F145" s="4" t="s">
        <v>1000</v>
      </c>
      <c r="G145" s="4" t="s">
        <v>1001</v>
      </c>
      <c r="H145" s="4" t="s">
        <v>1002</v>
      </c>
      <c r="I145" s="4" t="s">
        <v>42</v>
      </c>
      <c r="J145" s="2" t="s">
        <v>1003</v>
      </c>
      <c r="K145" s="5" t="s">
        <v>1004</v>
      </c>
    </row>
    <row r="146" spans="1:11" ht="225" x14ac:dyDescent="0.25">
      <c r="A146" s="8" t="s">
        <v>11</v>
      </c>
      <c r="B146" s="8">
        <v>3</v>
      </c>
      <c r="C146" s="8" t="s">
        <v>11</v>
      </c>
      <c r="D146" s="2" t="s">
        <v>1005</v>
      </c>
      <c r="E146" s="2" t="s">
        <v>1006</v>
      </c>
      <c r="F146" s="4" t="s">
        <v>1007</v>
      </c>
      <c r="G146" s="4" t="s">
        <v>1008</v>
      </c>
      <c r="H146" s="4" t="s">
        <v>1009</v>
      </c>
      <c r="I146" s="4" t="s">
        <v>26</v>
      </c>
      <c r="J146" s="2" t="s">
        <v>1010</v>
      </c>
      <c r="K146" s="13" t="s">
        <v>1011</v>
      </c>
    </row>
    <row r="147" spans="1:11" ht="195" x14ac:dyDescent="0.25">
      <c r="A147" s="8" t="s">
        <v>11</v>
      </c>
      <c r="B147" s="8">
        <v>3</v>
      </c>
      <c r="C147" s="2" t="s">
        <v>11</v>
      </c>
      <c r="D147" s="2" t="s">
        <v>1012</v>
      </c>
      <c r="E147" s="2" t="s">
        <v>1013</v>
      </c>
      <c r="F147" s="4" t="s">
        <v>1014</v>
      </c>
      <c r="G147" s="4" t="s">
        <v>1015</v>
      </c>
      <c r="H147" s="4" t="s">
        <v>1016</v>
      </c>
      <c r="I147" s="4" t="s">
        <v>26</v>
      </c>
      <c r="J147" s="2" t="s">
        <v>1017</v>
      </c>
      <c r="K147" s="5" t="s">
        <v>1018</v>
      </c>
    </row>
    <row r="148" spans="1:11" ht="195" x14ac:dyDescent="0.25">
      <c r="A148" s="2"/>
      <c r="B148" s="8" t="s">
        <v>19</v>
      </c>
      <c r="C148" s="2" t="s">
        <v>20</v>
      </c>
      <c r="D148" s="2" t="s">
        <v>1019</v>
      </c>
      <c r="E148" s="2" t="s">
        <v>1020</v>
      </c>
      <c r="F148" s="4" t="s">
        <v>1021</v>
      </c>
      <c r="G148" s="4" t="s">
        <v>1022</v>
      </c>
      <c r="H148" s="4" t="s">
        <v>1023</v>
      </c>
      <c r="I148" s="4" t="s">
        <v>26</v>
      </c>
      <c r="J148" s="2" t="s">
        <v>1024</v>
      </c>
      <c r="K148" s="5" t="s">
        <v>1025</v>
      </c>
    </row>
    <row r="149" spans="1:11" ht="120" x14ac:dyDescent="0.25">
      <c r="A149" s="2"/>
      <c r="B149" s="8" t="s">
        <v>52</v>
      </c>
      <c r="C149" s="2" t="s">
        <v>20</v>
      </c>
      <c r="D149" s="2" t="s">
        <v>1026</v>
      </c>
      <c r="E149" s="2" t="s">
        <v>1027</v>
      </c>
      <c r="F149" s="4" t="s">
        <v>1028</v>
      </c>
      <c r="G149" s="4" t="s">
        <v>1029</v>
      </c>
      <c r="H149" s="4" t="s">
        <v>1030</v>
      </c>
      <c r="I149" s="4" t="s">
        <v>42</v>
      </c>
      <c r="J149" s="2" t="s">
        <v>1031</v>
      </c>
      <c r="K149" s="5" t="s">
        <v>1032</v>
      </c>
    </row>
    <row r="150" spans="1:11" ht="285" x14ac:dyDescent="0.25">
      <c r="A150" s="8" t="s">
        <v>11</v>
      </c>
      <c r="B150" s="8">
        <v>2</v>
      </c>
      <c r="C150" s="8" t="s">
        <v>11</v>
      </c>
      <c r="D150" s="2" t="s">
        <v>1033</v>
      </c>
      <c r="E150" s="2" t="s">
        <v>1034</v>
      </c>
      <c r="F150" s="4" t="s">
        <v>1035</v>
      </c>
      <c r="G150" s="4" t="s">
        <v>1036</v>
      </c>
      <c r="H150" s="4" t="s">
        <v>1037</v>
      </c>
      <c r="I150" s="4" t="s">
        <v>26</v>
      </c>
      <c r="J150" s="2" t="s">
        <v>1038</v>
      </c>
      <c r="K150" s="13" t="s">
        <v>1039</v>
      </c>
    </row>
    <row r="151" spans="1:11" ht="225" x14ac:dyDescent="0.25">
      <c r="A151" s="2"/>
      <c r="B151" s="8" t="s">
        <v>100</v>
      </c>
      <c r="C151" s="2" t="s">
        <v>20</v>
      </c>
      <c r="D151" s="2" t="s">
        <v>1040</v>
      </c>
      <c r="E151" s="2" t="s">
        <v>1041</v>
      </c>
      <c r="F151" s="4" t="s">
        <v>1042</v>
      </c>
      <c r="G151" s="4" t="s">
        <v>1043</v>
      </c>
      <c r="H151" s="4" t="s">
        <v>1044</v>
      </c>
      <c r="I151" s="4" t="s">
        <v>42</v>
      </c>
      <c r="J151" s="2" t="s">
        <v>1045</v>
      </c>
      <c r="K151" s="5" t="s">
        <v>1046</v>
      </c>
    </row>
    <row r="152" spans="1:11" ht="135" x14ac:dyDescent="0.25">
      <c r="A152" s="2"/>
      <c r="B152" s="8" t="s">
        <v>52</v>
      </c>
      <c r="C152" s="2" t="s">
        <v>20</v>
      </c>
      <c r="D152" s="2" t="s">
        <v>1047</v>
      </c>
      <c r="E152" s="2" t="s">
        <v>1048</v>
      </c>
      <c r="F152" s="4" t="s">
        <v>1049</v>
      </c>
      <c r="G152" s="4" t="s">
        <v>1050</v>
      </c>
      <c r="H152" s="4" t="s">
        <v>1051</v>
      </c>
      <c r="I152" s="4" t="s">
        <v>42</v>
      </c>
      <c r="K152" s="5" t="s">
        <v>1052</v>
      </c>
    </row>
    <row r="153" spans="1:11" ht="180" x14ac:dyDescent="0.25">
      <c r="A153" s="8" t="s">
        <v>11</v>
      </c>
      <c r="B153" s="8">
        <v>2</v>
      </c>
      <c r="C153" s="8" t="s">
        <v>11</v>
      </c>
      <c r="D153" s="2" t="s">
        <v>1053</v>
      </c>
      <c r="E153" s="2" t="s">
        <v>1054</v>
      </c>
      <c r="F153" s="4" t="s">
        <v>1055</v>
      </c>
      <c r="G153" s="4" t="s">
        <v>1056</v>
      </c>
      <c r="H153" s="4" t="s">
        <v>1057</v>
      </c>
      <c r="I153" s="4" t="s">
        <v>42</v>
      </c>
      <c r="K153" s="13" t="s">
        <v>1058</v>
      </c>
    </row>
    <row r="154" spans="1:11" ht="165" x14ac:dyDescent="0.25">
      <c r="A154" s="2"/>
      <c r="B154" s="8" t="s">
        <v>52</v>
      </c>
      <c r="C154" s="2" t="s">
        <v>20</v>
      </c>
      <c r="D154" s="2" t="s">
        <v>1059</v>
      </c>
      <c r="E154" s="2" t="s">
        <v>1060</v>
      </c>
      <c r="F154" s="4" t="s">
        <v>1061</v>
      </c>
      <c r="G154" s="4" t="s">
        <v>1062</v>
      </c>
      <c r="H154" s="4" t="s">
        <v>1063</v>
      </c>
      <c r="I154" s="4" t="s">
        <v>42</v>
      </c>
      <c r="J154" s="2" t="s">
        <v>1064</v>
      </c>
      <c r="K154" s="5" t="s">
        <v>1065</v>
      </c>
    </row>
    <row r="155" spans="1:11" ht="150" x14ac:dyDescent="0.25">
      <c r="A155" s="8" t="s">
        <v>11</v>
      </c>
      <c r="B155" s="8">
        <v>1</v>
      </c>
      <c r="C155" s="2" t="s">
        <v>11</v>
      </c>
      <c r="D155" s="2" t="s">
        <v>1066</v>
      </c>
      <c r="E155" s="2" t="s">
        <v>1067</v>
      </c>
      <c r="F155" s="4" t="s">
        <v>1068</v>
      </c>
      <c r="G155" s="4" t="s">
        <v>1069</v>
      </c>
      <c r="H155" s="4" t="s">
        <v>1070</v>
      </c>
      <c r="I155" s="4" t="s">
        <v>42</v>
      </c>
      <c r="J155" s="2" t="s">
        <v>1071</v>
      </c>
      <c r="K155" s="5" t="s">
        <v>1072</v>
      </c>
    </row>
    <row r="156" spans="1:11" ht="135" x14ac:dyDescent="0.25">
      <c r="A156" s="2"/>
      <c r="B156" s="8" t="s">
        <v>52</v>
      </c>
      <c r="C156" s="2" t="s">
        <v>20</v>
      </c>
      <c r="D156" s="2" t="s">
        <v>1073</v>
      </c>
      <c r="E156" s="2" t="s">
        <v>1074</v>
      </c>
      <c r="F156" s="4" t="s">
        <v>1075</v>
      </c>
      <c r="G156" s="4" t="s">
        <v>1076</v>
      </c>
      <c r="H156" s="4" t="s">
        <v>1077</v>
      </c>
      <c r="I156" s="4" t="s">
        <v>42</v>
      </c>
      <c r="J156" s="2" t="s">
        <v>1078</v>
      </c>
      <c r="K156" s="5" t="s">
        <v>1079</v>
      </c>
    </row>
    <row r="157" spans="1:11" ht="180" x14ac:dyDescent="0.25">
      <c r="A157" s="8" t="s">
        <v>20</v>
      </c>
      <c r="B157" s="8">
        <v>1</v>
      </c>
      <c r="C157" s="2" t="s">
        <v>11</v>
      </c>
      <c r="D157" s="2" t="s">
        <v>1080</v>
      </c>
      <c r="E157" s="2" t="s">
        <v>1081</v>
      </c>
      <c r="F157" s="4" t="s">
        <v>1082</v>
      </c>
      <c r="G157" s="4" t="s">
        <v>1083</v>
      </c>
      <c r="H157" s="4" t="s">
        <v>1084</v>
      </c>
      <c r="I157" s="4" t="s">
        <v>26</v>
      </c>
      <c r="J157" s="2" t="s">
        <v>1085</v>
      </c>
      <c r="K157" s="5" t="s">
        <v>1086</v>
      </c>
    </row>
    <row r="158" spans="1:11" ht="150" x14ac:dyDescent="0.25">
      <c r="A158" s="8" t="s">
        <v>1087</v>
      </c>
      <c r="B158" s="8">
        <v>1</v>
      </c>
      <c r="C158" s="2" t="s">
        <v>11</v>
      </c>
      <c r="D158" s="2" t="s">
        <v>1088</v>
      </c>
      <c r="E158" s="2" t="s">
        <v>1089</v>
      </c>
      <c r="F158" s="4" t="s">
        <v>1090</v>
      </c>
      <c r="G158" s="4" t="s">
        <v>1091</v>
      </c>
      <c r="I158" s="4" t="s">
        <v>702</v>
      </c>
      <c r="J158" s="2" t="s">
        <v>1092</v>
      </c>
      <c r="K158" s="5" t="s">
        <v>1093</v>
      </c>
    </row>
    <row r="159" spans="1:11" ht="180" x14ac:dyDescent="0.25">
      <c r="A159" s="2"/>
      <c r="B159" s="8" t="s">
        <v>19</v>
      </c>
      <c r="C159" s="2" t="s">
        <v>20</v>
      </c>
      <c r="D159" s="2" t="s">
        <v>1094</v>
      </c>
      <c r="E159" s="2" t="s">
        <v>1095</v>
      </c>
      <c r="F159" s="4" t="s">
        <v>1096</v>
      </c>
      <c r="G159" s="4" t="s">
        <v>1097</v>
      </c>
      <c r="H159" s="4" t="s">
        <v>1098</v>
      </c>
      <c r="I159" s="4" t="s">
        <v>26</v>
      </c>
      <c r="J159" s="2" t="s">
        <v>1099</v>
      </c>
      <c r="K159" s="5" t="s">
        <v>1100</v>
      </c>
    </row>
    <row r="160" spans="1:11" ht="150" x14ac:dyDescent="0.25">
      <c r="A160" s="2"/>
      <c r="B160" s="8" t="s">
        <v>19</v>
      </c>
      <c r="C160" s="2" t="s">
        <v>20</v>
      </c>
      <c r="D160" s="2" t="s">
        <v>1101</v>
      </c>
      <c r="E160" s="2" t="s">
        <v>1102</v>
      </c>
      <c r="F160" s="4" t="s">
        <v>1103</v>
      </c>
      <c r="G160" s="4" t="s">
        <v>1104</v>
      </c>
      <c r="H160" s="4" t="s">
        <v>1105</v>
      </c>
      <c r="I160" s="4" t="s">
        <v>42</v>
      </c>
      <c r="J160" s="2" t="s">
        <v>1106</v>
      </c>
      <c r="K160" s="5" t="s">
        <v>1107</v>
      </c>
    </row>
    <row r="161" spans="1:11" ht="210" x14ac:dyDescent="0.25">
      <c r="A161" s="2"/>
      <c r="B161" s="8" t="s">
        <v>100</v>
      </c>
      <c r="C161" s="2" t="s">
        <v>20</v>
      </c>
      <c r="D161" s="2" t="s">
        <v>1108</v>
      </c>
      <c r="E161" s="2" t="s">
        <v>1109</v>
      </c>
      <c r="F161" s="4" t="s">
        <v>1110</v>
      </c>
      <c r="G161" s="4" t="s">
        <v>1111</v>
      </c>
      <c r="H161" s="4" t="s">
        <v>1112</v>
      </c>
      <c r="I161" s="4" t="s">
        <v>42</v>
      </c>
      <c r="J161" s="2" t="s">
        <v>1113</v>
      </c>
      <c r="K161" s="5" t="s">
        <v>1114</v>
      </c>
    </row>
    <row r="162" spans="1:11" ht="150" x14ac:dyDescent="0.25">
      <c r="A162" s="8" t="s">
        <v>11</v>
      </c>
      <c r="B162" s="8">
        <v>1</v>
      </c>
      <c r="C162" s="2" t="s">
        <v>11</v>
      </c>
      <c r="D162" s="2" t="s">
        <v>1115</v>
      </c>
      <c r="E162" s="2" t="s">
        <v>1116</v>
      </c>
      <c r="F162" s="4" t="s">
        <v>1117</v>
      </c>
      <c r="G162" s="4" t="s">
        <v>1118</v>
      </c>
      <c r="H162" s="4" t="s">
        <v>1119</v>
      </c>
      <c r="I162" s="4" t="s">
        <v>702</v>
      </c>
      <c r="J162" s="2" t="s">
        <v>1120</v>
      </c>
      <c r="K162" s="5" t="s">
        <v>1121</v>
      </c>
    </row>
    <row r="163" spans="1:11" ht="180" x14ac:dyDescent="0.25">
      <c r="A163" s="8" t="s">
        <v>11</v>
      </c>
      <c r="B163" s="8">
        <v>1</v>
      </c>
      <c r="C163" s="2" t="s">
        <v>11</v>
      </c>
      <c r="D163" s="2" t="s">
        <v>1122</v>
      </c>
      <c r="E163" s="2" t="s">
        <v>1123</v>
      </c>
      <c r="F163" s="4" t="s">
        <v>1124</v>
      </c>
      <c r="G163" s="4" t="s">
        <v>1125</v>
      </c>
      <c r="H163" s="4" t="s">
        <v>1126</v>
      </c>
      <c r="I163" s="4" t="s">
        <v>26</v>
      </c>
      <c r="J163" s="2" t="s">
        <v>1127</v>
      </c>
      <c r="K163" s="5" t="s">
        <v>1128</v>
      </c>
    </row>
    <row r="164" spans="1:11" ht="345" x14ac:dyDescent="0.25">
      <c r="A164" s="2"/>
      <c r="B164" s="8" t="s">
        <v>100</v>
      </c>
      <c r="C164" s="2" t="s">
        <v>20</v>
      </c>
      <c r="D164" s="2" t="s">
        <v>1129</v>
      </c>
      <c r="E164" s="2" t="s">
        <v>1130</v>
      </c>
      <c r="F164" s="4" t="s">
        <v>1131</v>
      </c>
      <c r="G164" s="4" t="s">
        <v>1132</v>
      </c>
      <c r="H164" s="4" t="s">
        <v>1133</v>
      </c>
      <c r="I164" s="4" t="s">
        <v>26</v>
      </c>
      <c r="J164" s="2" t="s">
        <v>1134</v>
      </c>
      <c r="K164" s="5" t="s">
        <v>1135</v>
      </c>
    </row>
    <row r="165" spans="1:11" ht="195" x14ac:dyDescent="0.25">
      <c r="A165" s="8" t="s">
        <v>11</v>
      </c>
      <c r="B165" s="8">
        <v>1</v>
      </c>
      <c r="C165" s="2" t="s">
        <v>11</v>
      </c>
      <c r="D165" s="2" t="s">
        <v>1136</v>
      </c>
      <c r="E165" s="2" t="s">
        <v>1137</v>
      </c>
      <c r="F165" s="4" t="s">
        <v>1138</v>
      </c>
      <c r="G165" s="4" t="s">
        <v>1139</v>
      </c>
      <c r="H165" s="4" t="s">
        <v>1140</v>
      </c>
      <c r="I165" s="4" t="s">
        <v>42</v>
      </c>
      <c r="J165" s="2" t="s">
        <v>1141</v>
      </c>
      <c r="K165" s="5" t="s">
        <v>1142</v>
      </c>
    </row>
    <row r="166" spans="1:11" ht="180" x14ac:dyDescent="0.25">
      <c r="A166" s="2"/>
      <c r="B166" s="8" t="s">
        <v>100</v>
      </c>
      <c r="C166" s="2" t="s">
        <v>20</v>
      </c>
      <c r="D166" s="2" t="s">
        <v>1143</v>
      </c>
      <c r="E166" s="2" t="s">
        <v>1144</v>
      </c>
      <c r="F166" s="4" t="s">
        <v>1145</v>
      </c>
      <c r="G166" s="4" t="s">
        <v>1146</v>
      </c>
      <c r="H166" s="4" t="s">
        <v>1147</v>
      </c>
      <c r="I166" s="4" t="s">
        <v>26</v>
      </c>
      <c r="J166" s="2" t="s">
        <v>1148</v>
      </c>
      <c r="K166" s="5" t="s">
        <v>1149</v>
      </c>
    </row>
    <row r="167" spans="1:11" ht="165" x14ac:dyDescent="0.25">
      <c r="A167" s="2"/>
      <c r="B167" s="8" t="s">
        <v>19</v>
      </c>
      <c r="C167" s="2" t="s">
        <v>20</v>
      </c>
      <c r="D167" s="2" t="s">
        <v>1150</v>
      </c>
      <c r="E167" s="2" t="s">
        <v>1151</v>
      </c>
      <c r="F167" s="4" t="s">
        <v>1152</v>
      </c>
      <c r="G167" s="4" t="s">
        <v>1153</v>
      </c>
      <c r="H167" s="4" t="s">
        <v>1154</v>
      </c>
      <c r="I167" s="4" t="s">
        <v>26</v>
      </c>
      <c r="J167" s="2" t="s">
        <v>1155</v>
      </c>
      <c r="K167" s="5" t="s">
        <v>1156</v>
      </c>
    </row>
    <row r="168" spans="1:11" ht="195" x14ac:dyDescent="0.25">
      <c r="A168" s="2"/>
      <c r="B168" s="8" t="s">
        <v>52</v>
      </c>
      <c r="C168" s="2" t="s">
        <v>20</v>
      </c>
      <c r="D168" s="2" t="s">
        <v>1157</v>
      </c>
      <c r="E168" s="2" t="s">
        <v>1158</v>
      </c>
      <c r="F168" s="4" t="s">
        <v>1159</v>
      </c>
      <c r="G168" s="4" t="s">
        <v>1160</v>
      </c>
      <c r="H168" s="4" t="s">
        <v>1161</v>
      </c>
      <c r="I168" s="4" t="s">
        <v>42</v>
      </c>
      <c r="J168" s="2" t="s">
        <v>1162</v>
      </c>
      <c r="K168" s="5" t="s">
        <v>1163</v>
      </c>
    </row>
    <row r="169" spans="1:11" ht="255" x14ac:dyDescent="0.25">
      <c r="A169" s="8" t="s">
        <v>11</v>
      </c>
      <c r="B169" s="8">
        <v>3</v>
      </c>
      <c r="C169" s="2" t="s">
        <v>11</v>
      </c>
      <c r="D169" s="2" t="s">
        <v>1164</v>
      </c>
      <c r="E169" s="2" t="s">
        <v>1165</v>
      </c>
      <c r="F169" s="4" t="s">
        <v>1166</v>
      </c>
      <c r="G169" s="4" t="s">
        <v>1167</v>
      </c>
      <c r="H169" s="4" t="s">
        <v>1168</v>
      </c>
      <c r="I169" s="4" t="s">
        <v>26</v>
      </c>
      <c r="J169" s="2" t="s">
        <v>1169</v>
      </c>
      <c r="K169" s="5" t="s">
        <v>1170</v>
      </c>
    </row>
    <row r="170" spans="1:11" ht="210" x14ac:dyDescent="0.25">
      <c r="A170" s="2"/>
      <c r="B170" s="8" t="s">
        <v>19</v>
      </c>
      <c r="C170" s="2" t="s">
        <v>20</v>
      </c>
      <c r="D170" s="2" t="s">
        <v>1171</v>
      </c>
      <c r="E170" s="2" t="s">
        <v>1172</v>
      </c>
      <c r="F170" s="4" t="s">
        <v>1173</v>
      </c>
      <c r="G170" s="4" t="s">
        <v>1174</v>
      </c>
      <c r="H170" s="4" t="s">
        <v>1175</v>
      </c>
      <c r="I170" s="4" t="s">
        <v>26</v>
      </c>
      <c r="J170" s="2" t="s">
        <v>1176</v>
      </c>
      <c r="K170" s="5" t="s">
        <v>1177</v>
      </c>
    </row>
    <row r="171" spans="1:11" ht="150" x14ac:dyDescent="0.25">
      <c r="A171" s="8" t="s">
        <v>11</v>
      </c>
      <c r="B171" s="8">
        <v>1</v>
      </c>
      <c r="C171" s="2" t="s">
        <v>11</v>
      </c>
      <c r="D171" s="2" t="s">
        <v>1178</v>
      </c>
      <c r="E171" s="2" t="s">
        <v>1179</v>
      </c>
      <c r="F171" s="4" t="s">
        <v>1180</v>
      </c>
      <c r="G171" s="4" t="s">
        <v>1181</v>
      </c>
      <c r="H171" s="4" t="s">
        <v>1182</v>
      </c>
      <c r="I171" s="4" t="s">
        <v>42</v>
      </c>
      <c r="J171" s="2" t="s">
        <v>1183</v>
      </c>
      <c r="K171" s="5" t="s">
        <v>1184</v>
      </c>
    </row>
    <row r="172" spans="1:11" ht="180" x14ac:dyDescent="0.25">
      <c r="A172" s="8" t="s">
        <v>11</v>
      </c>
      <c r="B172" s="8">
        <v>2</v>
      </c>
      <c r="C172" s="8" t="s">
        <v>11</v>
      </c>
      <c r="D172" s="2" t="s">
        <v>1185</v>
      </c>
      <c r="E172" s="2" t="s">
        <v>1186</v>
      </c>
      <c r="F172" s="4" t="s">
        <v>1187</v>
      </c>
      <c r="G172" s="4" t="s">
        <v>1188</v>
      </c>
      <c r="H172" s="4" t="s">
        <v>1189</v>
      </c>
      <c r="I172" s="4" t="s">
        <v>702</v>
      </c>
      <c r="J172" s="2" t="s">
        <v>1190</v>
      </c>
      <c r="K172" s="13" t="s">
        <v>1191</v>
      </c>
    </row>
    <row r="173" spans="1:11" ht="150" x14ac:dyDescent="0.25">
      <c r="A173" s="2"/>
      <c r="B173" s="8" t="s">
        <v>100</v>
      </c>
      <c r="C173" s="2" t="s">
        <v>20</v>
      </c>
      <c r="D173" s="2" t="s">
        <v>1192</v>
      </c>
      <c r="E173" s="2" t="s">
        <v>1193</v>
      </c>
      <c r="F173" s="4" t="s">
        <v>1194</v>
      </c>
      <c r="G173" s="4" t="s">
        <v>1195</v>
      </c>
      <c r="H173" s="4" t="s">
        <v>1196</v>
      </c>
      <c r="I173" s="4" t="s">
        <v>42</v>
      </c>
      <c r="J173" s="2" t="s">
        <v>1197</v>
      </c>
      <c r="K173" s="5" t="s">
        <v>1198</v>
      </c>
    </row>
    <row r="174" spans="1:11" ht="120" x14ac:dyDescent="0.25">
      <c r="A174" s="8" t="s">
        <v>11</v>
      </c>
      <c r="B174" s="8">
        <v>2</v>
      </c>
      <c r="C174" s="8" t="s">
        <v>11</v>
      </c>
      <c r="D174" s="2" t="s">
        <v>1199</v>
      </c>
      <c r="E174" s="2" t="s">
        <v>1200</v>
      </c>
      <c r="F174" s="4" t="s">
        <v>1201</v>
      </c>
      <c r="G174" s="4" t="s">
        <v>1202</v>
      </c>
      <c r="H174" s="4" t="s">
        <v>1203</v>
      </c>
      <c r="I174" s="4" t="s">
        <v>42</v>
      </c>
      <c r="J174" s="2" t="s">
        <v>1204</v>
      </c>
      <c r="K174" s="13" t="s">
        <v>1205</v>
      </c>
    </row>
    <row r="175" spans="1:11" ht="180" x14ac:dyDescent="0.25">
      <c r="A175" s="2"/>
      <c r="B175" s="8" t="s">
        <v>19</v>
      </c>
      <c r="C175" s="2" t="s">
        <v>20</v>
      </c>
      <c r="D175" s="2" t="s">
        <v>1206</v>
      </c>
      <c r="E175" s="2" t="s">
        <v>1207</v>
      </c>
      <c r="F175" s="4" t="s">
        <v>1208</v>
      </c>
      <c r="G175" s="4" t="s">
        <v>1209</v>
      </c>
      <c r="H175" s="4" t="s">
        <v>1210</v>
      </c>
      <c r="I175" s="4" t="s">
        <v>42</v>
      </c>
      <c r="J175" s="2" t="s">
        <v>1211</v>
      </c>
      <c r="K175" s="5" t="s">
        <v>1212</v>
      </c>
    </row>
    <row r="176" spans="1:11" ht="285" x14ac:dyDescent="0.25">
      <c r="A176" s="2"/>
      <c r="B176" s="8" t="s">
        <v>52</v>
      </c>
      <c r="C176" s="2" t="s">
        <v>20</v>
      </c>
      <c r="D176" s="2" t="s">
        <v>1213</v>
      </c>
      <c r="E176" s="2" t="s">
        <v>1214</v>
      </c>
      <c r="F176" s="4" t="s">
        <v>1215</v>
      </c>
      <c r="G176" s="4" t="s">
        <v>1216</v>
      </c>
      <c r="H176" s="4" t="s">
        <v>1217</v>
      </c>
      <c r="I176" s="4" t="s">
        <v>26</v>
      </c>
      <c r="J176" s="2" t="s">
        <v>1218</v>
      </c>
      <c r="K176" s="5" t="s">
        <v>1219</v>
      </c>
    </row>
    <row r="177" spans="1:11" ht="225" x14ac:dyDescent="0.25">
      <c r="A177" s="2"/>
      <c r="B177" s="8" t="s">
        <v>19</v>
      </c>
      <c r="C177" s="2" t="s">
        <v>20</v>
      </c>
      <c r="D177" s="2" t="s">
        <v>1220</v>
      </c>
      <c r="E177" s="2" t="s">
        <v>1221</v>
      </c>
      <c r="F177" s="4" t="s">
        <v>1222</v>
      </c>
      <c r="G177" s="4" t="s">
        <v>1223</v>
      </c>
      <c r="H177" s="4" t="s">
        <v>1224</v>
      </c>
      <c r="I177" s="4" t="s">
        <v>26</v>
      </c>
      <c r="J177" s="2" t="s">
        <v>1225</v>
      </c>
      <c r="K177" s="5" t="s">
        <v>1226</v>
      </c>
    </row>
    <row r="178" spans="1:11" ht="135" x14ac:dyDescent="0.25">
      <c r="A178" s="8" t="s">
        <v>11</v>
      </c>
      <c r="B178" s="8">
        <v>1</v>
      </c>
      <c r="C178" s="2" t="s">
        <v>11</v>
      </c>
      <c r="D178" s="2" t="s">
        <v>1227</v>
      </c>
      <c r="E178" s="2" t="s">
        <v>1228</v>
      </c>
      <c r="F178" s="4" t="s">
        <v>1229</v>
      </c>
      <c r="G178" s="4" t="s">
        <v>1230</v>
      </c>
      <c r="H178" s="4" t="s">
        <v>1231</v>
      </c>
      <c r="I178" s="4" t="s">
        <v>26</v>
      </c>
      <c r="J178" s="2" t="s">
        <v>1232</v>
      </c>
      <c r="K178" s="5" t="s">
        <v>1233</v>
      </c>
    </row>
    <row r="179" spans="1:11" ht="210" x14ac:dyDescent="0.25">
      <c r="A179" s="8" t="s">
        <v>11</v>
      </c>
      <c r="B179" s="8">
        <v>2</v>
      </c>
      <c r="C179" s="8" t="s">
        <v>11</v>
      </c>
      <c r="D179" s="2" t="s">
        <v>1234</v>
      </c>
      <c r="E179" s="2" t="s">
        <v>1235</v>
      </c>
      <c r="F179" s="4" t="s">
        <v>1236</v>
      </c>
      <c r="G179" s="4" t="s">
        <v>1237</v>
      </c>
      <c r="H179" s="4" t="s">
        <v>1238</v>
      </c>
      <c r="I179" s="4" t="s">
        <v>42</v>
      </c>
      <c r="J179" s="2" t="s">
        <v>1239</v>
      </c>
      <c r="K179" s="13" t="s">
        <v>1240</v>
      </c>
    </row>
    <row r="180" spans="1:11" ht="195" x14ac:dyDescent="0.25">
      <c r="A180" s="8" t="s">
        <v>11</v>
      </c>
      <c r="B180" s="8">
        <v>1</v>
      </c>
      <c r="C180" s="2" t="s">
        <v>11</v>
      </c>
      <c r="D180" s="2" t="s">
        <v>1241</v>
      </c>
      <c r="E180" s="2" t="s">
        <v>1242</v>
      </c>
      <c r="F180" s="4" t="s">
        <v>1243</v>
      </c>
      <c r="G180" s="4" t="s">
        <v>1244</v>
      </c>
      <c r="H180" s="4" t="s">
        <v>1245</v>
      </c>
      <c r="I180" s="4" t="s">
        <v>26</v>
      </c>
      <c r="J180" s="2" t="s">
        <v>1246</v>
      </c>
      <c r="K180" s="45" t="s">
        <v>1247</v>
      </c>
    </row>
    <row r="181" spans="1:11" ht="135" x14ac:dyDescent="0.25">
      <c r="A181" s="8" t="s">
        <v>11</v>
      </c>
      <c r="B181" s="8">
        <v>2</v>
      </c>
      <c r="C181" s="9" t="s">
        <v>11</v>
      </c>
      <c r="D181" s="4" t="s">
        <v>1248</v>
      </c>
      <c r="E181" s="4" t="s">
        <v>1249</v>
      </c>
      <c r="F181" s="4" t="s">
        <v>1250</v>
      </c>
      <c r="G181" s="4" t="s">
        <v>1251</v>
      </c>
      <c r="I181" s="4" t="s">
        <v>702</v>
      </c>
      <c r="J181" s="2" t="s">
        <v>1252</v>
      </c>
      <c r="K181" s="44" t="s">
        <v>1253</v>
      </c>
    </row>
    <row r="182" spans="1:11" ht="195" x14ac:dyDescent="0.25">
      <c r="A182" s="2"/>
      <c r="B182" s="8" t="s">
        <v>19</v>
      </c>
      <c r="C182" s="2" t="s">
        <v>20</v>
      </c>
      <c r="D182" s="2" t="s">
        <v>1254</v>
      </c>
      <c r="E182" s="2" t="s">
        <v>1255</v>
      </c>
      <c r="F182" s="4" t="s">
        <v>1256</v>
      </c>
      <c r="G182" s="4" t="s">
        <v>1257</v>
      </c>
      <c r="H182" s="4" t="s">
        <v>1258</v>
      </c>
      <c r="I182" s="4" t="s">
        <v>42</v>
      </c>
      <c r="J182" s="2" t="s">
        <v>1259</v>
      </c>
      <c r="K182" s="5" t="s">
        <v>1260</v>
      </c>
    </row>
    <row r="183" spans="1:11" ht="195" x14ac:dyDescent="0.25">
      <c r="A183" s="8" t="s">
        <v>11</v>
      </c>
      <c r="B183" s="8">
        <v>1</v>
      </c>
      <c r="C183" s="2" t="s">
        <v>11</v>
      </c>
      <c r="D183" s="2" t="s">
        <v>1261</v>
      </c>
      <c r="E183" s="2" t="s">
        <v>1262</v>
      </c>
      <c r="F183" s="4" t="s">
        <v>1263</v>
      </c>
      <c r="G183" s="4" t="s">
        <v>1264</v>
      </c>
      <c r="H183" s="4" t="s">
        <v>1265</v>
      </c>
      <c r="I183" s="4" t="s">
        <v>26</v>
      </c>
      <c r="J183" s="2" t="s">
        <v>1266</v>
      </c>
      <c r="K183" s="5" t="s">
        <v>1267</v>
      </c>
    </row>
    <row r="184" spans="1:11" ht="195" x14ac:dyDescent="0.25">
      <c r="A184" s="2"/>
      <c r="B184" s="8" t="s">
        <v>19</v>
      </c>
      <c r="C184" s="2" t="s">
        <v>20</v>
      </c>
      <c r="D184" s="2" t="s">
        <v>1268</v>
      </c>
      <c r="E184" s="2" t="s">
        <v>1269</v>
      </c>
      <c r="F184" s="4" t="s">
        <v>1270</v>
      </c>
      <c r="G184" s="4" t="s">
        <v>1271</v>
      </c>
      <c r="H184" s="4" t="s">
        <v>1272</v>
      </c>
      <c r="I184" s="4" t="s">
        <v>26</v>
      </c>
      <c r="J184" s="2" t="s">
        <v>1273</v>
      </c>
      <c r="K184" s="5" t="s">
        <v>1274</v>
      </c>
    </row>
    <row r="185" spans="1:11" ht="270" x14ac:dyDescent="0.25">
      <c r="A185" s="2"/>
      <c r="B185" s="8" t="s">
        <v>100</v>
      </c>
      <c r="C185" s="2" t="s">
        <v>20</v>
      </c>
      <c r="D185" s="2" t="s">
        <v>1275</v>
      </c>
      <c r="E185" s="2" t="s">
        <v>1276</v>
      </c>
      <c r="F185" s="4" t="s">
        <v>1277</v>
      </c>
      <c r="G185" s="4" t="s">
        <v>1278</v>
      </c>
      <c r="H185" s="4" t="s">
        <v>1279</v>
      </c>
      <c r="I185" s="4" t="s">
        <v>26</v>
      </c>
      <c r="J185" s="2" t="s">
        <v>1280</v>
      </c>
      <c r="K185" s="5" t="s">
        <v>1281</v>
      </c>
    </row>
    <row r="186" spans="1:11" ht="270" x14ac:dyDescent="0.25">
      <c r="A186" s="2"/>
      <c r="B186" s="8" t="s">
        <v>100</v>
      </c>
      <c r="C186" s="2" t="s">
        <v>20</v>
      </c>
      <c r="D186" s="2" t="s">
        <v>1282</v>
      </c>
      <c r="E186" s="2" t="s">
        <v>1283</v>
      </c>
      <c r="F186" s="4" t="s">
        <v>1284</v>
      </c>
      <c r="G186" s="4" t="s">
        <v>1285</v>
      </c>
      <c r="H186" s="4" t="s">
        <v>1286</v>
      </c>
      <c r="I186" s="4" t="s">
        <v>42</v>
      </c>
      <c r="J186" s="2" t="s">
        <v>1287</v>
      </c>
      <c r="K186" s="5" t="s">
        <v>1288</v>
      </c>
    </row>
    <row r="187" spans="1:11" ht="210" x14ac:dyDescent="0.25">
      <c r="A187" s="8" t="s">
        <v>11</v>
      </c>
      <c r="B187" s="8">
        <v>1</v>
      </c>
      <c r="C187" s="2" t="s">
        <v>11</v>
      </c>
      <c r="D187" s="2" t="s">
        <v>1289</v>
      </c>
      <c r="E187" s="2" t="s">
        <v>1290</v>
      </c>
      <c r="F187" s="4" t="s">
        <v>1291</v>
      </c>
      <c r="G187" s="4" t="s">
        <v>1292</v>
      </c>
      <c r="H187" s="4" t="s">
        <v>1293</v>
      </c>
      <c r="I187" s="4" t="s">
        <v>42</v>
      </c>
      <c r="J187" s="2" t="s">
        <v>1294</v>
      </c>
      <c r="K187" s="5" t="s">
        <v>1295</v>
      </c>
    </row>
    <row r="188" spans="1:11" ht="270" x14ac:dyDescent="0.25">
      <c r="A188" s="8" t="s">
        <v>11</v>
      </c>
      <c r="B188" s="8">
        <v>1</v>
      </c>
      <c r="C188" s="2" t="s">
        <v>11</v>
      </c>
      <c r="D188" s="2" t="s">
        <v>1296</v>
      </c>
      <c r="E188" s="2" t="s">
        <v>1297</v>
      </c>
      <c r="F188" s="4" t="s">
        <v>1298</v>
      </c>
      <c r="G188" s="4" t="s">
        <v>1299</v>
      </c>
      <c r="H188" s="4" t="s">
        <v>1300</v>
      </c>
      <c r="I188" s="4" t="s">
        <v>42</v>
      </c>
      <c r="J188" s="2" t="s">
        <v>1301</v>
      </c>
      <c r="K188" s="5" t="s">
        <v>1302</v>
      </c>
    </row>
    <row r="189" spans="1:11" ht="240" x14ac:dyDescent="0.25">
      <c r="A189" s="2"/>
      <c r="B189" s="8" t="s">
        <v>29</v>
      </c>
      <c r="C189" s="2" t="s">
        <v>20</v>
      </c>
      <c r="D189" s="2" t="s">
        <v>1303</v>
      </c>
      <c r="E189" s="2" t="s">
        <v>1304</v>
      </c>
      <c r="F189" s="4" t="s">
        <v>1305</v>
      </c>
      <c r="G189" s="4" t="s">
        <v>1306</v>
      </c>
      <c r="H189" s="4" t="s">
        <v>1307</v>
      </c>
      <c r="I189" s="4" t="s">
        <v>42</v>
      </c>
      <c r="J189" s="2" t="s">
        <v>1308</v>
      </c>
      <c r="K189" s="5" t="s">
        <v>1309</v>
      </c>
    </row>
    <row r="190" spans="1:11" ht="135" x14ac:dyDescent="0.25">
      <c r="A190" s="2"/>
      <c r="B190" s="8" t="s">
        <v>100</v>
      </c>
      <c r="C190" s="2" t="s">
        <v>20</v>
      </c>
      <c r="D190" s="2" t="s">
        <v>1310</v>
      </c>
      <c r="E190" s="2" t="s">
        <v>1311</v>
      </c>
      <c r="F190" s="4" t="s">
        <v>1312</v>
      </c>
      <c r="G190" s="4" t="s">
        <v>1313</v>
      </c>
      <c r="H190" s="4" t="s">
        <v>1314</v>
      </c>
      <c r="I190" s="4" t="s">
        <v>42</v>
      </c>
      <c r="J190" s="2" t="s">
        <v>1315</v>
      </c>
      <c r="K190" s="5" t="s">
        <v>1316</v>
      </c>
    </row>
    <row r="191" spans="1:11" ht="225" x14ac:dyDescent="0.25">
      <c r="A191" s="2"/>
      <c r="B191" s="8" t="s">
        <v>19</v>
      </c>
      <c r="C191" s="2" t="s">
        <v>20</v>
      </c>
      <c r="D191" s="2" t="s">
        <v>1317</v>
      </c>
      <c r="E191" s="2" t="s">
        <v>1318</v>
      </c>
      <c r="F191" s="4" t="s">
        <v>1319</v>
      </c>
      <c r="G191" s="4" t="s">
        <v>1320</v>
      </c>
      <c r="H191" s="4" t="s">
        <v>1321</v>
      </c>
      <c r="I191" s="4" t="s">
        <v>26</v>
      </c>
      <c r="J191" s="2" t="s">
        <v>1322</v>
      </c>
      <c r="K191" s="5" t="s">
        <v>1323</v>
      </c>
    </row>
    <row r="192" spans="1:11" ht="150" x14ac:dyDescent="0.25">
      <c r="A192" s="2"/>
      <c r="B192" s="8" t="s">
        <v>29</v>
      </c>
      <c r="C192" s="2" t="s">
        <v>20</v>
      </c>
      <c r="D192" s="2" t="s">
        <v>1324</v>
      </c>
      <c r="E192" s="2" t="s">
        <v>1325</v>
      </c>
      <c r="F192" s="4" t="s">
        <v>1326</v>
      </c>
      <c r="G192" s="4" t="s">
        <v>1327</v>
      </c>
      <c r="H192" s="4" t="s">
        <v>1328</v>
      </c>
      <c r="I192" s="4" t="s">
        <v>42</v>
      </c>
      <c r="J192" s="2" t="s">
        <v>1329</v>
      </c>
      <c r="K192" s="5" t="s">
        <v>1330</v>
      </c>
    </row>
    <row r="193" spans="1:11" ht="300" x14ac:dyDescent="0.25">
      <c r="A193" s="2"/>
      <c r="B193" s="8" t="s">
        <v>100</v>
      </c>
      <c r="C193" s="2" t="s">
        <v>20</v>
      </c>
      <c r="D193" s="2" t="s">
        <v>1331</v>
      </c>
      <c r="E193" s="2" t="s">
        <v>1332</v>
      </c>
      <c r="F193" s="4" t="s">
        <v>1333</v>
      </c>
      <c r="G193" s="4" t="s">
        <v>1334</v>
      </c>
      <c r="H193" s="4" t="s">
        <v>1335</v>
      </c>
      <c r="I193" s="4" t="s">
        <v>26</v>
      </c>
      <c r="J193" s="2" t="s">
        <v>1336</v>
      </c>
      <c r="K193" s="5" t="s">
        <v>1337</v>
      </c>
    </row>
    <row r="194" spans="1:11" ht="135" x14ac:dyDescent="0.25">
      <c r="A194" s="2"/>
      <c r="B194" s="8" t="s">
        <v>19</v>
      </c>
      <c r="C194" s="2" t="s">
        <v>20</v>
      </c>
      <c r="D194" s="2" t="s">
        <v>1338</v>
      </c>
      <c r="E194" s="2" t="s">
        <v>1339</v>
      </c>
      <c r="F194" s="4" t="s">
        <v>1340</v>
      </c>
      <c r="G194" s="4" t="s">
        <v>1341</v>
      </c>
      <c r="H194" s="4" t="s">
        <v>1342</v>
      </c>
      <c r="I194" s="4" t="s">
        <v>42</v>
      </c>
      <c r="J194" s="2" t="s">
        <v>1343</v>
      </c>
      <c r="K194" s="5" t="s">
        <v>1344</v>
      </c>
    </row>
    <row r="195" spans="1:11" ht="195" x14ac:dyDescent="0.25">
      <c r="A195" s="2"/>
      <c r="B195" s="8" t="s">
        <v>19</v>
      </c>
      <c r="C195" s="2" t="s">
        <v>20</v>
      </c>
      <c r="D195" s="2" t="s">
        <v>1345</v>
      </c>
      <c r="E195" s="2" t="s">
        <v>1346</v>
      </c>
      <c r="F195" s="4" t="s">
        <v>1347</v>
      </c>
      <c r="G195" s="4" t="s">
        <v>1348</v>
      </c>
      <c r="H195" s="4" t="s">
        <v>1349</v>
      </c>
      <c r="I195" s="4" t="s">
        <v>26</v>
      </c>
      <c r="J195" s="2" t="s">
        <v>1350</v>
      </c>
      <c r="K195" s="5" t="s">
        <v>1351</v>
      </c>
    </row>
    <row r="196" spans="1:11" ht="195" x14ac:dyDescent="0.25">
      <c r="A196" s="8" t="s">
        <v>11</v>
      </c>
      <c r="B196" s="8">
        <v>2</v>
      </c>
      <c r="C196" s="8" t="s">
        <v>11</v>
      </c>
      <c r="D196" s="2" t="s">
        <v>1352</v>
      </c>
      <c r="E196" s="2" t="s">
        <v>1353</v>
      </c>
      <c r="F196" s="4" t="s">
        <v>1354</v>
      </c>
      <c r="G196" s="4" t="s">
        <v>1355</v>
      </c>
      <c r="H196" s="4" t="s">
        <v>1356</v>
      </c>
      <c r="I196" s="4" t="s">
        <v>702</v>
      </c>
      <c r="J196" s="2" t="s">
        <v>1357</v>
      </c>
      <c r="K196" s="13" t="s">
        <v>1358</v>
      </c>
    </row>
    <row r="197" spans="1:11" ht="300" x14ac:dyDescent="0.25">
      <c r="A197" s="8" t="s">
        <v>11</v>
      </c>
      <c r="B197" s="8">
        <v>3</v>
      </c>
      <c r="C197" s="2" t="s">
        <v>11</v>
      </c>
      <c r="D197" s="2" t="s">
        <v>1359</v>
      </c>
      <c r="E197" s="2" t="s">
        <v>1360</v>
      </c>
      <c r="F197" s="4" t="s">
        <v>1361</v>
      </c>
      <c r="G197" s="4" t="s">
        <v>1362</v>
      </c>
      <c r="H197" s="4" t="s">
        <v>1363</v>
      </c>
      <c r="I197" s="4" t="s">
        <v>26</v>
      </c>
      <c r="J197" s="2" t="s">
        <v>1364</v>
      </c>
      <c r="K197" s="13" t="s">
        <v>1365</v>
      </c>
    </row>
    <row r="198" spans="1:11" ht="240" x14ac:dyDescent="0.25">
      <c r="A198" s="2"/>
      <c r="B198" s="8" t="s">
        <v>19</v>
      </c>
      <c r="C198" s="2" t="s">
        <v>20</v>
      </c>
      <c r="D198" s="2" t="s">
        <v>1366</v>
      </c>
      <c r="E198" s="2" t="s">
        <v>1367</v>
      </c>
      <c r="F198" s="4" t="s">
        <v>1368</v>
      </c>
      <c r="G198" s="4" t="s">
        <v>1369</v>
      </c>
      <c r="H198" s="4" t="s">
        <v>1370</v>
      </c>
      <c r="I198" s="4" t="s">
        <v>26</v>
      </c>
      <c r="J198" s="2" t="s">
        <v>1371</v>
      </c>
      <c r="K198" s="5" t="s">
        <v>1372</v>
      </c>
    </row>
    <row r="199" spans="1:11" ht="195" x14ac:dyDescent="0.25">
      <c r="A199" s="2"/>
      <c r="B199" s="8" t="s">
        <v>19</v>
      </c>
      <c r="C199" s="2" t="s">
        <v>20</v>
      </c>
      <c r="D199" s="2" t="s">
        <v>1373</v>
      </c>
      <c r="E199" s="2" t="s">
        <v>1374</v>
      </c>
      <c r="F199" s="4" t="s">
        <v>1375</v>
      </c>
      <c r="G199" s="4" t="s">
        <v>1376</v>
      </c>
      <c r="H199" s="4" t="s">
        <v>1377</v>
      </c>
      <c r="I199" s="4" t="s">
        <v>26</v>
      </c>
      <c r="J199" s="2" t="s">
        <v>1378</v>
      </c>
      <c r="K199" s="5" t="s">
        <v>1379</v>
      </c>
    </row>
    <row r="200" spans="1:11" ht="225" x14ac:dyDescent="0.25">
      <c r="A200" s="2"/>
      <c r="B200" s="8" t="s">
        <v>52</v>
      </c>
      <c r="C200" s="2" t="s">
        <v>20</v>
      </c>
      <c r="D200" s="2" t="s">
        <v>1380</v>
      </c>
      <c r="E200" s="2" t="s">
        <v>1381</v>
      </c>
      <c r="F200" s="4" t="s">
        <v>1382</v>
      </c>
      <c r="G200" s="4" t="s">
        <v>1383</v>
      </c>
      <c r="H200" s="4" t="s">
        <v>1384</v>
      </c>
      <c r="I200" s="4" t="s">
        <v>26</v>
      </c>
      <c r="J200" s="2" t="s">
        <v>1385</v>
      </c>
      <c r="K200" s="5" t="s">
        <v>1386</v>
      </c>
    </row>
    <row r="201" spans="1:11" ht="270" x14ac:dyDescent="0.25">
      <c r="A201" s="2"/>
      <c r="B201" s="8" t="s">
        <v>74</v>
      </c>
      <c r="C201" s="2" t="s">
        <v>20</v>
      </c>
      <c r="D201" s="2" t="s">
        <v>1387</v>
      </c>
      <c r="F201" s="4" t="s">
        <v>1388</v>
      </c>
      <c r="G201" s="4" t="s">
        <v>1389</v>
      </c>
      <c r="I201" s="4" t="s">
        <v>26</v>
      </c>
      <c r="K201" s="5" t="s">
        <v>1390</v>
      </c>
    </row>
    <row r="202" spans="1:11" ht="210" x14ac:dyDescent="0.25">
      <c r="A202" s="2"/>
      <c r="B202" s="8" t="s">
        <v>19</v>
      </c>
      <c r="C202" s="2" t="s">
        <v>20</v>
      </c>
      <c r="D202" s="2" t="s">
        <v>1391</v>
      </c>
      <c r="E202" s="2" t="s">
        <v>1392</v>
      </c>
      <c r="F202" s="4" t="s">
        <v>1393</v>
      </c>
      <c r="G202" s="4" t="s">
        <v>1394</v>
      </c>
      <c r="H202" s="4" t="s">
        <v>1395</v>
      </c>
      <c r="I202" s="4" t="s">
        <v>42</v>
      </c>
      <c r="J202" s="2" t="s">
        <v>1396</v>
      </c>
      <c r="K202" s="5" t="s">
        <v>1397</v>
      </c>
    </row>
    <row r="203" spans="1:11" ht="210" x14ac:dyDescent="0.25">
      <c r="A203" s="2"/>
      <c r="B203" s="8" t="s">
        <v>1398</v>
      </c>
      <c r="C203" s="2" t="s">
        <v>20</v>
      </c>
      <c r="D203" s="2" t="s">
        <v>1399</v>
      </c>
      <c r="E203" s="2" t="s">
        <v>1400</v>
      </c>
      <c r="F203" s="4" t="s">
        <v>1401</v>
      </c>
      <c r="G203" s="4" t="s">
        <v>1402</v>
      </c>
      <c r="H203" s="4" t="s">
        <v>1403</v>
      </c>
      <c r="I203" s="4" t="s">
        <v>26</v>
      </c>
      <c r="J203" s="2" t="s">
        <v>1404</v>
      </c>
      <c r="K203" s="5" t="s">
        <v>1405</v>
      </c>
    </row>
    <row r="204" spans="1:11" ht="120" x14ac:dyDescent="0.25">
      <c r="A204" s="2"/>
      <c r="B204" s="8" t="s">
        <v>19</v>
      </c>
      <c r="C204" s="2" t="s">
        <v>20</v>
      </c>
      <c r="D204" s="2" t="s">
        <v>1406</v>
      </c>
      <c r="E204" s="2" t="s">
        <v>1407</v>
      </c>
      <c r="F204" s="4" t="s">
        <v>1408</v>
      </c>
      <c r="G204" s="4" t="s">
        <v>1409</v>
      </c>
      <c r="H204" s="4" t="s">
        <v>1410</v>
      </c>
      <c r="I204" s="4" t="s">
        <v>42</v>
      </c>
      <c r="J204" s="2" t="s">
        <v>1411</v>
      </c>
      <c r="K204" s="5" t="s">
        <v>1412</v>
      </c>
    </row>
    <row r="205" spans="1:11" ht="135" x14ac:dyDescent="0.25">
      <c r="A205" s="2"/>
      <c r="B205" s="8" t="s">
        <v>100</v>
      </c>
      <c r="C205" s="2" t="s">
        <v>20</v>
      </c>
      <c r="D205" s="2" t="s">
        <v>1413</v>
      </c>
      <c r="E205" s="2" t="s">
        <v>1414</v>
      </c>
      <c r="F205" s="4" t="s">
        <v>1415</v>
      </c>
      <c r="G205" s="4" t="s">
        <v>1416</v>
      </c>
      <c r="H205" s="4" t="s">
        <v>1417</v>
      </c>
      <c r="I205" s="4" t="s">
        <v>42</v>
      </c>
      <c r="J205" s="2" t="s">
        <v>1418</v>
      </c>
      <c r="K205" s="5" t="s">
        <v>1419</v>
      </c>
    </row>
    <row r="206" spans="1:11" ht="240" x14ac:dyDescent="0.25">
      <c r="A206" s="8" t="s">
        <v>11</v>
      </c>
      <c r="B206" s="8">
        <v>1</v>
      </c>
      <c r="C206" s="2" t="s">
        <v>11</v>
      </c>
      <c r="D206" s="2" t="s">
        <v>1420</v>
      </c>
      <c r="E206" s="2" t="s">
        <v>1421</v>
      </c>
      <c r="F206" s="4" t="s">
        <v>1422</v>
      </c>
      <c r="G206" s="4" t="s">
        <v>1423</v>
      </c>
      <c r="H206" s="4" t="s">
        <v>1424</v>
      </c>
      <c r="I206" s="4" t="s">
        <v>42</v>
      </c>
      <c r="J206" s="2" t="s">
        <v>1425</v>
      </c>
      <c r="K206" s="5" t="s">
        <v>1426</v>
      </c>
    </row>
    <row r="207" spans="1:11" ht="150" x14ac:dyDescent="0.25">
      <c r="A207" s="8" t="s">
        <v>11</v>
      </c>
      <c r="B207" s="8">
        <v>3</v>
      </c>
      <c r="C207" s="8" t="s">
        <v>11</v>
      </c>
      <c r="D207" s="2" t="s">
        <v>1427</v>
      </c>
      <c r="E207" s="2" t="s">
        <v>1428</v>
      </c>
      <c r="F207" s="4" t="s">
        <v>1429</v>
      </c>
      <c r="G207" s="4" t="s">
        <v>1430</v>
      </c>
      <c r="H207" s="4" t="s">
        <v>1431</v>
      </c>
      <c r="I207" s="4" t="s">
        <v>26</v>
      </c>
      <c r="J207" s="2" t="s">
        <v>1432</v>
      </c>
      <c r="K207" s="13" t="s">
        <v>1433</v>
      </c>
    </row>
    <row r="208" spans="1:11" ht="135" x14ac:dyDescent="0.25">
      <c r="A208" s="8" t="s">
        <v>11</v>
      </c>
      <c r="B208" s="8">
        <v>1</v>
      </c>
      <c r="C208" s="2" t="s">
        <v>11</v>
      </c>
      <c r="D208" s="2" t="s">
        <v>1434</v>
      </c>
      <c r="E208" s="2" t="s">
        <v>1435</v>
      </c>
      <c r="F208" s="4" t="s">
        <v>1436</v>
      </c>
      <c r="G208" s="4" t="s">
        <v>1437</v>
      </c>
      <c r="H208" s="4" t="s">
        <v>1438</v>
      </c>
      <c r="I208" s="4" t="s">
        <v>42</v>
      </c>
      <c r="J208" s="2" t="s">
        <v>1439</v>
      </c>
      <c r="K208" s="5" t="s">
        <v>1440</v>
      </c>
    </row>
    <row r="209" spans="1:11" ht="210" x14ac:dyDescent="0.25">
      <c r="A209" s="2"/>
      <c r="B209" s="8" t="s">
        <v>19</v>
      </c>
      <c r="C209" s="2" t="s">
        <v>20</v>
      </c>
      <c r="D209" s="2" t="s">
        <v>1441</v>
      </c>
      <c r="E209" s="2" t="s">
        <v>1442</v>
      </c>
      <c r="F209" s="4" t="s">
        <v>1443</v>
      </c>
      <c r="G209" s="4" t="s">
        <v>1444</v>
      </c>
      <c r="H209" s="4" t="s">
        <v>1445</v>
      </c>
      <c r="I209" s="4" t="s">
        <v>26</v>
      </c>
      <c r="J209" s="2" t="s">
        <v>1446</v>
      </c>
      <c r="K209" s="5" t="s">
        <v>1447</v>
      </c>
    </row>
    <row r="210" spans="1:11" ht="195" x14ac:dyDescent="0.25">
      <c r="A210" s="8" t="s">
        <v>11</v>
      </c>
      <c r="B210" s="8">
        <v>1</v>
      </c>
      <c r="C210" s="2" t="s">
        <v>11</v>
      </c>
      <c r="D210" s="2" t="s">
        <v>1448</v>
      </c>
      <c r="E210" s="2" t="s">
        <v>1449</v>
      </c>
      <c r="F210" s="4" t="s">
        <v>1450</v>
      </c>
      <c r="G210" s="4" t="s">
        <v>1451</v>
      </c>
      <c r="H210" s="4" t="s">
        <v>1452</v>
      </c>
      <c r="I210" s="4" t="s">
        <v>42</v>
      </c>
      <c r="J210" s="2" t="s">
        <v>1453</v>
      </c>
      <c r="K210" s="5" t="s">
        <v>1454</v>
      </c>
    </row>
    <row r="211" spans="1:11" ht="135" x14ac:dyDescent="0.25">
      <c r="A211" s="2"/>
      <c r="B211" s="8" t="s">
        <v>74</v>
      </c>
      <c r="C211" s="2" t="s">
        <v>20</v>
      </c>
      <c r="D211" s="2" t="s">
        <v>1455</v>
      </c>
      <c r="F211" s="4" t="s">
        <v>1456</v>
      </c>
      <c r="G211" s="4" t="s">
        <v>1457</v>
      </c>
      <c r="I211" s="4" t="s">
        <v>42</v>
      </c>
      <c r="K211" s="5" t="s">
        <v>1458</v>
      </c>
    </row>
    <row r="212" spans="1:11" ht="285" x14ac:dyDescent="0.25">
      <c r="A212" s="2"/>
      <c r="B212" s="8" t="s">
        <v>74</v>
      </c>
      <c r="C212" s="2" t="s">
        <v>20</v>
      </c>
      <c r="D212" s="2" t="s">
        <v>1459</v>
      </c>
      <c r="F212" s="4" t="s">
        <v>1460</v>
      </c>
      <c r="G212" s="4" t="s">
        <v>1461</v>
      </c>
      <c r="I212" s="4" t="s">
        <v>26</v>
      </c>
      <c r="K212" s="5" t="s">
        <v>1462</v>
      </c>
    </row>
    <row r="213" spans="1:11" ht="180" x14ac:dyDescent="0.25">
      <c r="A213" s="8" t="s">
        <v>11</v>
      </c>
      <c r="B213" s="8">
        <v>2</v>
      </c>
      <c r="C213" s="8" t="s">
        <v>11</v>
      </c>
      <c r="D213" s="2" t="s">
        <v>1463</v>
      </c>
      <c r="E213" s="2" t="s">
        <v>1464</v>
      </c>
      <c r="F213" s="4" t="s">
        <v>1465</v>
      </c>
      <c r="G213" s="4" t="s">
        <v>1466</v>
      </c>
      <c r="H213" s="4" t="s">
        <v>1467</v>
      </c>
      <c r="I213" s="4" t="s">
        <v>42</v>
      </c>
      <c r="J213" s="2" t="s">
        <v>1468</v>
      </c>
      <c r="K213" s="13" t="s">
        <v>1469</v>
      </c>
    </row>
    <row r="214" spans="1:11" ht="300" x14ac:dyDescent="0.25">
      <c r="A214" s="2"/>
      <c r="B214" s="8" t="s">
        <v>19</v>
      </c>
      <c r="C214" s="2" t="s">
        <v>20</v>
      </c>
      <c r="D214" s="2" t="s">
        <v>1470</v>
      </c>
      <c r="E214" s="2" t="s">
        <v>1471</v>
      </c>
      <c r="F214" s="4" t="s">
        <v>1472</v>
      </c>
      <c r="G214" s="4" t="s">
        <v>1473</v>
      </c>
      <c r="H214" s="4" t="s">
        <v>1474</v>
      </c>
      <c r="I214" s="4" t="s">
        <v>42</v>
      </c>
      <c r="J214" s="2" t="s">
        <v>1475</v>
      </c>
      <c r="K214" s="5" t="s">
        <v>1476</v>
      </c>
    </row>
    <row r="215" spans="1:11" ht="165" x14ac:dyDescent="0.25">
      <c r="A215" s="8" t="s">
        <v>11</v>
      </c>
      <c r="B215" s="8">
        <v>1</v>
      </c>
      <c r="C215" s="2" t="s">
        <v>11</v>
      </c>
      <c r="D215" s="2" t="s">
        <v>1477</v>
      </c>
      <c r="E215" s="2" t="s">
        <v>1478</v>
      </c>
      <c r="F215" s="4" t="s">
        <v>1479</v>
      </c>
      <c r="G215" s="4" t="s">
        <v>1480</v>
      </c>
      <c r="H215" s="4" t="s">
        <v>1481</v>
      </c>
      <c r="I215" s="4" t="s">
        <v>42</v>
      </c>
      <c r="J215" s="2" t="s">
        <v>1482</v>
      </c>
      <c r="K215" s="5" t="s">
        <v>1483</v>
      </c>
    </row>
    <row r="216" spans="1:11" ht="180" x14ac:dyDescent="0.25">
      <c r="A216" s="8" t="s">
        <v>11</v>
      </c>
      <c r="B216" s="8">
        <v>3</v>
      </c>
      <c r="C216" s="8" t="s">
        <v>11</v>
      </c>
      <c r="D216" s="2" t="s">
        <v>1484</v>
      </c>
      <c r="E216" s="2" t="s">
        <v>1485</v>
      </c>
      <c r="F216" s="4" t="s">
        <v>1486</v>
      </c>
      <c r="G216" s="4" t="s">
        <v>1487</v>
      </c>
      <c r="H216" s="4" t="s">
        <v>1488</v>
      </c>
      <c r="I216" s="4" t="s">
        <v>26</v>
      </c>
      <c r="J216" s="2" t="s">
        <v>1489</v>
      </c>
      <c r="K216" s="13" t="s">
        <v>1490</v>
      </c>
    </row>
    <row r="217" spans="1:11" ht="240" x14ac:dyDescent="0.25">
      <c r="A217" s="2"/>
      <c r="B217" s="8" t="s">
        <v>100</v>
      </c>
      <c r="C217" s="2" t="s">
        <v>20</v>
      </c>
      <c r="D217" s="2" t="s">
        <v>1491</v>
      </c>
      <c r="E217" s="2" t="s">
        <v>1492</v>
      </c>
      <c r="F217" s="4" t="s">
        <v>1493</v>
      </c>
      <c r="G217" s="4" t="s">
        <v>1494</v>
      </c>
      <c r="H217" s="4" t="s">
        <v>1495</v>
      </c>
      <c r="I217" s="4" t="s">
        <v>42</v>
      </c>
      <c r="J217" s="2" t="s">
        <v>1496</v>
      </c>
      <c r="K217" s="5" t="s">
        <v>1497</v>
      </c>
    </row>
    <row r="218" spans="1:11" ht="105" x14ac:dyDescent="0.25">
      <c r="A218" s="8" t="s">
        <v>11</v>
      </c>
      <c r="B218" s="8">
        <v>1</v>
      </c>
      <c r="C218" s="2" t="s">
        <v>11</v>
      </c>
      <c r="D218" s="2" t="s">
        <v>1498</v>
      </c>
      <c r="E218" s="2" t="s">
        <v>1499</v>
      </c>
      <c r="F218" s="4" t="s">
        <v>1500</v>
      </c>
      <c r="G218" s="4" t="s">
        <v>1501</v>
      </c>
      <c r="H218" s="4" t="s">
        <v>1502</v>
      </c>
      <c r="I218" s="4" t="s">
        <v>42</v>
      </c>
      <c r="J218" s="2" t="s">
        <v>1503</v>
      </c>
      <c r="K218" s="5" t="s">
        <v>1504</v>
      </c>
    </row>
    <row r="219" spans="1:11" ht="180" x14ac:dyDescent="0.25">
      <c r="A219" s="8" t="s">
        <v>11</v>
      </c>
      <c r="B219" s="8">
        <v>1</v>
      </c>
      <c r="C219" s="2" t="s">
        <v>11</v>
      </c>
      <c r="D219" s="2" t="s">
        <v>1505</v>
      </c>
      <c r="E219" s="2" t="s">
        <v>1506</v>
      </c>
      <c r="F219" s="4" t="s">
        <v>1507</v>
      </c>
      <c r="G219" s="4" t="s">
        <v>1508</v>
      </c>
      <c r="H219" s="4" t="s">
        <v>1509</v>
      </c>
      <c r="I219" s="4" t="s">
        <v>42</v>
      </c>
      <c r="J219" s="2" t="s">
        <v>1510</v>
      </c>
      <c r="K219" s="5" t="s">
        <v>1511</v>
      </c>
    </row>
    <row r="220" spans="1:11" ht="195" x14ac:dyDescent="0.25">
      <c r="A220" s="8" t="s">
        <v>11</v>
      </c>
      <c r="B220" s="8">
        <v>2</v>
      </c>
      <c r="C220" s="8" t="s">
        <v>11</v>
      </c>
      <c r="D220" s="2" t="s">
        <v>1512</v>
      </c>
      <c r="E220" s="2" t="s">
        <v>1513</v>
      </c>
      <c r="F220" s="4" t="s">
        <v>1514</v>
      </c>
      <c r="G220" s="4" t="s">
        <v>1515</v>
      </c>
      <c r="H220" s="4" t="s">
        <v>1516</v>
      </c>
      <c r="I220" s="4" t="s">
        <v>42</v>
      </c>
      <c r="J220" s="2" t="s">
        <v>1517</v>
      </c>
      <c r="K220" s="13" t="s">
        <v>1518</v>
      </c>
    </row>
    <row r="221" spans="1:11" ht="120" x14ac:dyDescent="0.25">
      <c r="A221" s="8" t="s">
        <v>11</v>
      </c>
      <c r="B221" s="8">
        <v>1</v>
      </c>
      <c r="C221" s="2" t="s">
        <v>11</v>
      </c>
      <c r="D221" s="2" t="s">
        <v>1519</v>
      </c>
      <c r="E221" s="2" t="s">
        <v>1520</v>
      </c>
      <c r="F221" s="4" t="s">
        <v>1521</v>
      </c>
      <c r="G221" s="4" t="s">
        <v>1522</v>
      </c>
      <c r="H221" s="4" t="s">
        <v>1523</v>
      </c>
      <c r="I221" s="4" t="s">
        <v>42</v>
      </c>
      <c r="J221" s="2" t="s">
        <v>1524</v>
      </c>
      <c r="K221" s="5" t="s">
        <v>1525</v>
      </c>
    </row>
    <row r="222" spans="1:11" ht="150" x14ac:dyDescent="0.25">
      <c r="A222" s="2"/>
      <c r="B222" s="8" t="s">
        <v>100</v>
      </c>
      <c r="C222" s="2" t="s">
        <v>20</v>
      </c>
      <c r="D222" s="2" t="s">
        <v>1526</v>
      </c>
      <c r="E222" s="2" t="s">
        <v>1527</v>
      </c>
      <c r="F222" s="4" t="s">
        <v>1528</v>
      </c>
      <c r="G222" s="4" t="s">
        <v>1529</v>
      </c>
      <c r="H222" s="4" t="s">
        <v>1530</v>
      </c>
      <c r="I222" s="4" t="s">
        <v>42</v>
      </c>
      <c r="K222" s="5" t="s">
        <v>1531</v>
      </c>
    </row>
    <row r="223" spans="1:11" ht="225" x14ac:dyDescent="0.25">
      <c r="A223" s="2"/>
      <c r="B223" s="8" t="s">
        <v>100</v>
      </c>
      <c r="C223" s="2" t="s">
        <v>20</v>
      </c>
      <c r="D223" s="2" t="s">
        <v>1532</v>
      </c>
      <c r="E223" s="2" t="s">
        <v>1533</v>
      </c>
      <c r="F223" s="4" t="s">
        <v>1534</v>
      </c>
      <c r="G223" s="4" t="s">
        <v>1535</v>
      </c>
      <c r="H223" s="4" t="s">
        <v>1536</v>
      </c>
      <c r="I223" s="4" t="s">
        <v>26</v>
      </c>
      <c r="J223" s="2" t="s">
        <v>1537</v>
      </c>
      <c r="K223" s="5" t="s">
        <v>1538</v>
      </c>
    </row>
    <row r="224" spans="1:11" ht="255" x14ac:dyDescent="0.25">
      <c r="A224" s="8" t="s">
        <v>11</v>
      </c>
      <c r="B224" s="8">
        <v>2</v>
      </c>
      <c r="C224" s="8" t="s">
        <v>11</v>
      </c>
      <c r="D224" s="2" t="s">
        <v>1539</v>
      </c>
      <c r="E224" s="2" t="s">
        <v>1540</v>
      </c>
      <c r="F224" s="4" t="s">
        <v>1541</v>
      </c>
      <c r="G224" s="4" t="s">
        <v>1542</v>
      </c>
      <c r="I224" s="4" t="s">
        <v>34</v>
      </c>
      <c r="K224" s="13" t="s">
        <v>1543</v>
      </c>
    </row>
    <row r="225" spans="1:11" ht="120" x14ac:dyDescent="0.25">
      <c r="A225" s="2"/>
      <c r="B225" s="8" t="s">
        <v>19</v>
      </c>
      <c r="C225" s="2" t="s">
        <v>20</v>
      </c>
      <c r="D225" s="2" t="s">
        <v>1544</v>
      </c>
      <c r="E225" s="2" t="s">
        <v>1545</v>
      </c>
      <c r="F225" s="4" t="s">
        <v>1546</v>
      </c>
      <c r="G225" s="4" t="s">
        <v>1547</v>
      </c>
      <c r="H225" s="4" t="s">
        <v>1548</v>
      </c>
      <c r="I225" s="4" t="s">
        <v>42</v>
      </c>
      <c r="J225" s="2" t="s">
        <v>1549</v>
      </c>
      <c r="K225" s="5" t="s">
        <v>1550</v>
      </c>
    </row>
    <row r="226" spans="1:11" ht="210" x14ac:dyDescent="0.25">
      <c r="A226" s="2"/>
      <c r="B226" s="8" t="s">
        <v>19</v>
      </c>
      <c r="C226" s="2" t="s">
        <v>20</v>
      </c>
      <c r="D226" s="2" t="s">
        <v>1551</v>
      </c>
      <c r="E226" s="2" t="s">
        <v>1552</v>
      </c>
      <c r="F226" s="4" t="s">
        <v>1553</v>
      </c>
      <c r="G226" s="4" t="s">
        <v>1554</v>
      </c>
      <c r="H226" s="4" t="s">
        <v>1555</v>
      </c>
      <c r="I226" s="4" t="s">
        <v>26</v>
      </c>
      <c r="J226" s="2" t="s">
        <v>1556</v>
      </c>
      <c r="K226" s="5" t="s">
        <v>1557</v>
      </c>
    </row>
    <row r="227" spans="1:11" ht="345" x14ac:dyDescent="0.25">
      <c r="A227" s="2"/>
      <c r="B227" s="8" t="s">
        <v>19</v>
      </c>
      <c r="C227" s="2" t="s">
        <v>20</v>
      </c>
      <c r="D227" s="2" t="s">
        <v>1558</v>
      </c>
      <c r="E227" s="2" t="s">
        <v>1559</v>
      </c>
      <c r="F227" s="4" t="s">
        <v>1560</v>
      </c>
      <c r="G227" s="4" t="s">
        <v>1561</v>
      </c>
      <c r="H227" s="4" t="s">
        <v>1562</v>
      </c>
      <c r="I227" s="4" t="s">
        <v>26</v>
      </c>
      <c r="J227" s="2" t="s">
        <v>1563</v>
      </c>
      <c r="K227" s="5" t="s">
        <v>1564</v>
      </c>
    </row>
    <row r="228" spans="1:11" ht="225" x14ac:dyDescent="0.25">
      <c r="A228" s="2"/>
      <c r="B228" s="8" t="s">
        <v>100</v>
      </c>
      <c r="C228" s="2" t="s">
        <v>20</v>
      </c>
      <c r="D228" s="2" t="s">
        <v>1565</v>
      </c>
      <c r="E228" s="2" t="s">
        <v>1566</v>
      </c>
      <c r="F228" s="4" t="s">
        <v>1567</v>
      </c>
      <c r="G228" s="4" t="s">
        <v>1568</v>
      </c>
      <c r="H228" s="4" t="s">
        <v>1569</v>
      </c>
      <c r="I228" s="4" t="s">
        <v>26</v>
      </c>
      <c r="J228" s="2" t="s">
        <v>1570</v>
      </c>
      <c r="K228" s="5" t="s">
        <v>1571</v>
      </c>
    </row>
    <row r="229" spans="1:11" ht="210" x14ac:dyDescent="0.25">
      <c r="A229" s="2"/>
      <c r="B229" s="8" t="s">
        <v>19</v>
      </c>
      <c r="C229" s="2" t="s">
        <v>20</v>
      </c>
      <c r="D229" s="2" t="s">
        <v>1572</v>
      </c>
      <c r="E229" s="2" t="s">
        <v>1573</v>
      </c>
      <c r="F229" s="4" t="s">
        <v>1574</v>
      </c>
      <c r="G229" s="4" t="s">
        <v>1575</v>
      </c>
      <c r="H229" s="4" t="s">
        <v>1576</v>
      </c>
      <c r="I229" s="4" t="s">
        <v>42</v>
      </c>
      <c r="J229" s="2" t="s">
        <v>1577</v>
      </c>
      <c r="K229" s="5" t="s">
        <v>1578</v>
      </c>
    </row>
    <row r="230" spans="1:11" ht="255" x14ac:dyDescent="0.25">
      <c r="A230" s="2"/>
      <c r="B230" s="8" t="s">
        <v>1398</v>
      </c>
      <c r="C230" s="2" t="s">
        <v>20</v>
      </c>
      <c r="D230" s="2" t="s">
        <v>1579</v>
      </c>
      <c r="E230" s="2" t="s">
        <v>1580</v>
      </c>
      <c r="F230" s="4" t="s">
        <v>1581</v>
      </c>
      <c r="G230" s="4" t="s">
        <v>1582</v>
      </c>
      <c r="H230" s="4" t="s">
        <v>1583</v>
      </c>
      <c r="I230" s="4" t="s">
        <v>42</v>
      </c>
      <c r="J230" s="2" t="s">
        <v>1584</v>
      </c>
      <c r="K230" s="5" t="s">
        <v>1585</v>
      </c>
    </row>
    <row r="231" spans="1:11" ht="285" x14ac:dyDescent="0.25">
      <c r="A231" s="8" t="s">
        <v>11</v>
      </c>
      <c r="B231" s="8">
        <v>2</v>
      </c>
      <c r="C231" s="8" t="s">
        <v>11</v>
      </c>
      <c r="D231" s="2" t="s">
        <v>1586</v>
      </c>
      <c r="E231" s="2" t="s">
        <v>1587</v>
      </c>
      <c r="F231" s="27" t="s">
        <v>1588</v>
      </c>
      <c r="G231" s="4" t="s">
        <v>1589</v>
      </c>
      <c r="H231" s="4" t="s">
        <v>1590</v>
      </c>
      <c r="I231" s="4" t="s">
        <v>26</v>
      </c>
      <c r="J231" s="2" t="s">
        <v>1591</v>
      </c>
      <c r="K231" s="13" t="s">
        <v>1592</v>
      </c>
    </row>
    <row r="232" spans="1:11" ht="165" x14ac:dyDescent="0.25">
      <c r="A232" s="2"/>
      <c r="B232" s="8" t="s">
        <v>100</v>
      </c>
      <c r="C232" s="2" t="s">
        <v>20</v>
      </c>
      <c r="D232" s="2" t="s">
        <v>1593</v>
      </c>
      <c r="E232" s="2" t="s">
        <v>1594</v>
      </c>
      <c r="F232" s="4" t="s">
        <v>1595</v>
      </c>
      <c r="G232" s="4" t="s">
        <v>1596</v>
      </c>
      <c r="H232" s="4" t="s">
        <v>1597</v>
      </c>
      <c r="I232" s="4" t="s">
        <v>42</v>
      </c>
      <c r="J232" s="2" t="s">
        <v>1598</v>
      </c>
      <c r="K232" s="5" t="s">
        <v>1599</v>
      </c>
    </row>
    <row r="233" spans="1:11" ht="135" x14ac:dyDescent="0.25">
      <c r="A233" s="2"/>
      <c r="B233" s="8" t="s">
        <v>19</v>
      </c>
      <c r="C233" s="2" t="s">
        <v>20</v>
      </c>
      <c r="D233" s="2" t="s">
        <v>1600</v>
      </c>
      <c r="E233" s="2" t="s">
        <v>1601</v>
      </c>
      <c r="F233" s="4" t="s">
        <v>1602</v>
      </c>
      <c r="G233" s="4" t="s">
        <v>1603</v>
      </c>
      <c r="H233" s="4" t="s">
        <v>1604</v>
      </c>
      <c r="I233" s="4" t="s">
        <v>42</v>
      </c>
      <c r="J233" s="2" t="s">
        <v>1605</v>
      </c>
      <c r="K233" s="5" t="s">
        <v>1606</v>
      </c>
    </row>
    <row r="234" spans="1:11" ht="225" x14ac:dyDescent="0.25">
      <c r="A234" s="2"/>
      <c r="B234" s="8" t="s">
        <v>19</v>
      </c>
      <c r="C234" s="2" t="s">
        <v>20</v>
      </c>
      <c r="D234" s="2" t="s">
        <v>1607</v>
      </c>
      <c r="E234" s="2" t="s">
        <v>1608</v>
      </c>
      <c r="F234" s="4" t="s">
        <v>1609</v>
      </c>
      <c r="G234" s="4" t="s">
        <v>1610</v>
      </c>
      <c r="H234" s="4" t="s">
        <v>1611</v>
      </c>
      <c r="I234" s="4" t="s">
        <v>26</v>
      </c>
      <c r="J234" s="2" t="s">
        <v>1612</v>
      </c>
      <c r="K234" s="5" t="s">
        <v>1613</v>
      </c>
    </row>
    <row r="235" spans="1:11" ht="255" x14ac:dyDescent="0.25">
      <c r="A235" s="2"/>
      <c r="B235" s="8" t="s">
        <v>19</v>
      </c>
      <c r="C235" s="2" t="s">
        <v>20</v>
      </c>
      <c r="D235" s="2" t="s">
        <v>1614</v>
      </c>
      <c r="E235" s="2" t="s">
        <v>1615</v>
      </c>
      <c r="F235" s="4" t="s">
        <v>1616</v>
      </c>
      <c r="G235" s="4" t="s">
        <v>1617</v>
      </c>
      <c r="H235" s="4" t="s">
        <v>1618</v>
      </c>
      <c r="I235" s="4" t="s">
        <v>26</v>
      </c>
      <c r="J235" s="2" t="s">
        <v>1619</v>
      </c>
      <c r="K235" s="5" t="s">
        <v>1620</v>
      </c>
    </row>
    <row r="236" spans="1:11" ht="285" x14ac:dyDescent="0.25">
      <c r="A236" s="2"/>
      <c r="B236" s="8" t="s">
        <v>52</v>
      </c>
      <c r="C236" s="2" t="s">
        <v>20</v>
      </c>
      <c r="D236" s="2" t="s">
        <v>1621</v>
      </c>
      <c r="E236" s="2" t="s">
        <v>1622</v>
      </c>
      <c r="F236" s="4" t="s">
        <v>1623</v>
      </c>
      <c r="G236" s="4" t="s">
        <v>1624</v>
      </c>
      <c r="H236" s="4" t="s">
        <v>1625</v>
      </c>
      <c r="I236" s="4" t="s">
        <v>42</v>
      </c>
      <c r="J236" s="2" t="s">
        <v>1626</v>
      </c>
      <c r="K236" s="5" t="s">
        <v>1627</v>
      </c>
    </row>
    <row r="237" spans="1:11" ht="195" x14ac:dyDescent="0.25">
      <c r="A237" s="2"/>
      <c r="B237" s="8" t="s">
        <v>100</v>
      </c>
      <c r="C237" s="2" t="s">
        <v>20</v>
      </c>
      <c r="D237" s="2" t="s">
        <v>1628</v>
      </c>
      <c r="E237" s="2" t="s">
        <v>1629</v>
      </c>
      <c r="F237" s="4" t="s">
        <v>1630</v>
      </c>
      <c r="G237" s="4" t="s">
        <v>1631</v>
      </c>
      <c r="H237" s="4" t="s">
        <v>1632</v>
      </c>
      <c r="I237" s="4" t="s">
        <v>42</v>
      </c>
      <c r="J237" s="2" t="s">
        <v>1633</v>
      </c>
      <c r="K237" s="5" t="s">
        <v>1634</v>
      </c>
    </row>
    <row r="238" spans="1:11" ht="375" x14ac:dyDescent="0.25">
      <c r="A238" s="2"/>
      <c r="B238" s="8" t="s">
        <v>52</v>
      </c>
      <c r="C238" s="2" t="s">
        <v>20</v>
      </c>
      <c r="D238" s="2" t="s">
        <v>1635</v>
      </c>
      <c r="E238" s="2" t="s">
        <v>1636</v>
      </c>
      <c r="F238" s="4" t="s">
        <v>1637</v>
      </c>
      <c r="G238" s="4" t="s">
        <v>1638</v>
      </c>
      <c r="H238" s="4" t="s">
        <v>1639</v>
      </c>
      <c r="I238" s="4" t="s">
        <v>42</v>
      </c>
      <c r="J238" s="2" t="s">
        <v>1640</v>
      </c>
      <c r="K238" s="5" t="s">
        <v>1641</v>
      </c>
    </row>
    <row r="239" spans="1:11" ht="225" x14ac:dyDescent="0.25">
      <c r="A239" s="2"/>
      <c r="B239" s="8" t="s">
        <v>52</v>
      </c>
      <c r="C239" s="2" t="s">
        <v>20</v>
      </c>
      <c r="D239" s="2" t="s">
        <v>1642</v>
      </c>
      <c r="E239" s="2" t="s">
        <v>1643</v>
      </c>
      <c r="F239" s="4" t="s">
        <v>1644</v>
      </c>
      <c r="G239" s="4" t="s">
        <v>1645</v>
      </c>
      <c r="H239" s="4" t="s">
        <v>1646</v>
      </c>
      <c r="I239" s="4" t="s">
        <v>26</v>
      </c>
      <c r="J239" s="2" t="s">
        <v>1647</v>
      </c>
      <c r="K239" s="5" t="s">
        <v>1648</v>
      </c>
    </row>
    <row r="240" spans="1:11" ht="60" x14ac:dyDescent="0.25">
      <c r="A240" s="8" t="s">
        <v>11</v>
      </c>
      <c r="B240" s="8">
        <v>1</v>
      </c>
      <c r="C240" s="2" t="s">
        <v>11</v>
      </c>
      <c r="D240" s="2" t="s">
        <v>1649</v>
      </c>
      <c r="E240" s="2" t="s">
        <v>1650</v>
      </c>
      <c r="F240" s="4" t="s">
        <v>1651</v>
      </c>
      <c r="G240" s="4" t="s">
        <v>1652</v>
      </c>
      <c r="H240" s="4" t="s">
        <v>1653</v>
      </c>
      <c r="I240" s="4" t="s">
        <v>42</v>
      </c>
      <c r="J240" s="2" t="s">
        <v>1654</v>
      </c>
      <c r="K240" s="5" t="s">
        <v>1655</v>
      </c>
    </row>
    <row r="241" spans="1:11" ht="240" x14ac:dyDescent="0.25">
      <c r="A241" s="2"/>
      <c r="B241" s="8" t="s">
        <v>1398</v>
      </c>
      <c r="C241" s="2" t="s">
        <v>20</v>
      </c>
      <c r="D241" s="2" t="s">
        <v>1656</v>
      </c>
      <c r="E241" s="2" t="s">
        <v>1657</v>
      </c>
      <c r="F241" s="4" t="s">
        <v>1658</v>
      </c>
      <c r="G241" s="4" t="s">
        <v>1659</v>
      </c>
      <c r="H241" s="4" t="s">
        <v>1660</v>
      </c>
      <c r="I241" s="4" t="s">
        <v>26</v>
      </c>
      <c r="J241" s="2" t="s">
        <v>1661</v>
      </c>
      <c r="K241" s="5" t="s">
        <v>1662</v>
      </c>
    </row>
    <row r="242" spans="1:11" ht="195" x14ac:dyDescent="0.25">
      <c r="A242" s="2"/>
      <c r="B242" s="8" t="s">
        <v>52</v>
      </c>
      <c r="C242" s="2" t="s">
        <v>20</v>
      </c>
      <c r="D242" s="2" t="s">
        <v>1663</v>
      </c>
      <c r="E242" s="2" t="s">
        <v>1664</v>
      </c>
      <c r="F242" s="4" t="s">
        <v>1665</v>
      </c>
      <c r="G242" s="4" t="s">
        <v>1666</v>
      </c>
      <c r="H242" s="4" t="s">
        <v>1667</v>
      </c>
      <c r="I242" s="4" t="s">
        <v>42</v>
      </c>
      <c r="J242" s="2" t="s">
        <v>1668</v>
      </c>
      <c r="K242" s="5" t="s">
        <v>1669</v>
      </c>
    </row>
    <row r="243" spans="1:11" ht="240" x14ac:dyDescent="0.25">
      <c r="A243" s="2"/>
      <c r="B243" s="8" t="s">
        <v>100</v>
      </c>
      <c r="C243" s="2" t="s">
        <v>20</v>
      </c>
      <c r="D243" s="2" t="s">
        <v>1670</v>
      </c>
      <c r="E243" s="2" t="s">
        <v>1671</v>
      </c>
      <c r="F243" s="4" t="s">
        <v>1672</v>
      </c>
      <c r="G243" s="4" t="s">
        <v>1673</v>
      </c>
      <c r="H243" s="4" t="s">
        <v>1674</v>
      </c>
      <c r="I243" s="4" t="s">
        <v>26</v>
      </c>
      <c r="J243" s="2" t="s">
        <v>1675</v>
      </c>
      <c r="K243" s="5" t="s">
        <v>1676</v>
      </c>
    </row>
    <row r="244" spans="1:11" ht="150" x14ac:dyDescent="0.25">
      <c r="A244" s="2"/>
      <c r="B244" s="8" t="s">
        <v>19</v>
      </c>
      <c r="C244" s="2" t="s">
        <v>20</v>
      </c>
      <c r="D244" s="2" t="s">
        <v>1677</v>
      </c>
      <c r="E244" s="2" t="s">
        <v>1678</v>
      </c>
      <c r="F244" s="4" t="s">
        <v>1679</v>
      </c>
      <c r="G244" s="4" t="s">
        <v>1680</v>
      </c>
      <c r="H244" s="4" t="s">
        <v>1681</v>
      </c>
      <c r="I244" s="4" t="s">
        <v>42</v>
      </c>
      <c r="J244" s="2" t="s">
        <v>1682</v>
      </c>
      <c r="K244" s="5" t="s">
        <v>1683</v>
      </c>
    </row>
    <row r="245" spans="1:11" ht="255" x14ac:dyDescent="0.25">
      <c r="A245" s="2"/>
      <c r="B245" s="8" t="s">
        <v>29</v>
      </c>
      <c r="C245" s="2" t="s">
        <v>20</v>
      </c>
      <c r="D245" s="2" t="s">
        <v>1684</v>
      </c>
      <c r="E245" s="2" t="s">
        <v>1685</v>
      </c>
      <c r="F245" s="4" t="s">
        <v>1686</v>
      </c>
      <c r="G245" s="4" t="s">
        <v>1687</v>
      </c>
      <c r="H245" s="4" t="s">
        <v>1688</v>
      </c>
      <c r="I245" s="4" t="s">
        <v>26</v>
      </c>
      <c r="J245" s="2" t="s">
        <v>1689</v>
      </c>
      <c r="K245" s="5" t="s">
        <v>1690</v>
      </c>
    </row>
    <row r="246" spans="1:11" ht="180" x14ac:dyDescent="0.25">
      <c r="A246" s="2"/>
      <c r="B246" s="8" t="s">
        <v>19</v>
      </c>
      <c r="C246" s="2" t="s">
        <v>20</v>
      </c>
      <c r="D246" s="2" t="s">
        <v>1691</v>
      </c>
      <c r="E246" s="2" t="s">
        <v>1692</v>
      </c>
      <c r="F246" s="4" t="s">
        <v>1693</v>
      </c>
      <c r="G246" s="4" t="s">
        <v>1694</v>
      </c>
      <c r="H246" s="4" t="s">
        <v>1695</v>
      </c>
      <c r="I246" s="4" t="s">
        <v>42</v>
      </c>
      <c r="J246" s="2" t="s">
        <v>1696</v>
      </c>
      <c r="K246" s="5" t="s">
        <v>1697</v>
      </c>
    </row>
    <row r="247" spans="1:11" ht="240" x14ac:dyDescent="0.25">
      <c r="A247" s="2"/>
      <c r="B247" s="8" t="s">
        <v>100</v>
      </c>
      <c r="C247" s="2" t="s">
        <v>20</v>
      </c>
      <c r="D247" s="2" t="s">
        <v>1698</v>
      </c>
      <c r="E247" s="2" t="s">
        <v>1699</v>
      </c>
      <c r="F247" s="4" t="s">
        <v>1700</v>
      </c>
      <c r="G247" s="4" t="s">
        <v>1701</v>
      </c>
      <c r="H247" s="4" t="s">
        <v>1702</v>
      </c>
      <c r="I247" s="4" t="s">
        <v>26</v>
      </c>
      <c r="J247" s="2" t="s">
        <v>1703</v>
      </c>
      <c r="K247" s="5" t="s">
        <v>1704</v>
      </c>
    </row>
    <row r="248" spans="1:11" ht="150" x14ac:dyDescent="0.25">
      <c r="A248" s="8" t="s">
        <v>11</v>
      </c>
      <c r="B248" s="8">
        <v>2</v>
      </c>
      <c r="C248" s="8" t="s">
        <v>11</v>
      </c>
      <c r="D248" s="2" t="s">
        <v>1705</v>
      </c>
      <c r="E248" s="2" t="s">
        <v>1706</v>
      </c>
      <c r="F248" s="4" t="s">
        <v>1707</v>
      </c>
      <c r="G248" s="4" t="s">
        <v>1708</v>
      </c>
      <c r="H248" s="4" t="s">
        <v>1709</v>
      </c>
      <c r="I248" s="4" t="s">
        <v>42</v>
      </c>
      <c r="J248" s="2" t="s">
        <v>1710</v>
      </c>
      <c r="K248" s="13" t="s">
        <v>1711</v>
      </c>
    </row>
    <row r="249" spans="1:11" ht="240" x14ac:dyDescent="0.25">
      <c r="A249" s="8" t="s">
        <v>11</v>
      </c>
      <c r="B249" s="8">
        <v>1</v>
      </c>
      <c r="C249" s="2" t="s">
        <v>11</v>
      </c>
      <c r="D249" s="2" t="s">
        <v>1712</v>
      </c>
      <c r="E249" s="2" t="s">
        <v>1713</v>
      </c>
      <c r="F249" s="4" t="s">
        <v>1714</v>
      </c>
      <c r="G249" s="4" t="s">
        <v>1715</v>
      </c>
      <c r="H249" s="4" t="s">
        <v>1716</v>
      </c>
      <c r="I249" s="4" t="s">
        <v>26</v>
      </c>
      <c r="J249" s="2" t="s">
        <v>1717</v>
      </c>
      <c r="K249" s="5" t="s">
        <v>1718</v>
      </c>
    </row>
    <row r="250" spans="1:11" ht="225" x14ac:dyDescent="0.25">
      <c r="A250" s="8" t="s">
        <v>11</v>
      </c>
      <c r="B250" s="8">
        <v>1</v>
      </c>
      <c r="C250" s="2" t="s">
        <v>11</v>
      </c>
      <c r="D250" s="2" t="s">
        <v>1719</v>
      </c>
      <c r="E250" s="2" t="s">
        <v>1720</v>
      </c>
      <c r="F250" s="4" t="s">
        <v>1721</v>
      </c>
      <c r="G250" s="4" t="s">
        <v>1722</v>
      </c>
      <c r="H250" s="4" t="s">
        <v>1723</v>
      </c>
      <c r="I250" s="4" t="s">
        <v>26</v>
      </c>
      <c r="J250" s="2" t="s">
        <v>1724</v>
      </c>
      <c r="K250" s="5" t="s">
        <v>1725</v>
      </c>
    </row>
    <row r="251" spans="1:11" ht="240" x14ac:dyDescent="0.25">
      <c r="A251" s="2"/>
      <c r="B251" s="8" t="s">
        <v>19</v>
      </c>
      <c r="C251" s="2" t="s">
        <v>20</v>
      </c>
      <c r="D251" s="2" t="s">
        <v>1726</v>
      </c>
      <c r="E251" s="2" t="s">
        <v>1727</v>
      </c>
      <c r="F251" s="4" t="s">
        <v>1728</v>
      </c>
      <c r="G251" s="4" t="s">
        <v>1729</v>
      </c>
      <c r="H251" s="4" t="s">
        <v>1730</v>
      </c>
      <c r="I251" s="4" t="s">
        <v>26</v>
      </c>
      <c r="J251" s="2" t="s">
        <v>1731</v>
      </c>
      <c r="K251" s="5" t="s">
        <v>1732</v>
      </c>
    </row>
    <row r="252" spans="1:11" ht="120" x14ac:dyDescent="0.25">
      <c r="A252" s="2"/>
      <c r="B252" s="8" t="s">
        <v>19</v>
      </c>
      <c r="C252" s="2" t="s">
        <v>20</v>
      </c>
      <c r="D252" s="2" t="s">
        <v>1733</v>
      </c>
      <c r="E252" s="2" t="s">
        <v>1734</v>
      </c>
      <c r="F252" s="4" t="s">
        <v>1735</v>
      </c>
      <c r="G252" s="4" t="s">
        <v>1736</v>
      </c>
      <c r="H252" s="4" t="s">
        <v>1737</v>
      </c>
      <c r="I252" s="4" t="s">
        <v>42</v>
      </c>
      <c r="J252" s="2" t="s">
        <v>1738</v>
      </c>
      <c r="K252" s="5" t="s">
        <v>1739</v>
      </c>
    </row>
    <row r="253" spans="1:11" ht="165" x14ac:dyDescent="0.25">
      <c r="A253" s="2"/>
      <c r="B253" s="8" t="s">
        <v>19</v>
      </c>
      <c r="C253" s="2" t="s">
        <v>20</v>
      </c>
      <c r="D253" s="2" t="s">
        <v>1740</v>
      </c>
      <c r="E253" s="2" t="s">
        <v>1741</v>
      </c>
      <c r="F253" s="4" t="s">
        <v>1742</v>
      </c>
      <c r="G253" s="4" t="s">
        <v>1743</v>
      </c>
      <c r="H253" s="4" t="s">
        <v>1744</v>
      </c>
      <c r="I253" s="4" t="s">
        <v>42</v>
      </c>
      <c r="J253" s="2" t="s">
        <v>1745</v>
      </c>
      <c r="K253" s="5" t="s">
        <v>1746</v>
      </c>
    </row>
    <row r="254" spans="1:11" ht="180" x14ac:dyDescent="0.25">
      <c r="A254" s="2"/>
      <c r="B254" s="8" t="s">
        <v>19</v>
      </c>
      <c r="C254" s="2" t="s">
        <v>20</v>
      </c>
      <c r="D254" s="2" t="s">
        <v>1747</v>
      </c>
      <c r="E254" s="2" t="s">
        <v>1748</v>
      </c>
      <c r="F254" s="4" t="s">
        <v>1749</v>
      </c>
      <c r="G254" s="4" t="s">
        <v>1750</v>
      </c>
      <c r="H254" s="4" t="s">
        <v>1751</v>
      </c>
      <c r="I254" s="4" t="s">
        <v>42</v>
      </c>
      <c r="J254" s="2" t="s">
        <v>1752</v>
      </c>
      <c r="K254" s="5" t="s">
        <v>1753</v>
      </c>
    </row>
    <row r="255" spans="1:11" ht="120" x14ac:dyDescent="0.25">
      <c r="A255" s="2"/>
      <c r="B255" s="8" t="s">
        <v>19</v>
      </c>
      <c r="C255" s="2" t="s">
        <v>20</v>
      </c>
      <c r="D255" s="2" t="s">
        <v>1754</v>
      </c>
      <c r="E255" s="2" t="s">
        <v>961</v>
      </c>
      <c r="F255" s="4" t="s">
        <v>1755</v>
      </c>
      <c r="G255" s="4" t="s">
        <v>1756</v>
      </c>
      <c r="H255" s="4" t="s">
        <v>1757</v>
      </c>
      <c r="I255" s="4" t="s">
        <v>42</v>
      </c>
      <c r="J255" s="2" t="s">
        <v>1758</v>
      </c>
      <c r="K255" s="5" t="s">
        <v>1759</v>
      </c>
    </row>
    <row r="256" spans="1:11" ht="225" x14ac:dyDescent="0.25">
      <c r="A256" s="2"/>
      <c r="B256" s="8" t="s">
        <v>29</v>
      </c>
      <c r="C256" s="2" t="s">
        <v>20</v>
      </c>
      <c r="D256" s="2" t="s">
        <v>1760</v>
      </c>
      <c r="E256" s="2" t="s">
        <v>1761</v>
      </c>
      <c r="F256" s="4" t="s">
        <v>1762</v>
      </c>
      <c r="G256" s="4" t="s">
        <v>1763</v>
      </c>
      <c r="H256" s="4" t="s">
        <v>1764</v>
      </c>
      <c r="I256" s="4" t="s">
        <v>42</v>
      </c>
      <c r="J256" s="2" t="s">
        <v>1765</v>
      </c>
      <c r="K256" s="5" t="s">
        <v>1766</v>
      </c>
    </row>
    <row r="257" spans="1:11" ht="225" x14ac:dyDescent="0.25">
      <c r="A257" s="2"/>
      <c r="B257" s="8" t="s">
        <v>100</v>
      </c>
      <c r="C257" s="2" t="s">
        <v>20</v>
      </c>
      <c r="D257" s="2" t="s">
        <v>1767</v>
      </c>
      <c r="E257" s="2" t="s">
        <v>1768</v>
      </c>
      <c r="F257" s="4" t="s">
        <v>1769</v>
      </c>
      <c r="G257" s="4" t="s">
        <v>1770</v>
      </c>
      <c r="H257" s="4" t="s">
        <v>1771</v>
      </c>
      <c r="I257" s="4" t="s">
        <v>42</v>
      </c>
      <c r="J257" s="2" t="s">
        <v>1772</v>
      </c>
      <c r="K257" s="5" t="s">
        <v>1773</v>
      </c>
    </row>
    <row r="258" spans="1:11" ht="195" x14ac:dyDescent="0.25">
      <c r="A258" s="2"/>
      <c r="B258" s="8" t="s">
        <v>52</v>
      </c>
      <c r="C258" s="2" t="s">
        <v>20</v>
      </c>
      <c r="D258" s="2" t="s">
        <v>1774</v>
      </c>
      <c r="E258" s="2" t="s">
        <v>1775</v>
      </c>
      <c r="F258" s="4" t="s">
        <v>1776</v>
      </c>
      <c r="G258" s="4" t="s">
        <v>1777</v>
      </c>
      <c r="H258" s="4" t="s">
        <v>1778</v>
      </c>
      <c r="I258" s="4" t="s">
        <v>26</v>
      </c>
      <c r="J258" s="2" t="s">
        <v>1779</v>
      </c>
      <c r="K258" s="5" t="s">
        <v>1780</v>
      </c>
    </row>
    <row r="259" spans="1:11" ht="165" x14ac:dyDescent="0.25">
      <c r="A259" s="8" t="s">
        <v>11</v>
      </c>
      <c r="B259" s="8">
        <v>1</v>
      </c>
      <c r="C259" s="2" t="s">
        <v>11</v>
      </c>
      <c r="D259" s="2" t="s">
        <v>1781</v>
      </c>
      <c r="E259" s="2" t="s">
        <v>1782</v>
      </c>
      <c r="F259" s="4" t="s">
        <v>1783</v>
      </c>
      <c r="G259" s="4" t="s">
        <v>1784</v>
      </c>
      <c r="H259" s="4" t="s">
        <v>1785</v>
      </c>
      <c r="I259" s="4" t="s">
        <v>42</v>
      </c>
      <c r="J259" s="2" t="s">
        <v>1786</v>
      </c>
      <c r="K259" s="5" t="s">
        <v>1787</v>
      </c>
    </row>
    <row r="260" spans="1:11" ht="150" x14ac:dyDescent="0.25">
      <c r="A260" s="8" t="s">
        <v>11</v>
      </c>
      <c r="B260" s="8">
        <v>2</v>
      </c>
      <c r="C260" s="8" t="s">
        <v>11</v>
      </c>
      <c r="D260" s="2" t="s">
        <v>1788</v>
      </c>
      <c r="E260" s="2" t="s">
        <v>1789</v>
      </c>
      <c r="F260" s="4" t="s">
        <v>1790</v>
      </c>
      <c r="G260" s="4" t="s">
        <v>1791</v>
      </c>
      <c r="H260" s="4" t="s">
        <v>1792</v>
      </c>
      <c r="I260" s="4" t="s">
        <v>26</v>
      </c>
      <c r="J260" s="2" t="s">
        <v>1793</v>
      </c>
      <c r="K260" s="13" t="s">
        <v>1794</v>
      </c>
    </row>
    <row r="261" spans="1:11" ht="285" x14ac:dyDescent="0.25">
      <c r="A261" s="8" t="s">
        <v>11</v>
      </c>
      <c r="B261" s="8">
        <v>3</v>
      </c>
      <c r="C261" s="2" t="s">
        <v>11</v>
      </c>
      <c r="D261" s="2" t="s">
        <v>1795</v>
      </c>
      <c r="E261" s="2" t="s">
        <v>1796</v>
      </c>
      <c r="F261" s="4" t="s">
        <v>1797</v>
      </c>
      <c r="G261" s="4" t="s">
        <v>1798</v>
      </c>
      <c r="H261" s="4" t="s">
        <v>1799</v>
      </c>
      <c r="I261" s="4" t="s">
        <v>26</v>
      </c>
      <c r="J261" s="2" t="s">
        <v>1800</v>
      </c>
      <c r="K261" s="13" t="s">
        <v>1801</v>
      </c>
    </row>
    <row r="262" spans="1:11" ht="165" x14ac:dyDescent="0.25">
      <c r="A262" s="8" t="s">
        <v>11</v>
      </c>
      <c r="B262" s="8">
        <v>1</v>
      </c>
      <c r="C262" s="2" t="s">
        <v>11</v>
      </c>
      <c r="D262" s="2" t="s">
        <v>1802</v>
      </c>
      <c r="E262" s="2" t="s">
        <v>1803</v>
      </c>
      <c r="F262" s="4" t="s">
        <v>1804</v>
      </c>
      <c r="G262" s="4" t="s">
        <v>1805</v>
      </c>
      <c r="H262" s="4" t="s">
        <v>1806</v>
      </c>
      <c r="I262" s="4" t="s">
        <v>702</v>
      </c>
      <c r="J262" s="2" t="s">
        <v>1807</v>
      </c>
      <c r="K262" s="5" t="s">
        <v>1808</v>
      </c>
    </row>
    <row r="263" spans="1:11" ht="240" x14ac:dyDescent="0.25">
      <c r="A263" s="2"/>
      <c r="B263" s="8" t="s">
        <v>100</v>
      </c>
      <c r="C263" s="2" t="s">
        <v>20</v>
      </c>
      <c r="D263" s="2" t="s">
        <v>1809</v>
      </c>
      <c r="E263" s="2" t="s">
        <v>1810</v>
      </c>
      <c r="F263" s="4" t="s">
        <v>1811</v>
      </c>
      <c r="G263" s="4" t="s">
        <v>1812</v>
      </c>
      <c r="H263" s="4" t="s">
        <v>1813</v>
      </c>
      <c r="I263" s="4" t="s">
        <v>26</v>
      </c>
      <c r="J263" s="2" t="s">
        <v>1814</v>
      </c>
      <c r="K263" s="5" t="s">
        <v>1815</v>
      </c>
    </row>
    <row r="264" spans="1:11" ht="180" x14ac:dyDescent="0.25">
      <c r="A264" s="2"/>
      <c r="B264" s="8" t="s">
        <v>29</v>
      </c>
      <c r="C264" s="2" t="s">
        <v>20</v>
      </c>
      <c r="D264" s="2" t="s">
        <v>1816</v>
      </c>
      <c r="E264" s="2" t="s">
        <v>1817</v>
      </c>
      <c r="F264" s="4" t="s">
        <v>1818</v>
      </c>
      <c r="G264" s="4" t="s">
        <v>1819</v>
      </c>
      <c r="H264" s="4" t="s">
        <v>1820</v>
      </c>
      <c r="I264" s="4" t="s">
        <v>26</v>
      </c>
      <c r="J264" s="2" t="s">
        <v>1821</v>
      </c>
      <c r="K264" s="5" t="s">
        <v>1822</v>
      </c>
    </row>
    <row r="265" spans="1:11" ht="105" x14ac:dyDescent="0.25">
      <c r="A265" s="2"/>
      <c r="B265" s="8" t="s">
        <v>19</v>
      </c>
      <c r="C265" s="2" t="s">
        <v>20</v>
      </c>
      <c r="D265" s="2" t="s">
        <v>1823</v>
      </c>
      <c r="E265" s="2" t="s">
        <v>1824</v>
      </c>
      <c r="F265" s="4" t="s">
        <v>1825</v>
      </c>
      <c r="G265" s="4" t="s">
        <v>1826</v>
      </c>
      <c r="H265" s="4" t="s">
        <v>1827</v>
      </c>
      <c r="I265" s="4" t="s">
        <v>42</v>
      </c>
      <c r="J265" s="2" t="s">
        <v>1828</v>
      </c>
      <c r="K265" s="5" t="s">
        <v>1829</v>
      </c>
    </row>
    <row r="266" spans="1:11" ht="150" x14ac:dyDescent="0.25">
      <c r="A266" s="8" t="s">
        <v>20</v>
      </c>
      <c r="B266" s="8">
        <v>2</v>
      </c>
      <c r="C266" s="8" t="s">
        <v>11</v>
      </c>
      <c r="D266" s="2" t="s">
        <v>1830</v>
      </c>
      <c r="E266" s="2" t="s">
        <v>1831</v>
      </c>
      <c r="F266" s="4" t="s">
        <v>1832</v>
      </c>
      <c r="G266" s="4" t="s">
        <v>1833</v>
      </c>
      <c r="H266" s="4" t="s">
        <v>1834</v>
      </c>
      <c r="I266" s="4" t="s">
        <v>42</v>
      </c>
      <c r="J266" s="2" t="s">
        <v>1835</v>
      </c>
      <c r="K266" s="13" t="s">
        <v>1836</v>
      </c>
    </row>
    <row r="267" spans="1:11" ht="135" x14ac:dyDescent="0.25">
      <c r="A267" s="8" t="s">
        <v>11</v>
      </c>
      <c r="B267" s="8">
        <v>1</v>
      </c>
      <c r="C267" s="2" t="s">
        <v>11</v>
      </c>
      <c r="D267" s="2" t="s">
        <v>1837</v>
      </c>
      <c r="E267" s="2" t="s">
        <v>1838</v>
      </c>
      <c r="F267" s="4" t="s">
        <v>1839</v>
      </c>
      <c r="G267" s="4" t="s">
        <v>1840</v>
      </c>
      <c r="H267" s="4" t="s">
        <v>1841</v>
      </c>
      <c r="I267" s="4" t="s">
        <v>42</v>
      </c>
      <c r="J267" s="2" t="s">
        <v>1842</v>
      </c>
      <c r="K267" s="5" t="s">
        <v>1843</v>
      </c>
    </row>
    <row r="268" spans="1:11" ht="180" x14ac:dyDescent="0.25">
      <c r="A268" s="8" t="s">
        <v>20</v>
      </c>
      <c r="B268" s="8">
        <v>2</v>
      </c>
      <c r="C268" s="8" t="s">
        <v>11</v>
      </c>
      <c r="D268" s="2" t="s">
        <v>1844</v>
      </c>
      <c r="E268" s="2" t="s">
        <v>1845</v>
      </c>
      <c r="F268" s="4" t="s">
        <v>1846</v>
      </c>
      <c r="G268" s="4" t="s">
        <v>1847</v>
      </c>
      <c r="H268" s="4" t="s">
        <v>1848</v>
      </c>
      <c r="I268" s="4" t="s">
        <v>42</v>
      </c>
      <c r="J268" s="2" t="s">
        <v>1849</v>
      </c>
      <c r="K268" s="13" t="s">
        <v>1850</v>
      </c>
    </row>
    <row r="269" spans="1:11" ht="150" x14ac:dyDescent="0.25">
      <c r="A269" s="8" t="s">
        <v>11</v>
      </c>
      <c r="B269" s="8">
        <v>1</v>
      </c>
      <c r="C269" s="2" t="s">
        <v>11</v>
      </c>
      <c r="D269" s="2" t="s">
        <v>1851</v>
      </c>
      <c r="E269" s="2" t="s">
        <v>1852</v>
      </c>
      <c r="F269" s="4" t="s">
        <v>1853</v>
      </c>
      <c r="G269" s="4" t="s">
        <v>1854</v>
      </c>
      <c r="H269" s="4" t="s">
        <v>1855</v>
      </c>
      <c r="I269" s="4" t="s">
        <v>26</v>
      </c>
      <c r="J269" s="2" t="s">
        <v>1856</v>
      </c>
      <c r="K269" s="5" t="s">
        <v>1857</v>
      </c>
    </row>
    <row r="270" spans="1:11" ht="270" x14ac:dyDescent="0.25">
      <c r="A270" s="2"/>
      <c r="B270" s="8" t="s">
        <v>100</v>
      </c>
      <c r="C270" s="2" t="s">
        <v>20</v>
      </c>
      <c r="D270" s="2" t="s">
        <v>1858</v>
      </c>
      <c r="E270" s="2" t="s">
        <v>1859</v>
      </c>
      <c r="F270" s="4" t="s">
        <v>1860</v>
      </c>
      <c r="G270" s="4" t="s">
        <v>1861</v>
      </c>
      <c r="H270" s="4" t="s">
        <v>1862</v>
      </c>
      <c r="I270" s="4" t="s">
        <v>26</v>
      </c>
      <c r="J270" s="2" t="s">
        <v>1863</v>
      </c>
      <c r="K270" s="5" t="s">
        <v>1864</v>
      </c>
    </row>
    <row r="271" spans="1:11" ht="255" x14ac:dyDescent="0.25">
      <c r="A271" s="2"/>
      <c r="B271" s="8" t="s">
        <v>100</v>
      </c>
      <c r="C271" s="2" t="s">
        <v>20</v>
      </c>
      <c r="D271" s="2" t="s">
        <v>1865</v>
      </c>
      <c r="E271" s="2" t="s">
        <v>1866</v>
      </c>
      <c r="F271" s="4" t="s">
        <v>1867</v>
      </c>
      <c r="G271" s="4" t="s">
        <v>1868</v>
      </c>
      <c r="H271" s="4" t="s">
        <v>1869</v>
      </c>
      <c r="I271" s="4" t="s">
        <v>42</v>
      </c>
      <c r="J271" s="2" t="s">
        <v>1870</v>
      </c>
      <c r="K271" s="5" t="s">
        <v>1871</v>
      </c>
    </row>
    <row r="272" spans="1:11" ht="225" x14ac:dyDescent="0.25">
      <c r="A272" s="2"/>
      <c r="B272" s="8" t="s">
        <v>19</v>
      </c>
      <c r="C272" s="2" t="s">
        <v>20</v>
      </c>
      <c r="D272" s="2" t="s">
        <v>1872</v>
      </c>
      <c r="E272" s="2" t="s">
        <v>428</v>
      </c>
      <c r="F272" s="4" t="s">
        <v>1873</v>
      </c>
      <c r="G272" s="4" t="s">
        <v>1874</v>
      </c>
      <c r="H272" s="4" t="s">
        <v>1875</v>
      </c>
      <c r="I272" s="4" t="s">
        <v>702</v>
      </c>
      <c r="J272" s="2" t="s">
        <v>1876</v>
      </c>
      <c r="K272" s="5" t="s">
        <v>1877</v>
      </c>
    </row>
    <row r="273" spans="1:11" ht="135" x14ac:dyDescent="0.25">
      <c r="A273" s="8" t="s">
        <v>11</v>
      </c>
      <c r="B273" s="8">
        <v>1</v>
      </c>
      <c r="C273" s="2" t="s">
        <v>11</v>
      </c>
      <c r="D273" s="2" t="s">
        <v>1878</v>
      </c>
      <c r="E273" s="2" t="s">
        <v>1879</v>
      </c>
      <c r="F273" s="4" t="s">
        <v>1880</v>
      </c>
      <c r="G273" s="4" t="s">
        <v>1881</v>
      </c>
      <c r="H273" s="4" t="s">
        <v>1882</v>
      </c>
      <c r="I273" s="4" t="s">
        <v>26</v>
      </c>
      <c r="J273" s="2" t="s">
        <v>1883</v>
      </c>
      <c r="K273" s="5" t="s">
        <v>1884</v>
      </c>
    </row>
    <row r="274" spans="1:11" ht="195" x14ac:dyDescent="0.25">
      <c r="A274" s="8" t="s">
        <v>11</v>
      </c>
      <c r="B274" s="8">
        <v>2</v>
      </c>
      <c r="C274" s="8" t="s">
        <v>11</v>
      </c>
      <c r="D274" s="2" t="s">
        <v>1885</v>
      </c>
      <c r="E274" s="2" t="s">
        <v>1886</v>
      </c>
      <c r="F274" s="4" t="s">
        <v>1887</v>
      </c>
      <c r="G274" s="4" t="s">
        <v>1888</v>
      </c>
      <c r="H274" s="4" t="s">
        <v>1889</v>
      </c>
      <c r="I274" s="4" t="s">
        <v>42</v>
      </c>
      <c r="J274" s="2" t="s">
        <v>1890</v>
      </c>
      <c r="K274" s="13" t="s">
        <v>1891</v>
      </c>
    </row>
    <row r="275" spans="1:11" ht="285" x14ac:dyDescent="0.25">
      <c r="B275" s="8" t="s">
        <v>74</v>
      </c>
      <c r="C275" s="2" t="s">
        <v>20</v>
      </c>
      <c r="D275" s="2" t="s">
        <v>1892</v>
      </c>
      <c r="F275" s="4" t="s">
        <v>1893</v>
      </c>
      <c r="G275" s="4" t="s">
        <v>1894</v>
      </c>
      <c r="I275" s="4" t="s">
        <v>26</v>
      </c>
      <c r="K275" s="5" t="s">
        <v>1895</v>
      </c>
    </row>
    <row r="276" spans="1:11" ht="150" x14ac:dyDescent="0.25">
      <c r="A276" s="2"/>
      <c r="B276" s="8" t="s">
        <v>19</v>
      </c>
      <c r="C276" s="2" t="s">
        <v>20</v>
      </c>
      <c r="D276" s="2" t="s">
        <v>1896</v>
      </c>
      <c r="E276" s="2" t="s">
        <v>1897</v>
      </c>
      <c r="F276" s="4" t="s">
        <v>1898</v>
      </c>
      <c r="G276" s="4" t="s">
        <v>1899</v>
      </c>
      <c r="H276" s="4" t="s">
        <v>1900</v>
      </c>
      <c r="I276" s="4" t="s">
        <v>42</v>
      </c>
      <c r="J276" s="2" t="s">
        <v>1901</v>
      </c>
      <c r="K276" s="5" t="s">
        <v>1902</v>
      </c>
    </row>
    <row r="277" spans="1:11" ht="225" x14ac:dyDescent="0.25">
      <c r="A277" s="2"/>
      <c r="B277" s="8" t="s">
        <v>100</v>
      </c>
      <c r="C277" s="2" t="s">
        <v>20</v>
      </c>
      <c r="D277" s="2" t="s">
        <v>1903</v>
      </c>
      <c r="E277" s="2" t="s">
        <v>1904</v>
      </c>
      <c r="F277" s="4" t="s">
        <v>1905</v>
      </c>
      <c r="G277" s="4" t="s">
        <v>1906</v>
      </c>
      <c r="H277" s="4" t="s">
        <v>1907</v>
      </c>
      <c r="I277" s="4" t="s">
        <v>26</v>
      </c>
      <c r="J277" s="2" t="s">
        <v>1908</v>
      </c>
      <c r="K277" s="5" t="s">
        <v>1909</v>
      </c>
    </row>
    <row r="278" spans="1:11" ht="180" x14ac:dyDescent="0.25">
      <c r="A278" s="2"/>
      <c r="B278" s="8" t="s">
        <v>100</v>
      </c>
      <c r="C278" s="2" t="s">
        <v>20</v>
      </c>
      <c r="D278" s="2" t="s">
        <v>1910</v>
      </c>
      <c r="E278" s="2" t="s">
        <v>1911</v>
      </c>
      <c r="F278" s="4" t="s">
        <v>1912</v>
      </c>
      <c r="G278" s="4" t="s">
        <v>1913</v>
      </c>
      <c r="H278" s="4" t="s">
        <v>1914</v>
      </c>
      <c r="I278" s="4" t="s">
        <v>42</v>
      </c>
      <c r="J278" s="2" t="s">
        <v>1915</v>
      </c>
      <c r="K278" s="5" t="s">
        <v>1916</v>
      </c>
    </row>
    <row r="279" spans="1:11" ht="165" x14ac:dyDescent="0.25">
      <c r="A279" s="2"/>
      <c r="B279" s="8" t="s">
        <v>19</v>
      </c>
      <c r="C279" s="2" t="s">
        <v>20</v>
      </c>
      <c r="D279" s="2" t="s">
        <v>1917</v>
      </c>
      <c r="E279" s="2" t="s">
        <v>1918</v>
      </c>
      <c r="F279" s="4" t="s">
        <v>1919</v>
      </c>
      <c r="G279" s="4" t="s">
        <v>1920</v>
      </c>
      <c r="H279" s="4" t="s">
        <v>1921</v>
      </c>
      <c r="I279" s="4" t="s">
        <v>42</v>
      </c>
      <c r="J279" s="2" t="s">
        <v>1922</v>
      </c>
      <c r="K279" s="5" t="s">
        <v>1923</v>
      </c>
    </row>
    <row r="280" spans="1:11" ht="165" x14ac:dyDescent="0.25">
      <c r="A280" s="2"/>
      <c r="B280" s="8" t="s">
        <v>52</v>
      </c>
      <c r="C280" s="2" t="s">
        <v>20</v>
      </c>
      <c r="D280" s="2" t="s">
        <v>1924</v>
      </c>
      <c r="E280" s="2" t="s">
        <v>1925</v>
      </c>
      <c r="F280" s="4" t="s">
        <v>1926</v>
      </c>
      <c r="G280" s="4" t="s">
        <v>1927</v>
      </c>
      <c r="H280" s="4" t="s">
        <v>1928</v>
      </c>
      <c r="I280" s="4" t="s">
        <v>26</v>
      </c>
      <c r="J280" s="2" t="s">
        <v>1929</v>
      </c>
      <c r="K280" s="5" t="s">
        <v>1930</v>
      </c>
    </row>
    <row r="281" spans="1:11" ht="270" x14ac:dyDescent="0.25">
      <c r="A281" s="8" t="s">
        <v>11</v>
      </c>
      <c r="B281" s="8">
        <v>1</v>
      </c>
      <c r="C281" s="2" t="s">
        <v>11</v>
      </c>
      <c r="D281" s="2" t="s">
        <v>1931</v>
      </c>
      <c r="E281" s="2" t="s">
        <v>1932</v>
      </c>
      <c r="F281" s="4" t="s">
        <v>1933</v>
      </c>
      <c r="G281" s="4" t="s">
        <v>1934</v>
      </c>
      <c r="H281" s="4" t="s">
        <v>1935</v>
      </c>
      <c r="I281" s="4" t="s">
        <v>42</v>
      </c>
      <c r="J281" s="2" t="s">
        <v>1936</v>
      </c>
      <c r="K281" s="5" t="s">
        <v>1937</v>
      </c>
    </row>
    <row r="282" spans="1:11" ht="195" x14ac:dyDescent="0.25">
      <c r="A282" s="2"/>
      <c r="B282" s="8" t="s">
        <v>100</v>
      </c>
      <c r="C282" s="2" t="s">
        <v>20</v>
      </c>
      <c r="D282" s="2" t="s">
        <v>1938</v>
      </c>
      <c r="E282" s="2" t="s">
        <v>1939</v>
      </c>
      <c r="F282" s="4" t="s">
        <v>1940</v>
      </c>
      <c r="G282" s="4" t="s">
        <v>1941</v>
      </c>
      <c r="H282" s="4" t="s">
        <v>1942</v>
      </c>
      <c r="I282" s="4" t="s">
        <v>26</v>
      </c>
      <c r="J282" s="2" t="s">
        <v>1943</v>
      </c>
      <c r="K282" s="5" t="s">
        <v>1944</v>
      </c>
    </row>
    <row r="283" spans="1:11" ht="285" x14ac:dyDescent="0.25">
      <c r="A283" s="2"/>
      <c r="B283" s="8" t="s">
        <v>100</v>
      </c>
      <c r="C283" s="2" t="s">
        <v>20</v>
      </c>
      <c r="D283" s="2" t="s">
        <v>1945</v>
      </c>
      <c r="E283" s="2" t="s">
        <v>1946</v>
      </c>
      <c r="F283" s="4" t="s">
        <v>1947</v>
      </c>
      <c r="G283" s="4" t="s">
        <v>1948</v>
      </c>
      <c r="H283" s="4" t="s">
        <v>1949</v>
      </c>
      <c r="I283" s="4" t="s">
        <v>42</v>
      </c>
      <c r="J283" s="2" t="s">
        <v>1950</v>
      </c>
      <c r="K283" s="5" t="s">
        <v>1951</v>
      </c>
    </row>
    <row r="284" spans="1:11" ht="180" x14ac:dyDescent="0.25">
      <c r="A284" s="2"/>
      <c r="B284" s="8" t="s">
        <v>19</v>
      </c>
      <c r="C284" s="2" t="s">
        <v>20</v>
      </c>
      <c r="D284" s="2" t="s">
        <v>1952</v>
      </c>
      <c r="E284" s="2" t="s">
        <v>1953</v>
      </c>
      <c r="F284" s="4" t="s">
        <v>1954</v>
      </c>
      <c r="G284" s="4" t="s">
        <v>1955</v>
      </c>
      <c r="H284" s="4" t="s">
        <v>1956</v>
      </c>
      <c r="I284" s="4" t="s">
        <v>26</v>
      </c>
      <c r="J284" s="2" t="s">
        <v>1957</v>
      </c>
      <c r="K284" s="5" t="s">
        <v>1958</v>
      </c>
    </row>
    <row r="285" spans="1:11" ht="180" x14ac:dyDescent="0.25">
      <c r="A285" s="8" t="s">
        <v>11</v>
      </c>
      <c r="B285" s="8">
        <v>1</v>
      </c>
      <c r="C285" s="2" t="s">
        <v>11</v>
      </c>
      <c r="D285" s="2" t="s">
        <v>1959</v>
      </c>
      <c r="E285" s="2" t="s">
        <v>1960</v>
      </c>
      <c r="F285" s="4" t="s">
        <v>1961</v>
      </c>
      <c r="G285" s="4" t="s">
        <v>1962</v>
      </c>
      <c r="H285" s="4" t="s">
        <v>1963</v>
      </c>
      <c r="I285" s="4" t="s">
        <v>26</v>
      </c>
      <c r="J285" s="2" t="s">
        <v>1964</v>
      </c>
      <c r="K285" s="5" t="s">
        <v>1965</v>
      </c>
    </row>
    <row r="286" spans="1:11" ht="330" x14ac:dyDescent="0.25">
      <c r="A286" s="8" t="s">
        <v>11</v>
      </c>
      <c r="B286" s="8">
        <v>2</v>
      </c>
      <c r="C286" s="8" t="s">
        <v>11</v>
      </c>
      <c r="D286" s="2" t="s">
        <v>1966</v>
      </c>
      <c r="E286" s="2" t="s">
        <v>1967</v>
      </c>
      <c r="F286" s="4" t="s">
        <v>1968</v>
      </c>
      <c r="G286" s="4" t="s">
        <v>1969</v>
      </c>
      <c r="H286" s="4" t="s">
        <v>1970</v>
      </c>
      <c r="I286" s="4" t="s">
        <v>42</v>
      </c>
      <c r="J286" s="2" t="s">
        <v>1971</v>
      </c>
      <c r="K286" s="13" t="s">
        <v>1972</v>
      </c>
    </row>
    <row r="287" spans="1:11" ht="195" x14ac:dyDescent="0.25">
      <c r="A287" s="2"/>
      <c r="B287" s="8" t="s">
        <v>19</v>
      </c>
      <c r="C287" s="2" t="s">
        <v>20</v>
      </c>
      <c r="D287" s="2" t="s">
        <v>1973</v>
      </c>
      <c r="E287" s="2" t="s">
        <v>1974</v>
      </c>
      <c r="F287" s="4" t="s">
        <v>1975</v>
      </c>
      <c r="G287" s="4" t="s">
        <v>1976</v>
      </c>
      <c r="H287" s="4" t="s">
        <v>1977</v>
      </c>
      <c r="I287" s="4" t="s">
        <v>42</v>
      </c>
      <c r="J287" s="2" t="s">
        <v>1978</v>
      </c>
      <c r="K287" s="5" t="s">
        <v>1979</v>
      </c>
    </row>
    <row r="288" spans="1:11" ht="225" x14ac:dyDescent="0.25">
      <c r="A288" s="8" t="s">
        <v>11</v>
      </c>
      <c r="B288" s="8">
        <v>1</v>
      </c>
      <c r="C288" s="2" t="s">
        <v>11</v>
      </c>
      <c r="D288" s="2" t="s">
        <v>1980</v>
      </c>
      <c r="E288" s="2" t="s">
        <v>1981</v>
      </c>
      <c r="F288" s="4" t="s">
        <v>1982</v>
      </c>
      <c r="G288" s="4" t="s">
        <v>1983</v>
      </c>
      <c r="H288" s="4" t="s">
        <v>1984</v>
      </c>
      <c r="I288" s="4" t="s">
        <v>26</v>
      </c>
      <c r="J288" s="2" t="s">
        <v>1985</v>
      </c>
      <c r="K288" s="5" t="s">
        <v>1986</v>
      </c>
    </row>
    <row r="289" spans="1:11" ht="180" x14ac:dyDescent="0.25">
      <c r="A289" s="2"/>
      <c r="B289" s="8" t="s">
        <v>1398</v>
      </c>
      <c r="C289" s="2" t="s">
        <v>20</v>
      </c>
      <c r="D289" s="2" t="s">
        <v>1987</v>
      </c>
      <c r="E289" s="2" t="s">
        <v>1988</v>
      </c>
      <c r="F289" s="4" t="s">
        <v>1989</v>
      </c>
      <c r="G289" s="4" t="s">
        <v>1990</v>
      </c>
      <c r="H289" s="4" t="s">
        <v>1991</v>
      </c>
      <c r="I289" s="4" t="s">
        <v>42</v>
      </c>
      <c r="J289" s="2" t="s">
        <v>1992</v>
      </c>
      <c r="K289" s="5" t="s">
        <v>1993</v>
      </c>
    </row>
    <row r="290" spans="1:11" ht="225" x14ac:dyDescent="0.25">
      <c r="A290" s="8" t="s">
        <v>11</v>
      </c>
      <c r="B290" s="8">
        <v>1</v>
      </c>
      <c r="C290" s="2" t="s">
        <v>11</v>
      </c>
      <c r="D290" s="2" t="s">
        <v>1994</v>
      </c>
      <c r="E290" s="2" t="s">
        <v>1995</v>
      </c>
      <c r="F290" s="4" t="s">
        <v>1996</v>
      </c>
      <c r="G290" s="4" t="s">
        <v>1997</v>
      </c>
      <c r="H290" s="4" t="s">
        <v>1998</v>
      </c>
      <c r="I290" s="4" t="s">
        <v>26</v>
      </c>
      <c r="J290" s="2" t="s">
        <v>1999</v>
      </c>
      <c r="K290" s="5" t="s">
        <v>2000</v>
      </c>
    </row>
    <row r="291" spans="1:11" ht="409.5" x14ac:dyDescent="0.25">
      <c r="A291" s="2"/>
      <c r="B291" s="8" t="s">
        <v>1398</v>
      </c>
      <c r="C291" s="2" t="s">
        <v>20</v>
      </c>
      <c r="D291" s="2" t="s">
        <v>2001</v>
      </c>
      <c r="E291" s="2" t="s">
        <v>2002</v>
      </c>
      <c r="F291" s="4" t="s">
        <v>2003</v>
      </c>
      <c r="G291" s="4" t="s">
        <v>2004</v>
      </c>
      <c r="I291" s="4" t="s">
        <v>26</v>
      </c>
      <c r="J291" s="2" t="s">
        <v>2005</v>
      </c>
      <c r="K291" s="5" t="s">
        <v>2006</v>
      </c>
    </row>
    <row r="292" spans="1:11" ht="255" x14ac:dyDescent="0.25">
      <c r="A292" s="8" t="s">
        <v>11</v>
      </c>
      <c r="B292" s="8">
        <v>1</v>
      </c>
      <c r="C292" s="2" t="s">
        <v>11</v>
      </c>
      <c r="D292" s="2" t="s">
        <v>2007</v>
      </c>
      <c r="E292" s="2" t="s">
        <v>2008</v>
      </c>
      <c r="F292" s="4" t="s">
        <v>2009</v>
      </c>
      <c r="G292" s="4" t="s">
        <v>2010</v>
      </c>
      <c r="H292" s="4" t="s">
        <v>2011</v>
      </c>
      <c r="I292" s="4" t="s">
        <v>42</v>
      </c>
      <c r="J292" s="2" t="s">
        <v>2012</v>
      </c>
      <c r="K292" s="5" t="s">
        <v>2013</v>
      </c>
    </row>
    <row r="293" spans="1:11" ht="135" x14ac:dyDescent="0.25">
      <c r="A293" s="2"/>
      <c r="B293" s="8" t="s">
        <v>19</v>
      </c>
      <c r="C293" s="2" t="s">
        <v>20</v>
      </c>
      <c r="D293" s="2" t="s">
        <v>2014</v>
      </c>
      <c r="E293" s="2" t="s">
        <v>2015</v>
      </c>
      <c r="F293" s="4" t="s">
        <v>2016</v>
      </c>
      <c r="G293" s="4" t="s">
        <v>2017</v>
      </c>
      <c r="H293" s="4" t="s">
        <v>2018</v>
      </c>
      <c r="I293" s="4" t="s">
        <v>42</v>
      </c>
      <c r="J293" s="2" t="s">
        <v>2019</v>
      </c>
      <c r="K293" s="5" t="s">
        <v>2020</v>
      </c>
    </row>
    <row r="294" spans="1:11" ht="180" x14ac:dyDescent="0.25">
      <c r="A294" s="8" t="s">
        <v>11</v>
      </c>
      <c r="B294" s="8">
        <v>2</v>
      </c>
      <c r="C294" s="8" t="s">
        <v>11</v>
      </c>
      <c r="D294" s="2" t="s">
        <v>2021</v>
      </c>
      <c r="E294" s="2" t="s">
        <v>2022</v>
      </c>
      <c r="F294" s="4" t="s">
        <v>2023</v>
      </c>
      <c r="G294" s="4" t="s">
        <v>2024</v>
      </c>
      <c r="I294" s="4" t="s">
        <v>702</v>
      </c>
      <c r="J294" s="2" t="s">
        <v>2025</v>
      </c>
      <c r="K294" s="13" t="s">
        <v>2026</v>
      </c>
    </row>
    <row r="295" spans="1:11" ht="135" x14ac:dyDescent="0.25">
      <c r="A295" s="2"/>
      <c r="B295" s="8" t="s">
        <v>100</v>
      </c>
      <c r="C295" s="2" t="s">
        <v>20</v>
      </c>
      <c r="D295" s="2" t="s">
        <v>2027</v>
      </c>
      <c r="E295" s="2" t="s">
        <v>2028</v>
      </c>
      <c r="F295" s="4" t="s">
        <v>2029</v>
      </c>
      <c r="G295" s="4" t="s">
        <v>2030</v>
      </c>
      <c r="H295" s="4" t="s">
        <v>2031</v>
      </c>
      <c r="I295" s="4" t="s">
        <v>26</v>
      </c>
      <c r="J295" s="2" t="s">
        <v>2032</v>
      </c>
      <c r="K295" s="5" t="s">
        <v>2033</v>
      </c>
    </row>
    <row r="296" spans="1:11" ht="120" x14ac:dyDescent="0.25">
      <c r="A296" s="2"/>
      <c r="B296" s="8" t="s">
        <v>100</v>
      </c>
      <c r="C296" s="2" t="s">
        <v>20</v>
      </c>
      <c r="D296" s="2" t="s">
        <v>2034</v>
      </c>
      <c r="E296" s="2" t="s">
        <v>2035</v>
      </c>
      <c r="F296" s="4" t="s">
        <v>2036</v>
      </c>
      <c r="G296" s="4" t="s">
        <v>2037</v>
      </c>
      <c r="H296" s="4" t="s">
        <v>2038</v>
      </c>
      <c r="I296" s="4" t="s">
        <v>42</v>
      </c>
      <c r="J296" s="2" t="s">
        <v>2039</v>
      </c>
      <c r="K296" s="5" t="s">
        <v>2040</v>
      </c>
    </row>
    <row r="297" spans="1:11" ht="195" x14ac:dyDescent="0.25">
      <c r="A297" s="2"/>
      <c r="B297" s="8" t="s">
        <v>100</v>
      </c>
      <c r="C297" s="2" t="s">
        <v>20</v>
      </c>
      <c r="D297" s="2" t="s">
        <v>2041</v>
      </c>
      <c r="E297" s="2" t="s">
        <v>2042</v>
      </c>
      <c r="F297" s="4" t="s">
        <v>2043</v>
      </c>
      <c r="G297" s="4" t="s">
        <v>2044</v>
      </c>
      <c r="H297" s="4" t="s">
        <v>2045</v>
      </c>
      <c r="I297" s="4" t="s">
        <v>42</v>
      </c>
      <c r="J297" s="2" t="s">
        <v>2046</v>
      </c>
      <c r="K297" s="5" t="s">
        <v>2047</v>
      </c>
    </row>
    <row r="298" spans="1:11" ht="270" x14ac:dyDescent="0.25">
      <c r="A298" s="2"/>
      <c r="B298" s="8" t="s">
        <v>19</v>
      </c>
      <c r="C298" s="2" t="s">
        <v>20</v>
      </c>
      <c r="D298" s="2" t="s">
        <v>2048</v>
      </c>
      <c r="E298" s="2" t="s">
        <v>2049</v>
      </c>
      <c r="F298" s="4" t="s">
        <v>2050</v>
      </c>
      <c r="G298" s="4" t="s">
        <v>2051</v>
      </c>
      <c r="H298" s="4" t="s">
        <v>2052</v>
      </c>
      <c r="I298" s="4" t="s">
        <v>42</v>
      </c>
      <c r="J298" s="2" t="s">
        <v>2053</v>
      </c>
      <c r="K298" s="5" t="s">
        <v>2054</v>
      </c>
    </row>
    <row r="299" spans="1:11" ht="225" x14ac:dyDescent="0.25">
      <c r="A299" s="2"/>
      <c r="B299" s="8" t="s">
        <v>100</v>
      </c>
      <c r="C299" s="2" t="s">
        <v>20</v>
      </c>
      <c r="D299" s="2" t="s">
        <v>2055</v>
      </c>
      <c r="E299" s="2" t="s">
        <v>2056</v>
      </c>
      <c r="F299" s="4" t="s">
        <v>2057</v>
      </c>
      <c r="G299" s="4" t="s">
        <v>2058</v>
      </c>
      <c r="H299" s="4" t="s">
        <v>2059</v>
      </c>
      <c r="I299" s="4" t="s">
        <v>26</v>
      </c>
      <c r="J299" s="2" t="s">
        <v>2060</v>
      </c>
      <c r="K299" s="5" t="s">
        <v>2061</v>
      </c>
    </row>
    <row r="300" spans="1:11" ht="150" x14ac:dyDescent="0.25">
      <c r="A300" s="2"/>
      <c r="B300" s="8" t="s">
        <v>100</v>
      </c>
      <c r="C300" s="2" t="s">
        <v>20</v>
      </c>
      <c r="D300" s="2" t="s">
        <v>2062</v>
      </c>
      <c r="E300" s="2" t="s">
        <v>2063</v>
      </c>
      <c r="F300" s="4" t="s">
        <v>2064</v>
      </c>
      <c r="G300" s="4" t="s">
        <v>2065</v>
      </c>
      <c r="H300" s="4" t="s">
        <v>2066</v>
      </c>
      <c r="I300" s="4" t="s">
        <v>42</v>
      </c>
      <c r="J300" s="2" t="s">
        <v>2067</v>
      </c>
      <c r="K300" s="5" t="s">
        <v>2068</v>
      </c>
    </row>
    <row r="301" spans="1:11" ht="150" x14ac:dyDescent="0.25">
      <c r="A301" s="2"/>
      <c r="B301" s="8" t="s">
        <v>19</v>
      </c>
      <c r="C301" s="2" t="s">
        <v>20</v>
      </c>
      <c r="D301" s="2" t="s">
        <v>2069</v>
      </c>
      <c r="E301" s="2" t="s">
        <v>1179</v>
      </c>
      <c r="F301" s="4" t="s">
        <v>2070</v>
      </c>
      <c r="G301" s="4" t="s">
        <v>2071</v>
      </c>
      <c r="H301" s="4" t="s">
        <v>2072</v>
      </c>
      <c r="I301" s="4" t="s">
        <v>42</v>
      </c>
      <c r="J301" s="2" t="s">
        <v>2073</v>
      </c>
      <c r="K301" s="5" t="s">
        <v>2074</v>
      </c>
    </row>
    <row r="302" spans="1:11" ht="150" x14ac:dyDescent="0.25">
      <c r="A302" s="8" t="s">
        <v>11</v>
      </c>
      <c r="B302" s="8">
        <v>1</v>
      </c>
      <c r="C302" s="2" t="s">
        <v>11</v>
      </c>
      <c r="D302" s="2" t="s">
        <v>2075</v>
      </c>
      <c r="E302" s="2" t="s">
        <v>2076</v>
      </c>
      <c r="F302" s="4" t="s">
        <v>2077</v>
      </c>
      <c r="G302" s="4" t="s">
        <v>2078</v>
      </c>
      <c r="H302" s="4" t="s">
        <v>2079</v>
      </c>
      <c r="I302" s="4" t="s">
        <v>42</v>
      </c>
      <c r="J302" s="2" t="s">
        <v>2080</v>
      </c>
      <c r="K302" s="5" t="s">
        <v>2081</v>
      </c>
    </row>
    <row r="303" spans="1:11" ht="180" x14ac:dyDescent="0.25">
      <c r="A303" s="2"/>
      <c r="B303" s="8" t="s">
        <v>100</v>
      </c>
      <c r="C303" s="2" t="s">
        <v>20</v>
      </c>
      <c r="D303" s="2" t="s">
        <v>2082</v>
      </c>
      <c r="E303" s="2" t="s">
        <v>2083</v>
      </c>
      <c r="F303" s="4" t="s">
        <v>2084</v>
      </c>
      <c r="G303" s="4" t="s">
        <v>2085</v>
      </c>
      <c r="H303" s="4" t="s">
        <v>2086</v>
      </c>
      <c r="I303" s="4" t="s">
        <v>26</v>
      </c>
      <c r="J303" s="2" t="s">
        <v>2087</v>
      </c>
      <c r="K303" s="5" t="s">
        <v>2088</v>
      </c>
    </row>
    <row r="304" spans="1:11" ht="210" x14ac:dyDescent="0.25">
      <c r="A304" s="2"/>
      <c r="B304" s="8" t="s">
        <v>100</v>
      </c>
      <c r="C304" s="2" t="s">
        <v>20</v>
      </c>
      <c r="D304" s="2" t="s">
        <v>2089</v>
      </c>
      <c r="E304" s="2" t="s">
        <v>2090</v>
      </c>
      <c r="F304" s="4" t="s">
        <v>2091</v>
      </c>
      <c r="G304" s="4" t="s">
        <v>2092</v>
      </c>
      <c r="H304" s="4" t="s">
        <v>2093</v>
      </c>
      <c r="I304" s="4" t="s">
        <v>42</v>
      </c>
      <c r="J304" s="2" t="s">
        <v>2094</v>
      </c>
      <c r="K304" s="5" t="s">
        <v>2095</v>
      </c>
    </row>
    <row r="305" spans="1:11" ht="255" x14ac:dyDescent="0.25">
      <c r="A305" s="2"/>
      <c r="B305" s="8" t="s">
        <v>19</v>
      </c>
      <c r="C305" s="2" t="s">
        <v>20</v>
      </c>
      <c r="D305" s="2" t="s">
        <v>2096</v>
      </c>
      <c r="E305" s="2" t="s">
        <v>2097</v>
      </c>
      <c r="F305" s="4" t="s">
        <v>2098</v>
      </c>
      <c r="G305" s="4" t="s">
        <v>2099</v>
      </c>
      <c r="H305" s="4" t="s">
        <v>2100</v>
      </c>
      <c r="I305" s="4" t="s">
        <v>42</v>
      </c>
      <c r="J305" s="2" t="s">
        <v>2101</v>
      </c>
      <c r="K305" s="5" t="s">
        <v>2102</v>
      </c>
    </row>
    <row r="306" spans="1:11" ht="150" x14ac:dyDescent="0.25">
      <c r="A306" s="2"/>
      <c r="B306" s="8" t="s">
        <v>52</v>
      </c>
      <c r="C306" s="2" t="s">
        <v>20</v>
      </c>
      <c r="D306" s="2" t="s">
        <v>2103</v>
      </c>
      <c r="E306" s="2" t="s">
        <v>2104</v>
      </c>
      <c r="F306" s="4" t="s">
        <v>2105</v>
      </c>
      <c r="G306" s="4" t="s">
        <v>2106</v>
      </c>
      <c r="H306" s="4" t="s">
        <v>2107</v>
      </c>
      <c r="I306" s="4" t="s">
        <v>42</v>
      </c>
      <c r="J306" s="2" t="s">
        <v>2108</v>
      </c>
      <c r="K306" s="5" t="s">
        <v>2109</v>
      </c>
    </row>
    <row r="307" spans="1:11" ht="135" x14ac:dyDescent="0.25">
      <c r="A307" s="2"/>
      <c r="B307" s="8" t="s">
        <v>74</v>
      </c>
      <c r="C307" s="2" t="s">
        <v>20</v>
      </c>
      <c r="D307" s="2" t="s">
        <v>2110</v>
      </c>
      <c r="F307" s="4" t="s">
        <v>2111</v>
      </c>
      <c r="G307" s="4" t="s">
        <v>2112</v>
      </c>
      <c r="I307" s="4" t="s">
        <v>42</v>
      </c>
      <c r="K307" s="5" t="s">
        <v>2113</v>
      </c>
    </row>
    <row r="308" spans="1:11" ht="180" x14ac:dyDescent="0.25">
      <c r="A308" s="8" t="s">
        <v>11</v>
      </c>
      <c r="B308" s="8">
        <v>2</v>
      </c>
      <c r="C308" s="8" t="s">
        <v>11</v>
      </c>
      <c r="D308" s="2" t="s">
        <v>2114</v>
      </c>
      <c r="E308" s="2" t="s">
        <v>2115</v>
      </c>
      <c r="F308" s="4" t="s">
        <v>2116</v>
      </c>
      <c r="G308" s="4" t="s">
        <v>2117</v>
      </c>
      <c r="H308" s="4" t="s">
        <v>2118</v>
      </c>
      <c r="I308" s="4" t="s">
        <v>42</v>
      </c>
      <c r="J308" s="2" t="s">
        <v>2119</v>
      </c>
      <c r="K308" s="13" t="s">
        <v>2120</v>
      </c>
    </row>
    <row r="309" spans="1:11" ht="195" x14ac:dyDescent="0.25">
      <c r="A309" s="2"/>
      <c r="B309" s="8" t="s">
        <v>29</v>
      </c>
      <c r="C309" s="2" t="s">
        <v>20</v>
      </c>
      <c r="D309" s="2" t="s">
        <v>2121</v>
      </c>
      <c r="E309" s="2" t="s">
        <v>2122</v>
      </c>
      <c r="F309" s="4" t="s">
        <v>2123</v>
      </c>
      <c r="G309" s="4" t="s">
        <v>2124</v>
      </c>
      <c r="H309" s="4" t="s">
        <v>2125</v>
      </c>
      <c r="I309" s="4" t="s">
        <v>42</v>
      </c>
      <c r="J309" s="2" t="s">
        <v>2126</v>
      </c>
      <c r="K309" s="5" t="s">
        <v>2127</v>
      </c>
    </row>
    <row r="310" spans="1:11" ht="409.5" x14ac:dyDescent="0.25">
      <c r="A310" s="2"/>
      <c r="B310" s="8" t="s">
        <v>100</v>
      </c>
      <c r="C310" s="2" t="s">
        <v>20</v>
      </c>
      <c r="D310" s="2" t="s">
        <v>2128</v>
      </c>
      <c r="E310" s="2" t="s">
        <v>2129</v>
      </c>
      <c r="F310" s="4" t="s">
        <v>2130</v>
      </c>
      <c r="G310" s="4" t="s">
        <v>2131</v>
      </c>
      <c r="H310" s="4" t="s">
        <v>2132</v>
      </c>
      <c r="I310" s="4" t="s">
        <v>26</v>
      </c>
      <c r="J310" s="2" t="s">
        <v>2133</v>
      </c>
      <c r="K310" s="5" t="s">
        <v>2134</v>
      </c>
    </row>
    <row r="311" spans="1:11" ht="195" x14ac:dyDescent="0.25">
      <c r="A311" s="8" t="s">
        <v>11</v>
      </c>
      <c r="B311" s="8">
        <v>2</v>
      </c>
      <c r="C311" s="8" t="s">
        <v>11</v>
      </c>
      <c r="D311" s="2" t="s">
        <v>2135</v>
      </c>
      <c r="E311" s="2" t="s">
        <v>968</v>
      </c>
      <c r="F311" s="4" t="s">
        <v>2136</v>
      </c>
      <c r="G311" s="4" t="s">
        <v>2137</v>
      </c>
      <c r="H311" s="4" t="s">
        <v>2138</v>
      </c>
      <c r="I311" s="4" t="s">
        <v>42</v>
      </c>
      <c r="J311" s="2" t="s">
        <v>2139</v>
      </c>
      <c r="K311" s="13" t="s">
        <v>2140</v>
      </c>
    </row>
    <row r="312" spans="1:11" ht="195" x14ac:dyDescent="0.25">
      <c r="A312" s="2"/>
      <c r="B312" s="8" t="s">
        <v>100</v>
      </c>
      <c r="C312" s="2" t="s">
        <v>20</v>
      </c>
      <c r="D312" s="2" t="s">
        <v>2141</v>
      </c>
      <c r="E312" s="2" t="s">
        <v>2142</v>
      </c>
      <c r="F312" s="4" t="s">
        <v>2143</v>
      </c>
      <c r="G312" s="4" t="s">
        <v>2144</v>
      </c>
      <c r="H312" s="4" t="s">
        <v>2145</v>
      </c>
      <c r="I312" s="4" t="s">
        <v>42</v>
      </c>
      <c r="J312" s="2" t="s">
        <v>2146</v>
      </c>
      <c r="K312" s="5" t="s">
        <v>2147</v>
      </c>
    </row>
    <row r="313" spans="1:11" ht="375" x14ac:dyDescent="0.25">
      <c r="A313" s="8" t="s">
        <v>11</v>
      </c>
      <c r="B313" s="8">
        <v>1</v>
      </c>
      <c r="C313" s="2" t="s">
        <v>11</v>
      </c>
      <c r="D313" s="2" t="s">
        <v>2148</v>
      </c>
      <c r="E313" s="2" t="s">
        <v>2149</v>
      </c>
      <c r="F313" s="4" t="s">
        <v>2150</v>
      </c>
      <c r="G313" s="4" t="s">
        <v>2151</v>
      </c>
      <c r="H313" s="4" t="s">
        <v>2152</v>
      </c>
      <c r="I313" s="4" t="s">
        <v>26</v>
      </c>
      <c r="K313" s="5" t="s">
        <v>2153</v>
      </c>
    </row>
    <row r="314" spans="1:11" ht="150" x14ac:dyDescent="0.25">
      <c r="A314" s="2"/>
      <c r="B314" s="8" t="s">
        <v>29</v>
      </c>
      <c r="C314" s="2" t="s">
        <v>20</v>
      </c>
      <c r="D314" s="2" t="s">
        <v>2154</v>
      </c>
      <c r="E314" s="2" t="s">
        <v>2155</v>
      </c>
      <c r="F314" s="4" t="s">
        <v>2156</v>
      </c>
      <c r="G314" s="4" t="s">
        <v>2157</v>
      </c>
      <c r="H314" s="4" t="s">
        <v>2158</v>
      </c>
      <c r="I314" s="4" t="s">
        <v>42</v>
      </c>
      <c r="J314" s="2" t="s">
        <v>2159</v>
      </c>
      <c r="K314" s="5" t="s">
        <v>2160</v>
      </c>
    </row>
    <row r="315" spans="1:11" ht="180" x14ac:dyDescent="0.25">
      <c r="A315" s="2"/>
      <c r="B315" s="8" t="s">
        <v>19</v>
      </c>
      <c r="C315" s="2" t="s">
        <v>20</v>
      </c>
      <c r="D315" s="2" t="s">
        <v>2161</v>
      </c>
      <c r="E315" s="2" t="s">
        <v>2162</v>
      </c>
      <c r="F315" s="4" t="s">
        <v>2163</v>
      </c>
      <c r="G315" s="4" t="s">
        <v>2164</v>
      </c>
      <c r="H315" s="4" t="s">
        <v>2165</v>
      </c>
      <c r="I315" s="4" t="s">
        <v>26</v>
      </c>
      <c r="J315" s="2" t="s">
        <v>2166</v>
      </c>
      <c r="K315" s="5" t="s">
        <v>2167</v>
      </c>
    </row>
    <row r="316" spans="1:11" ht="210" x14ac:dyDescent="0.25">
      <c r="A316" s="2"/>
      <c r="B316" s="8" t="s">
        <v>19</v>
      </c>
      <c r="C316" s="2" t="s">
        <v>20</v>
      </c>
      <c r="D316" s="2" t="s">
        <v>2168</v>
      </c>
      <c r="E316" s="2" t="s">
        <v>2169</v>
      </c>
      <c r="F316" s="4" t="s">
        <v>2170</v>
      </c>
      <c r="G316" s="4" t="s">
        <v>2171</v>
      </c>
      <c r="H316" s="4" t="s">
        <v>2172</v>
      </c>
      <c r="I316" s="4" t="s">
        <v>42</v>
      </c>
      <c r="J316" s="2" t="s">
        <v>2173</v>
      </c>
      <c r="K316" s="5" t="s">
        <v>2174</v>
      </c>
    </row>
    <row r="317" spans="1:11" ht="135" x14ac:dyDescent="0.25">
      <c r="A317" s="8" t="s">
        <v>11</v>
      </c>
      <c r="B317" s="8">
        <v>1</v>
      </c>
      <c r="C317" s="2" t="s">
        <v>11</v>
      </c>
      <c r="D317" s="2" t="s">
        <v>2175</v>
      </c>
      <c r="E317" s="2" t="s">
        <v>2176</v>
      </c>
      <c r="F317" s="4" t="s">
        <v>2177</v>
      </c>
      <c r="G317" s="4" t="s">
        <v>2178</v>
      </c>
      <c r="H317" s="4" t="s">
        <v>2179</v>
      </c>
      <c r="I317" s="4" t="s">
        <v>702</v>
      </c>
      <c r="J317" s="2" t="s">
        <v>2180</v>
      </c>
      <c r="K317" s="5" t="s">
        <v>2181</v>
      </c>
    </row>
    <row r="318" spans="1:11" ht="90" x14ac:dyDescent="0.25">
      <c r="A318" s="8" t="s">
        <v>11</v>
      </c>
      <c r="B318" s="8">
        <v>1</v>
      </c>
      <c r="C318" s="2" t="s">
        <v>11</v>
      </c>
      <c r="D318" s="2" t="s">
        <v>2182</v>
      </c>
      <c r="E318" s="2" t="s">
        <v>2183</v>
      </c>
      <c r="F318" s="4" t="s">
        <v>2184</v>
      </c>
      <c r="G318" s="4" t="s">
        <v>2185</v>
      </c>
      <c r="H318" s="4" t="s">
        <v>2186</v>
      </c>
      <c r="I318" s="4" t="s">
        <v>42</v>
      </c>
      <c r="J318" s="2" t="s">
        <v>2187</v>
      </c>
      <c r="K318" s="5" t="s">
        <v>2188</v>
      </c>
    </row>
    <row r="319" spans="1:11" ht="285" x14ac:dyDescent="0.25">
      <c r="A319" s="2"/>
      <c r="B319" s="8" t="s">
        <v>100</v>
      </c>
      <c r="C319" s="2" t="s">
        <v>20</v>
      </c>
      <c r="D319" s="2" t="s">
        <v>2189</v>
      </c>
      <c r="E319" s="2" t="s">
        <v>2190</v>
      </c>
      <c r="F319" s="4" t="s">
        <v>2191</v>
      </c>
      <c r="G319" s="4" t="s">
        <v>2192</v>
      </c>
      <c r="H319" s="4" t="s">
        <v>2193</v>
      </c>
      <c r="I319" s="4" t="s">
        <v>26</v>
      </c>
      <c r="J319" s="2" t="s">
        <v>2194</v>
      </c>
      <c r="K319" s="5" t="s">
        <v>2195</v>
      </c>
    </row>
    <row r="320" spans="1:11" ht="210" x14ac:dyDescent="0.25">
      <c r="A320" s="2"/>
      <c r="B320" s="8" t="s">
        <v>19</v>
      </c>
      <c r="C320" s="2" t="s">
        <v>20</v>
      </c>
      <c r="D320" s="2" t="s">
        <v>2196</v>
      </c>
      <c r="E320" s="2" t="s">
        <v>2197</v>
      </c>
      <c r="F320" s="4" t="s">
        <v>2198</v>
      </c>
      <c r="G320" s="4" t="s">
        <v>2199</v>
      </c>
      <c r="H320" s="4" t="s">
        <v>2200</v>
      </c>
      <c r="I320" s="4" t="s">
        <v>42</v>
      </c>
      <c r="J320" s="2" t="s">
        <v>2201</v>
      </c>
      <c r="K320" s="5" t="s">
        <v>2202</v>
      </c>
    </row>
    <row r="321" spans="1:11" ht="240" x14ac:dyDescent="0.25">
      <c r="A321" s="2"/>
      <c r="B321" s="8" t="s">
        <v>19</v>
      </c>
      <c r="C321" s="2" t="s">
        <v>20</v>
      </c>
      <c r="D321" s="2" t="s">
        <v>2203</v>
      </c>
      <c r="E321" s="2" t="s">
        <v>1304</v>
      </c>
      <c r="F321" s="4" t="s">
        <v>1305</v>
      </c>
      <c r="G321" s="4" t="s">
        <v>1306</v>
      </c>
      <c r="H321" s="4" t="s">
        <v>1307</v>
      </c>
      <c r="I321" s="4" t="s">
        <v>42</v>
      </c>
      <c r="J321" s="2" t="s">
        <v>1308</v>
      </c>
      <c r="K321" s="5" t="s">
        <v>2204</v>
      </c>
    </row>
    <row r="322" spans="1:11" ht="270" x14ac:dyDescent="0.25">
      <c r="A322" s="2"/>
      <c r="B322" s="8" t="s">
        <v>19</v>
      </c>
      <c r="C322" s="2" t="s">
        <v>20</v>
      </c>
      <c r="D322" s="2" t="s">
        <v>2205</v>
      </c>
      <c r="E322" s="2" t="s">
        <v>2206</v>
      </c>
      <c r="F322" s="4" t="s">
        <v>2207</v>
      </c>
      <c r="G322" s="4" t="s">
        <v>2208</v>
      </c>
      <c r="H322" s="4" t="s">
        <v>2209</v>
      </c>
      <c r="I322" s="4" t="s">
        <v>42</v>
      </c>
      <c r="J322" s="2" t="s">
        <v>2210</v>
      </c>
      <c r="K322" s="5" t="s">
        <v>2211</v>
      </c>
    </row>
    <row r="323" spans="1:11" ht="165" x14ac:dyDescent="0.25">
      <c r="A323" s="8" t="s">
        <v>11</v>
      </c>
      <c r="B323" s="8">
        <v>1</v>
      </c>
      <c r="C323" s="2" t="s">
        <v>11</v>
      </c>
      <c r="D323" s="2" t="s">
        <v>2212</v>
      </c>
      <c r="E323" s="2" t="s">
        <v>2213</v>
      </c>
      <c r="F323" s="4" t="s">
        <v>2214</v>
      </c>
      <c r="G323" s="4" t="s">
        <v>2215</v>
      </c>
      <c r="H323" s="4" t="s">
        <v>2216</v>
      </c>
      <c r="I323" s="4" t="s">
        <v>42</v>
      </c>
      <c r="J323" s="2" t="s">
        <v>2217</v>
      </c>
      <c r="K323" s="5" t="s">
        <v>2218</v>
      </c>
    </row>
    <row r="324" spans="1:11" ht="225" x14ac:dyDescent="0.25">
      <c r="A324" s="8" t="s">
        <v>11</v>
      </c>
      <c r="B324" s="8">
        <v>3</v>
      </c>
      <c r="C324" s="2" t="s">
        <v>11</v>
      </c>
      <c r="D324" s="2" t="s">
        <v>2219</v>
      </c>
      <c r="E324" s="2" t="s">
        <v>2220</v>
      </c>
      <c r="F324" s="4" t="s">
        <v>2221</v>
      </c>
      <c r="G324" s="4" t="s">
        <v>2222</v>
      </c>
      <c r="H324" s="4" t="s">
        <v>2223</v>
      </c>
      <c r="I324" s="4" t="s">
        <v>26</v>
      </c>
      <c r="J324" s="2" t="s">
        <v>2224</v>
      </c>
      <c r="K324" s="5" t="s">
        <v>2225</v>
      </c>
    </row>
    <row r="325" spans="1:11" ht="165" x14ac:dyDescent="0.25">
      <c r="A325" s="2"/>
      <c r="B325" s="8" t="s">
        <v>19</v>
      </c>
      <c r="C325" s="2" t="s">
        <v>20</v>
      </c>
      <c r="D325" s="2" t="s">
        <v>2226</v>
      </c>
      <c r="E325" s="2" t="s">
        <v>2227</v>
      </c>
      <c r="F325" s="4" t="s">
        <v>2228</v>
      </c>
      <c r="G325" s="4" t="s">
        <v>2229</v>
      </c>
      <c r="H325" s="4" t="s">
        <v>2230</v>
      </c>
      <c r="I325" s="4" t="s">
        <v>26</v>
      </c>
      <c r="J325" s="2" t="s">
        <v>2231</v>
      </c>
      <c r="K325" s="5" t="s">
        <v>2232</v>
      </c>
    </row>
    <row r="326" spans="1:11" ht="225" x14ac:dyDescent="0.25">
      <c r="A326" s="2"/>
      <c r="B326" s="8" t="s">
        <v>100</v>
      </c>
      <c r="C326" s="2" t="s">
        <v>20</v>
      </c>
      <c r="D326" s="2" t="s">
        <v>2233</v>
      </c>
      <c r="E326" s="2" t="s">
        <v>2234</v>
      </c>
      <c r="F326" s="4" t="s">
        <v>2235</v>
      </c>
      <c r="G326" s="4" t="s">
        <v>2236</v>
      </c>
      <c r="H326" s="4" t="s">
        <v>2237</v>
      </c>
      <c r="I326" s="4" t="s">
        <v>26</v>
      </c>
      <c r="J326" s="2" t="s">
        <v>2238</v>
      </c>
      <c r="K326" s="5" t="s">
        <v>2239</v>
      </c>
    </row>
    <row r="327" spans="1:11" ht="240" x14ac:dyDescent="0.25">
      <c r="A327" s="2"/>
      <c r="B327" s="8" t="s">
        <v>52</v>
      </c>
      <c r="C327" s="2" t="s">
        <v>20</v>
      </c>
      <c r="D327" s="2" t="s">
        <v>2240</v>
      </c>
      <c r="E327" s="2" t="s">
        <v>2241</v>
      </c>
      <c r="F327" s="4" t="s">
        <v>2242</v>
      </c>
      <c r="G327" s="4" t="s">
        <v>2243</v>
      </c>
      <c r="H327" s="4" t="s">
        <v>2244</v>
      </c>
      <c r="I327" s="4" t="s">
        <v>26</v>
      </c>
      <c r="J327" s="2" t="s">
        <v>2245</v>
      </c>
      <c r="K327" s="5" t="s">
        <v>2246</v>
      </c>
    </row>
    <row r="328" spans="1:11" ht="150" x14ac:dyDescent="0.25">
      <c r="A328" s="2"/>
      <c r="B328" s="8" t="s">
        <v>100</v>
      </c>
      <c r="C328" s="2" t="s">
        <v>20</v>
      </c>
      <c r="D328" s="2" t="s">
        <v>2247</v>
      </c>
      <c r="E328" s="2" t="s">
        <v>2248</v>
      </c>
      <c r="F328" s="4" t="s">
        <v>2249</v>
      </c>
      <c r="G328" s="4" t="s">
        <v>2250</v>
      </c>
      <c r="H328" s="4" t="s">
        <v>2251</v>
      </c>
      <c r="I328" s="4" t="s">
        <v>26</v>
      </c>
      <c r="J328" s="2" t="s">
        <v>2252</v>
      </c>
      <c r="K328" s="5" t="s">
        <v>2253</v>
      </c>
    </row>
    <row r="329" spans="1:11" ht="165" x14ac:dyDescent="0.25">
      <c r="A329" s="2"/>
      <c r="B329" s="8" t="s">
        <v>100</v>
      </c>
      <c r="C329" s="2" t="s">
        <v>20</v>
      </c>
      <c r="D329" s="2" t="s">
        <v>2254</v>
      </c>
      <c r="E329" s="2" t="s">
        <v>2255</v>
      </c>
      <c r="F329" s="4" t="s">
        <v>2256</v>
      </c>
      <c r="G329" s="4" t="s">
        <v>2257</v>
      </c>
      <c r="H329" s="4" t="s">
        <v>2258</v>
      </c>
      <c r="I329" s="4" t="s">
        <v>42</v>
      </c>
      <c r="J329" s="2" t="s">
        <v>2259</v>
      </c>
      <c r="K329" s="5" t="s">
        <v>2260</v>
      </c>
    </row>
    <row r="330" spans="1:11" ht="195" x14ac:dyDescent="0.25">
      <c r="A330" s="2"/>
      <c r="B330" s="8" t="s">
        <v>52</v>
      </c>
      <c r="C330" s="2" t="s">
        <v>20</v>
      </c>
      <c r="D330" s="2" t="s">
        <v>2261</v>
      </c>
      <c r="E330" s="2" t="s">
        <v>2262</v>
      </c>
      <c r="F330" s="4" t="s">
        <v>2263</v>
      </c>
      <c r="G330" s="4" t="s">
        <v>2264</v>
      </c>
      <c r="H330" s="4" t="s">
        <v>2265</v>
      </c>
      <c r="I330" s="4" t="s">
        <v>42</v>
      </c>
      <c r="J330" s="2" t="s">
        <v>2266</v>
      </c>
      <c r="K330" s="5" t="s">
        <v>2267</v>
      </c>
    </row>
    <row r="331" spans="1:11" ht="285" x14ac:dyDescent="0.25">
      <c r="B331" s="8" t="s">
        <v>74</v>
      </c>
      <c r="C331" s="2" t="s">
        <v>20</v>
      </c>
      <c r="D331" s="2" t="s">
        <v>2268</v>
      </c>
      <c r="F331" s="4" t="s">
        <v>2269</v>
      </c>
      <c r="G331" s="4" t="s">
        <v>2270</v>
      </c>
      <c r="I331" s="4" t="s">
        <v>26</v>
      </c>
      <c r="K331" s="5" t="s">
        <v>2271</v>
      </c>
    </row>
    <row r="332" spans="1:11" ht="195" x14ac:dyDescent="0.25">
      <c r="A332" s="2"/>
      <c r="B332" s="8" t="s">
        <v>52</v>
      </c>
      <c r="C332" s="2" t="s">
        <v>20</v>
      </c>
      <c r="D332" s="2" t="s">
        <v>2272</v>
      </c>
      <c r="E332" s="2" t="s">
        <v>2273</v>
      </c>
      <c r="F332" s="4" t="s">
        <v>2274</v>
      </c>
      <c r="G332" s="4" t="s">
        <v>2275</v>
      </c>
      <c r="H332" s="4" t="s">
        <v>2276</v>
      </c>
      <c r="I332" s="4" t="s">
        <v>26</v>
      </c>
      <c r="J332" s="2" t="s">
        <v>2277</v>
      </c>
      <c r="K332" s="5" t="s">
        <v>2278</v>
      </c>
    </row>
    <row r="333" spans="1:11" ht="180" x14ac:dyDescent="0.25">
      <c r="A333" s="2"/>
      <c r="B333" s="8" t="s">
        <v>19</v>
      </c>
      <c r="C333" s="2" t="s">
        <v>20</v>
      </c>
      <c r="D333" s="2" t="s">
        <v>2279</v>
      </c>
      <c r="E333" s="2" t="s">
        <v>2280</v>
      </c>
      <c r="F333" s="4" t="s">
        <v>2281</v>
      </c>
      <c r="G333" s="4" t="s">
        <v>2282</v>
      </c>
      <c r="H333" s="4" t="s">
        <v>2283</v>
      </c>
      <c r="I333" s="4" t="s">
        <v>42</v>
      </c>
      <c r="J333" s="2" t="s">
        <v>2284</v>
      </c>
      <c r="K333" s="5" t="s">
        <v>2285</v>
      </c>
    </row>
    <row r="334" spans="1:11" ht="195" x14ac:dyDescent="0.25">
      <c r="A334" s="8" t="s">
        <v>11</v>
      </c>
      <c r="B334" s="8">
        <v>2</v>
      </c>
      <c r="C334" s="8" t="s">
        <v>11</v>
      </c>
      <c r="D334" s="2" t="s">
        <v>2286</v>
      </c>
      <c r="E334" s="2" t="s">
        <v>2287</v>
      </c>
      <c r="F334" s="4" t="s">
        <v>2288</v>
      </c>
      <c r="G334" s="4" t="s">
        <v>2289</v>
      </c>
      <c r="H334" s="4" t="s">
        <v>2290</v>
      </c>
      <c r="I334" s="4" t="s">
        <v>42</v>
      </c>
      <c r="J334" s="2" t="s">
        <v>2291</v>
      </c>
      <c r="K334" s="13" t="s">
        <v>2292</v>
      </c>
    </row>
    <row r="335" spans="1:11" ht="195" x14ac:dyDescent="0.25">
      <c r="A335" s="2"/>
      <c r="B335" s="8" t="s">
        <v>19</v>
      </c>
      <c r="C335" s="2" t="s">
        <v>20</v>
      </c>
      <c r="D335" s="2" t="s">
        <v>2293</v>
      </c>
      <c r="E335" s="2" t="s">
        <v>2294</v>
      </c>
      <c r="F335" s="4" t="s">
        <v>2295</v>
      </c>
      <c r="G335" s="4" t="s">
        <v>2296</v>
      </c>
      <c r="H335" s="4" t="s">
        <v>2297</v>
      </c>
      <c r="I335" s="4" t="s">
        <v>26</v>
      </c>
      <c r="J335" s="2" t="s">
        <v>2298</v>
      </c>
      <c r="K335" s="5" t="s">
        <v>2299</v>
      </c>
    </row>
    <row r="336" spans="1:11" ht="180" x14ac:dyDescent="0.25">
      <c r="A336" s="2"/>
      <c r="B336" s="8" t="s">
        <v>100</v>
      </c>
      <c r="C336" s="2" t="s">
        <v>20</v>
      </c>
      <c r="D336" s="2" t="s">
        <v>2300</v>
      </c>
      <c r="E336" s="2" t="s">
        <v>2301</v>
      </c>
      <c r="F336" s="4" t="s">
        <v>2302</v>
      </c>
      <c r="G336" s="4" t="s">
        <v>2303</v>
      </c>
      <c r="H336" s="4" t="s">
        <v>2304</v>
      </c>
      <c r="I336" s="4" t="s">
        <v>26</v>
      </c>
      <c r="J336" s="2" t="s">
        <v>2305</v>
      </c>
      <c r="K336" s="5" t="s">
        <v>2306</v>
      </c>
    </row>
    <row r="337" spans="1:11" ht="210" x14ac:dyDescent="0.25">
      <c r="A337" s="2"/>
      <c r="B337" s="8" t="s">
        <v>52</v>
      </c>
      <c r="C337" s="2" t="s">
        <v>20</v>
      </c>
      <c r="D337" s="2" t="s">
        <v>2307</v>
      </c>
      <c r="E337" s="2" t="s">
        <v>2308</v>
      </c>
      <c r="F337" s="4" t="s">
        <v>2309</v>
      </c>
      <c r="G337" s="4" t="s">
        <v>2310</v>
      </c>
      <c r="H337" s="4" t="s">
        <v>2311</v>
      </c>
      <c r="I337" s="4" t="s">
        <v>42</v>
      </c>
      <c r="J337" s="2" t="s">
        <v>2312</v>
      </c>
      <c r="K337" s="5" t="s">
        <v>2313</v>
      </c>
    </row>
    <row r="338" spans="1:11" ht="90" x14ac:dyDescent="0.25">
      <c r="A338" s="8" t="s">
        <v>20</v>
      </c>
      <c r="B338" s="8">
        <v>1</v>
      </c>
      <c r="C338" s="2" t="s">
        <v>11</v>
      </c>
      <c r="D338" s="2" t="s">
        <v>2314</v>
      </c>
      <c r="E338" s="2" t="s">
        <v>2315</v>
      </c>
      <c r="F338" s="4" t="s">
        <v>2316</v>
      </c>
      <c r="G338" s="4" t="s">
        <v>2317</v>
      </c>
      <c r="H338" s="4" t="s">
        <v>2318</v>
      </c>
      <c r="J338" s="2" t="s">
        <v>2319</v>
      </c>
      <c r="K338" s="5" t="s">
        <v>2320</v>
      </c>
    </row>
    <row r="339" spans="1:11" ht="90" x14ac:dyDescent="0.25">
      <c r="A339" s="8" t="s">
        <v>11</v>
      </c>
      <c r="B339" s="8">
        <v>1</v>
      </c>
      <c r="C339" s="2" t="s">
        <v>11</v>
      </c>
      <c r="D339" s="2" t="s">
        <v>2321</v>
      </c>
      <c r="E339" s="2" t="s">
        <v>2322</v>
      </c>
      <c r="F339" s="4" t="s">
        <v>2323</v>
      </c>
      <c r="G339" s="4" t="s">
        <v>2324</v>
      </c>
      <c r="H339" s="4" t="s">
        <v>2325</v>
      </c>
      <c r="I339" s="4" t="s">
        <v>42</v>
      </c>
      <c r="J339" s="2" t="s">
        <v>2326</v>
      </c>
      <c r="K339" s="5" t="s">
        <v>2327</v>
      </c>
    </row>
    <row r="340" spans="1:11" ht="165" x14ac:dyDescent="0.25">
      <c r="A340" s="2"/>
      <c r="B340" s="8" t="s">
        <v>100</v>
      </c>
      <c r="C340" s="2" t="s">
        <v>20</v>
      </c>
      <c r="D340" s="2" t="s">
        <v>2328</v>
      </c>
      <c r="E340" s="2" t="s">
        <v>2329</v>
      </c>
      <c r="F340" s="4" t="s">
        <v>2330</v>
      </c>
      <c r="G340" s="4" t="s">
        <v>2331</v>
      </c>
      <c r="H340" s="4" t="s">
        <v>2332</v>
      </c>
      <c r="I340" s="4" t="s">
        <v>26</v>
      </c>
      <c r="J340" s="2" t="s">
        <v>2333</v>
      </c>
      <c r="K340" s="5" t="s">
        <v>2334</v>
      </c>
    </row>
    <row r="341" spans="1:11" ht="195" x14ac:dyDescent="0.25">
      <c r="A341" s="2"/>
      <c r="B341" s="8" t="s">
        <v>100</v>
      </c>
      <c r="C341" s="2" t="s">
        <v>20</v>
      </c>
      <c r="D341" s="2" t="s">
        <v>2335</v>
      </c>
      <c r="E341" s="2" t="s">
        <v>2336</v>
      </c>
      <c r="F341" s="4" t="s">
        <v>2337</v>
      </c>
      <c r="G341" s="4" t="s">
        <v>2338</v>
      </c>
      <c r="H341" s="4" t="s">
        <v>2339</v>
      </c>
      <c r="I341" s="4" t="s">
        <v>42</v>
      </c>
      <c r="J341" s="2" t="s">
        <v>2340</v>
      </c>
      <c r="K341" s="5" t="s">
        <v>2341</v>
      </c>
    </row>
    <row r="342" spans="1:11" ht="195" x14ac:dyDescent="0.25">
      <c r="A342" s="8" t="s">
        <v>11</v>
      </c>
      <c r="B342" s="8">
        <v>1</v>
      </c>
      <c r="C342" s="2" t="s">
        <v>11</v>
      </c>
      <c r="D342" s="2" t="s">
        <v>2342</v>
      </c>
      <c r="E342" s="2" t="s">
        <v>2343</v>
      </c>
      <c r="F342" s="4" t="s">
        <v>2344</v>
      </c>
      <c r="G342" s="4" t="s">
        <v>2345</v>
      </c>
      <c r="H342" s="4" t="s">
        <v>2346</v>
      </c>
      <c r="I342" s="4" t="s">
        <v>42</v>
      </c>
      <c r="J342" s="2" t="s">
        <v>2347</v>
      </c>
      <c r="K342" s="5" t="s">
        <v>2348</v>
      </c>
    </row>
    <row r="343" spans="1:11" ht="180" x14ac:dyDescent="0.25">
      <c r="A343" s="2"/>
      <c r="B343" s="8" t="s">
        <v>52</v>
      </c>
      <c r="C343" s="2" t="s">
        <v>20</v>
      </c>
      <c r="D343" s="2" t="s">
        <v>2349</v>
      </c>
      <c r="E343" s="2" t="s">
        <v>2350</v>
      </c>
      <c r="F343" s="4" t="s">
        <v>2351</v>
      </c>
      <c r="G343" s="4" t="s">
        <v>2352</v>
      </c>
      <c r="H343" s="4" t="s">
        <v>2353</v>
      </c>
      <c r="I343" s="4" t="s">
        <v>26</v>
      </c>
      <c r="J343" s="2" t="s">
        <v>2354</v>
      </c>
      <c r="K343" s="5" t="s">
        <v>2355</v>
      </c>
    </row>
    <row r="344" spans="1:11" ht="195" x14ac:dyDescent="0.25">
      <c r="A344" s="8" t="s">
        <v>11</v>
      </c>
      <c r="B344" s="8">
        <v>1</v>
      </c>
      <c r="C344" s="2" t="s">
        <v>11</v>
      </c>
      <c r="D344" s="2" t="s">
        <v>2356</v>
      </c>
      <c r="E344" s="2" t="s">
        <v>2357</v>
      </c>
      <c r="F344" s="4" t="s">
        <v>2358</v>
      </c>
      <c r="G344" s="4" t="s">
        <v>2359</v>
      </c>
      <c r="H344" s="4" t="s">
        <v>2360</v>
      </c>
      <c r="I344" s="4" t="s">
        <v>42</v>
      </c>
      <c r="J344" s="2" t="s">
        <v>2361</v>
      </c>
      <c r="K344" s="5" t="s">
        <v>2362</v>
      </c>
    </row>
    <row r="345" spans="1:11" ht="135" x14ac:dyDescent="0.25">
      <c r="A345" s="8" t="s">
        <v>11</v>
      </c>
      <c r="B345" s="8">
        <v>2</v>
      </c>
      <c r="C345" s="8" t="s">
        <v>11</v>
      </c>
      <c r="D345" s="2" t="s">
        <v>2363</v>
      </c>
      <c r="E345" s="2" t="s">
        <v>2364</v>
      </c>
      <c r="F345" s="4" t="s">
        <v>2365</v>
      </c>
      <c r="G345" s="4" t="s">
        <v>2366</v>
      </c>
      <c r="H345" s="4" t="s">
        <v>2367</v>
      </c>
      <c r="I345" s="4" t="s">
        <v>42</v>
      </c>
      <c r="J345" s="2" t="s">
        <v>2368</v>
      </c>
      <c r="K345" s="13" t="s">
        <v>2369</v>
      </c>
    </row>
    <row r="346" spans="1:11" ht="210" x14ac:dyDescent="0.25">
      <c r="A346" s="8" t="s">
        <v>11</v>
      </c>
      <c r="B346" s="8">
        <v>2</v>
      </c>
      <c r="C346" s="8" t="s">
        <v>11</v>
      </c>
      <c r="D346" s="2" t="s">
        <v>2370</v>
      </c>
      <c r="E346" s="2" t="s">
        <v>2371</v>
      </c>
      <c r="F346" s="4" t="s">
        <v>2372</v>
      </c>
      <c r="G346" s="4" t="s">
        <v>2373</v>
      </c>
      <c r="H346" s="4" t="s">
        <v>2374</v>
      </c>
      <c r="I346" s="4" t="s">
        <v>26</v>
      </c>
      <c r="J346" s="2" t="s">
        <v>2375</v>
      </c>
      <c r="K346" s="13" t="s">
        <v>2376</v>
      </c>
    </row>
    <row r="347" spans="1:11" ht="270" x14ac:dyDescent="0.25">
      <c r="B347" s="8" t="s">
        <v>100</v>
      </c>
      <c r="C347" s="2" t="s">
        <v>20</v>
      </c>
      <c r="D347" s="2" t="s">
        <v>2377</v>
      </c>
      <c r="E347" s="2" t="s">
        <v>2378</v>
      </c>
      <c r="F347" s="4" t="s">
        <v>2379</v>
      </c>
      <c r="G347" s="4" t="s">
        <v>2380</v>
      </c>
      <c r="H347" s="4" t="s">
        <v>2381</v>
      </c>
      <c r="I347" s="4" t="s">
        <v>42</v>
      </c>
      <c r="K347" s="5" t="s">
        <v>2382</v>
      </c>
    </row>
    <row r="348" spans="1:11" ht="240" x14ac:dyDescent="0.25">
      <c r="A348" s="2"/>
      <c r="B348" s="8" t="s">
        <v>100</v>
      </c>
      <c r="C348" s="2" t="s">
        <v>20</v>
      </c>
      <c r="D348" s="2" t="s">
        <v>2383</v>
      </c>
      <c r="E348" s="2" t="s">
        <v>2384</v>
      </c>
      <c r="F348" s="4" t="s">
        <v>2385</v>
      </c>
      <c r="G348" s="4" t="s">
        <v>2386</v>
      </c>
      <c r="H348" s="4" t="s">
        <v>2387</v>
      </c>
      <c r="I348" s="4" t="s">
        <v>42</v>
      </c>
      <c r="J348" s="2" t="s">
        <v>2388</v>
      </c>
      <c r="K348" s="5" t="s">
        <v>2389</v>
      </c>
    </row>
    <row r="349" spans="1:11" ht="210" x14ac:dyDescent="0.25">
      <c r="A349" s="2"/>
      <c r="B349" s="8" t="s">
        <v>100</v>
      </c>
      <c r="C349" s="2" t="s">
        <v>20</v>
      </c>
      <c r="D349" s="2" t="s">
        <v>2390</v>
      </c>
      <c r="E349" s="2" t="s">
        <v>2391</v>
      </c>
      <c r="F349" s="4" t="s">
        <v>2392</v>
      </c>
      <c r="G349" s="4" t="s">
        <v>2393</v>
      </c>
      <c r="H349" s="4" t="s">
        <v>2394</v>
      </c>
      <c r="I349" s="4" t="s">
        <v>42</v>
      </c>
      <c r="J349" s="2" t="s">
        <v>2395</v>
      </c>
      <c r="K349" s="5" t="s">
        <v>2396</v>
      </c>
    </row>
    <row r="350" spans="1:11" ht="255" x14ac:dyDescent="0.25">
      <c r="A350" s="2"/>
      <c r="B350" s="8" t="s">
        <v>74</v>
      </c>
      <c r="C350" s="2" t="s">
        <v>20</v>
      </c>
      <c r="D350" s="2" t="s">
        <v>2397</v>
      </c>
      <c r="F350" s="4" t="s">
        <v>2398</v>
      </c>
      <c r="G350" s="4" t="s">
        <v>2399</v>
      </c>
      <c r="I350" s="4" t="s">
        <v>26</v>
      </c>
      <c r="K350" s="5" t="s">
        <v>2400</v>
      </c>
    </row>
    <row r="351" spans="1:11" ht="225" x14ac:dyDescent="0.25">
      <c r="A351" s="2"/>
      <c r="B351" s="8" t="s">
        <v>29</v>
      </c>
      <c r="C351" s="2" t="s">
        <v>20</v>
      </c>
      <c r="D351" s="2" t="s">
        <v>2401</v>
      </c>
      <c r="E351" s="2" t="s">
        <v>2402</v>
      </c>
      <c r="F351" s="4" t="s">
        <v>2403</v>
      </c>
      <c r="G351" s="4" t="s">
        <v>2404</v>
      </c>
      <c r="H351" s="4" t="s">
        <v>2405</v>
      </c>
      <c r="I351" s="4" t="s">
        <v>26</v>
      </c>
      <c r="J351" s="2" t="s">
        <v>2406</v>
      </c>
      <c r="K351" s="5" t="s">
        <v>2407</v>
      </c>
    </row>
    <row r="352" spans="1:11" ht="150" x14ac:dyDescent="0.25">
      <c r="A352" s="2"/>
      <c r="B352" s="8" t="s">
        <v>1398</v>
      </c>
      <c r="C352" s="2" t="s">
        <v>20</v>
      </c>
      <c r="D352" s="2" t="s">
        <v>2408</v>
      </c>
      <c r="E352" s="2" t="s">
        <v>2409</v>
      </c>
      <c r="F352" s="4" t="s">
        <v>2410</v>
      </c>
      <c r="G352" s="4" t="s">
        <v>2411</v>
      </c>
      <c r="H352" s="4" t="s">
        <v>2412</v>
      </c>
      <c r="I352" s="4" t="s">
        <v>42</v>
      </c>
      <c r="K352" s="5" t="s">
        <v>2413</v>
      </c>
    </row>
    <row r="353" spans="1:11" ht="120" x14ac:dyDescent="0.25">
      <c r="A353" s="2"/>
      <c r="B353" s="8" t="s">
        <v>19</v>
      </c>
      <c r="C353" s="2" t="s">
        <v>20</v>
      </c>
      <c r="D353" s="2" t="s">
        <v>2414</v>
      </c>
      <c r="E353" s="2" t="s">
        <v>2415</v>
      </c>
      <c r="F353" s="4" t="s">
        <v>2416</v>
      </c>
      <c r="G353" s="4" t="s">
        <v>2417</v>
      </c>
      <c r="H353" s="4" t="s">
        <v>2418</v>
      </c>
      <c r="I353" s="4" t="s">
        <v>42</v>
      </c>
      <c r="J353" s="2" t="s">
        <v>2419</v>
      </c>
      <c r="K353" s="5" t="s">
        <v>2420</v>
      </c>
    </row>
    <row r="354" spans="1:11" ht="150" x14ac:dyDescent="0.25">
      <c r="A354" s="2"/>
      <c r="B354" s="8" t="s">
        <v>19</v>
      </c>
      <c r="C354" s="2" t="s">
        <v>20</v>
      </c>
      <c r="D354" s="2" t="s">
        <v>2421</v>
      </c>
      <c r="E354" s="2" t="s">
        <v>2422</v>
      </c>
      <c r="F354" s="4" t="s">
        <v>2423</v>
      </c>
      <c r="G354" s="4" t="s">
        <v>2424</v>
      </c>
      <c r="H354" s="4" t="s">
        <v>2425</v>
      </c>
      <c r="I354" s="4" t="s">
        <v>26</v>
      </c>
      <c r="J354" s="2" t="s">
        <v>2426</v>
      </c>
      <c r="K354" s="5" t="s">
        <v>2427</v>
      </c>
    </row>
    <row r="355" spans="1:11" ht="150" x14ac:dyDescent="0.25">
      <c r="A355" s="2"/>
      <c r="B355" s="8" t="s">
        <v>19</v>
      </c>
      <c r="C355" s="2" t="s">
        <v>20</v>
      </c>
      <c r="D355" s="2" t="s">
        <v>2428</v>
      </c>
      <c r="E355" s="2" t="s">
        <v>1478</v>
      </c>
      <c r="F355" s="4" t="s">
        <v>2429</v>
      </c>
      <c r="G355" s="4" t="s">
        <v>2430</v>
      </c>
      <c r="H355" s="4" t="s">
        <v>2431</v>
      </c>
      <c r="I355" s="4" t="s">
        <v>42</v>
      </c>
      <c r="J355" s="2" t="s">
        <v>2432</v>
      </c>
      <c r="K355" s="5" t="s">
        <v>2433</v>
      </c>
    </row>
    <row r="356" spans="1:11" ht="150" x14ac:dyDescent="0.25">
      <c r="A356" s="2"/>
      <c r="B356" s="8" t="s">
        <v>100</v>
      </c>
      <c r="C356" s="2" t="s">
        <v>20</v>
      </c>
      <c r="D356" s="2" t="s">
        <v>2434</v>
      </c>
      <c r="E356" s="2" t="s">
        <v>2435</v>
      </c>
      <c r="F356" s="4" t="s">
        <v>2436</v>
      </c>
      <c r="G356" s="4" t="s">
        <v>2437</v>
      </c>
      <c r="H356" s="4" t="s">
        <v>2438</v>
      </c>
      <c r="I356" s="4" t="s">
        <v>42</v>
      </c>
      <c r="J356" s="2" t="s">
        <v>2439</v>
      </c>
      <c r="K356" s="5" t="s">
        <v>2440</v>
      </c>
    </row>
    <row r="357" spans="1:11" ht="180" x14ac:dyDescent="0.25">
      <c r="A357" s="2"/>
      <c r="B357" s="8" t="s">
        <v>100</v>
      </c>
      <c r="C357" s="2" t="s">
        <v>20</v>
      </c>
      <c r="D357" s="2" t="s">
        <v>2441</v>
      </c>
      <c r="E357" s="2" t="s">
        <v>2063</v>
      </c>
      <c r="F357" s="4" t="s">
        <v>2442</v>
      </c>
      <c r="G357" s="4" t="s">
        <v>2443</v>
      </c>
      <c r="H357" s="4" t="s">
        <v>2444</v>
      </c>
      <c r="I357" s="4" t="s">
        <v>26</v>
      </c>
      <c r="J357" s="2" t="s">
        <v>2445</v>
      </c>
      <c r="K357" s="5" t="s">
        <v>2446</v>
      </c>
    </row>
    <row r="358" spans="1:11" ht="285" x14ac:dyDescent="0.25">
      <c r="A358" s="2"/>
      <c r="B358" s="8" t="s">
        <v>19</v>
      </c>
      <c r="C358" s="2" t="s">
        <v>20</v>
      </c>
      <c r="D358" s="2" t="s">
        <v>2447</v>
      </c>
      <c r="E358" s="2" t="s">
        <v>2448</v>
      </c>
      <c r="F358" s="4" t="s">
        <v>2449</v>
      </c>
      <c r="G358" s="4" t="s">
        <v>2450</v>
      </c>
      <c r="H358" s="4" t="s">
        <v>2451</v>
      </c>
      <c r="I358" s="4" t="s">
        <v>26</v>
      </c>
      <c r="J358" s="2" t="s">
        <v>2452</v>
      </c>
      <c r="K358" s="5" t="s">
        <v>2453</v>
      </c>
    </row>
    <row r="359" spans="1:11" ht="45" x14ac:dyDescent="0.25">
      <c r="A359" s="8" t="s">
        <v>11</v>
      </c>
      <c r="B359" s="8">
        <v>1</v>
      </c>
      <c r="C359" s="2" t="s">
        <v>11</v>
      </c>
      <c r="D359" s="2" t="s">
        <v>2454</v>
      </c>
      <c r="E359" s="2" t="s">
        <v>2455</v>
      </c>
      <c r="F359" s="4" t="s">
        <v>2456</v>
      </c>
      <c r="G359" s="4" t="s">
        <v>2457</v>
      </c>
      <c r="H359" s="4" t="s">
        <v>2458</v>
      </c>
      <c r="I359" s="4" t="s">
        <v>26</v>
      </c>
      <c r="K359" s="5" t="s">
        <v>2459</v>
      </c>
    </row>
    <row r="360" spans="1:11" ht="195" x14ac:dyDescent="0.25">
      <c r="A360" s="8" t="s">
        <v>11</v>
      </c>
      <c r="B360" s="8">
        <v>2</v>
      </c>
      <c r="C360" s="8" t="s">
        <v>11</v>
      </c>
      <c r="D360" s="2" t="s">
        <v>2460</v>
      </c>
      <c r="E360" s="2" t="s">
        <v>2461</v>
      </c>
      <c r="F360" s="4" t="s">
        <v>2462</v>
      </c>
      <c r="G360" s="4" t="s">
        <v>2463</v>
      </c>
      <c r="H360" s="4" t="s">
        <v>2464</v>
      </c>
      <c r="I360" s="4" t="s">
        <v>26</v>
      </c>
      <c r="J360" s="2" t="s">
        <v>2465</v>
      </c>
      <c r="K360" s="13" t="s">
        <v>2466</v>
      </c>
    </row>
    <row r="361" spans="1:11" ht="210" x14ac:dyDescent="0.25">
      <c r="A361" s="8" t="s">
        <v>11</v>
      </c>
      <c r="B361" s="8">
        <v>2</v>
      </c>
      <c r="C361" s="8" t="s">
        <v>11</v>
      </c>
      <c r="D361" s="2" t="s">
        <v>2467</v>
      </c>
      <c r="E361" s="2" t="s">
        <v>2468</v>
      </c>
      <c r="F361" s="4" t="s">
        <v>2469</v>
      </c>
      <c r="G361" s="4" t="s">
        <v>2470</v>
      </c>
      <c r="H361" s="4" t="s">
        <v>2471</v>
      </c>
      <c r="I361" s="4" t="s">
        <v>702</v>
      </c>
      <c r="J361" s="2" t="s">
        <v>2472</v>
      </c>
      <c r="K361" s="13" t="s">
        <v>2473</v>
      </c>
    </row>
    <row r="362" spans="1:11" ht="195" x14ac:dyDescent="0.25">
      <c r="A362" s="8" t="s">
        <v>11</v>
      </c>
      <c r="B362" s="8">
        <v>2</v>
      </c>
      <c r="C362" s="8" t="s">
        <v>11</v>
      </c>
      <c r="D362" s="2" t="s">
        <v>2474</v>
      </c>
      <c r="E362" s="2" t="s">
        <v>2475</v>
      </c>
      <c r="F362" s="4" t="s">
        <v>2476</v>
      </c>
      <c r="G362" s="4" t="s">
        <v>2477</v>
      </c>
      <c r="H362" s="4" t="s">
        <v>2478</v>
      </c>
      <c r="I362" s="4" t="s">
        <v>26</v>
      </c>
      <c r="J362" s="2" t="s">
        <v>2479</v>
      </c>
      <c r="K362" s="13" t="s">
        <v>2480</v>
      </c>
    </row>
    <row r="363" spans="1:11" ht="135" x14ac:dyDescent="0.25">
      <c r="A363" s="2"/>
      <c r="B363" s="8" t="s">
        <v>100</v>
      </c>
      <c r="C363" s="2" t="s">
        <v>20</v>
      </c>
      <c r="D363" s="2" t="s">
        <v>2481</v>
      </c>
      <c r="E363" s="2" t="s">
        <v>2482</v>
      </c>
      <c r="F363" s="4" t="s">
        <v>2483</v>
      </c>
      <c r="G363" s="4" t="s">
        <v>2484</v>
      </c>
      <c r="H363" s="4" t="s">
        <v>2485</v>
      </c>
      <c r="I363" s="4" t="s">
        <v>42</v>
      </c>
      <c r="J363" s="2" t="s">
        <v>2486</v>
      </c>
      <c r="K363" s="5" t="s">
        <v>2487</v>
      </c>
    </row>
    <row r="364" spans="1:11" ht="165" x14ac:dyDescent="0.25">
      <c r="A364" s="8" t="s">
        <v>11</v>
      </c>
      <c r="B364" s="8">
        <v>1</v>
      </c>
      <c r="C364" s="2" t="s">
        <v>11</v>
      </c>
      <c r="D364" s="2" t="s">
        <v>2488</v>
      </c>
      <c r="E364" s="2" t="s">
        <v>2489</v>
      </c>
      <c r="F364" s="4" t="s">
        <v>2490</v>
      </c>
      <c r="G364" s="4" t="s">
        <v>2491</v>
      </c>
      <c r="H364" s="4" t="s">
        <v>2492</v>
      </c>
      <c r="I364" s="4" t="s">
        <v>26</v>
      </c>
      <c r="J364" s="2" t="s">
        <v>2493</v>
      </c>
      <c r="K364" s="5" t="s">
        <v>2494</v>
      </c>
    </row>
    <row r="365" spans="1:11" ht="135" x14ac:dyDescent="0.25">
      <c r="A365" s="8" t="s">
        <v>11</v>
      </c>
      <c r="B365" s="8">
        <v>2</v>
      </c>
      <c r="C365" s="8" t="s">
        <v>11</v>
      </c>
      <c r="D365" s="2" t="s">
        <v>2495</v>
      </c>
      <c r="E365" s="2" t="s">
        <v>2496</v>
      </c>
      <c r="F365" s="4" t="s">
        <v>2497</v>
      </c>
      <c r="G365" s="4" t="s">
        <v>2498</v>
      </c>
      <c r="H365" s="4" t="s">
        <v>2499</v>
      </c>
      <c r="I365" s="4" t="s">
        <v>42</v>
      </c>
      <c r="J365" s="2" t="s">
        <v>2500</v>
      </c>
      <c r="K365" s="13" t="s">
        <v>2501</v>
      </c>
    </row>
    <row r="366" spans="1:11" ht="165" x14ac:dyDescent="0.25">
      <c r="A366" s="8" t="s">
        <v>11</v>
      </c>
      <c r="B366" s="8">
        <v>1</v>
      </c>
      <c r="C366" s="2" t="s">
        <v>11</v>
      </c>
      <c r="D366" s="2" t="s">
        <v>2502</v>
      </c>
      <c r="E366" s="2" t="s">
        <v>2503</v>
      </c>
      <c r="F366" s="4" t="s">
        <v>2504</v>
      </c>
      <c r="G366" s="4" t="s">
        <v>2505</v>
      </c>
      <c r="H366" s="4" t="s">
        <v>2506</v>
      </c>
      <c r="I366" s="4" t="s">
        <v>42</v>
      </c>
      <c r="J366" s="2" t="s">
        <v>2507</v>
      </c>
      <c r="K366" s="5" t="s">
        <v>2508</v>
      </c>
    </row>
    <row r="367" spans="1:11" ht="120" x14ac:dyDescent="0.25">
      <c r="B367" s="8" t="s">
        <v>19</v>
      </c>
      <c r="C367" s="2" t="s">
        <v>20</v>
      </c>
      <c r="D367" s="2" t="s">
        <v>2509</v>
      </c>
      <c r="E367" s="2" t="s">
        <v>2510</v>
      </c>
      <c r="F367" s="4" t="s">
        <v>2511</v>
      </c>
      <c r="G367" s="4" t="s">
        <v>2512</v>
      </c>
      <c r="H367" s="4" t="s">
        <v>2513</v>
      </c>
      <c r="I367" s="4" t="s">
        <v>42</v>
      </c>
      <c r="J367" s="2" t="s">
        <v>2514</v>
      </c>
      <c r="K367" s="5" t="s">
        <v>2515</v>
      </c>
    </row>
    <row r="368" spans="1:11" ht="225" x14ac:dyDescent="0.25">
      <c r="A368" s="8" t="s">
        <v>11</v>
      </c>
      <c r="B368" s="8">
        <v>1</v>
      </c>
      <c r="C368" s="2" t="s">
        <v>11</v>
      </c>
      <c r="D368" s="2" t="s">
        <v>2516</v>
      </c>
      <c r="E368" s="2" t="s">
        <v>2517</v>
      </c>
      <c r="F368" s="4" t="s">
        <v>2518</v>
      </c>
      <c r="G368" s="4" t="s">
        <v>2519</v>
      </c>
      <c r="I368" s="4" t="s">
        <v>34</v>
      </c>
      <c r="J368" s="2" t="s">
        <v>2520</v>
      </c>
      <c r="K368" s="5" t="s">
        <v>2521</v>
      </c>
    </row>
    <row r="369" spans="1:11" ht="270" x14ac:dyDescent="0.25">
      <c r="A369" s="2"/>
      <c r="B369" s="8" t="s">
        <v>52</v>
      </c>
      <c r="C369" s="2" t="s">
        <v>20</v>
      </c>
      <c r="D369" s="2" t="s">
        <v>2522</v>
      </c>
      <c r="E369" s="2" t="s">
        <v>2523</v>
      </c>
      <c r="F369" s="4" t="s">
        <v>2524</v>
      </c>
      <c r="G369" s="4" t="s">
        <v>2525</v>
      </c>
      <c r="H369" s="4" t="s">
        <v>2526</v>
      </c>
      <c r="I369" s="4" t="s">
        <v>26</v>
      </c>
      <c r="J369" s="2" t="s">
        <v>2527</v>
      </c>
      <c r="K369" s="5" t="s">
        <v>2528</v>
      </c>
    </row>
    <row r="370" spans="1:11" ht="225" x14ac:dyDescent="0.25">
      <c r="A370" s="2"/>
      <c r="B370" s="8" t="s">
        <v>52</v>
      </c>
      <c r="C370" s="2" t="s">
        <v>20</v>
      </c>
      <c r="D370" s="2" t="s">
        <v>2529</v>
      </c>
      <c r="E370" s="2" t="s">
        <v>2530</v>
      </c>
      <c r="F370" s="4" t="s">
        <v>2531</v>
      </c>
      <c r="G370" s="4" t="s">
        <v>2532</v>
      </c>
      <c r="H370" s="4" t="s">
        <v>2533</v>
      </c>
      <c r="I370" s="4" t="s">
        <v>26</v>
      </c>
      <c r="J370" s="2" t="s">
        <v>2534</v>
      </c>
      <c r="K370" s="5" t="s">
        <v>2535</v>
      </c>
    </row>
    <row r="371" spans="1:11" ht="180" x14ac:dyDescent="0.25">
      <c r="A371" s="2"/>
      <c r="B371" s="8" t="s">
        <v>19</v>
      </c>
      <c r="C371" s="2" t="s">
        <v>20</v>
      </c>
      <c r="D371" s="2" t="s">
        <v>2536</v>
      </c>
      <c r="E371" s="2" t="s">
        <v>2537</v>
      </c>
      <c r="F371" s="4" t="s">
        <v>2538</v>
      </c>
      <c r="G371" s="4" t="s">
        <v>2539</v>
      </c>
      <c r="H371" s="4" t="s">
        <v>2540</v>
      </c>
      <c r="I371" s="4" t="s">
        <v>42</v>
      </c>
      <c r="J371" s="2" t="s">
        <v>2541</v>
      </c>
      <c r="K371" s="5" t="s">
        <v>2542</v>
      </c>
    </row>
    <row r="372" spans="1:11" ht="90" x14ac:dyDescent="0.25">
      <c r="A372" s="2"/>
      <c r="B372" s="8" t="s">
        <v>19</v>
      </c>
      <c r="C372" s="2" t="s">
        <v>20</v>
      </c>
      <c r="D372" s="2" t="s">
        <v>2543</v>
      </c>
      <c r="E372" s="2" t="s">
        <v>2544</v>
      </c>
      <c r="F372" s="4" t="s">
        <v>2545</v>
      </c>
      <c r="G372" s="4" t="s">
        <v>2546</v>
      </c>
      <c r="H372" s="4" t="s">
        <v>2547</v>
      </c>
      <c r="I372" s="4" t="s">
        <v>42</v>
      </c>
      <c r="J372" s="2" t="s">
        <v>2548</v>
      </c>
      <c r="K372" s="5" t="s">
        <v>2549</v>
      </c>
    </row>
    <row r="373" spans="1:11" ht="165" x14ac:dyDescent="0.25">
      <c r="A373" s="2"/>
      <c r="B373" s="8" t="s">
        <v>29</v>
      </c>
      <c r="C373" s="2" t="s">
        <v>20</v>
      </c>
      <c r="D373" s="2" t="s">
        <v>2550</v>
      </c>
      <c r="E373" s="2" t="s">
        <v>2551</v>
      </c>
      <c r="F373" s="4" t="s">
        <v>2552</v>
      </c>
      <c r="G373" s="4" t="s">
        <v>2553</v>
      </c>
      <c r="I373" s="4" t="s">
        <v>26</v>
      </c>
      <c r="J373" s="2" t="s">
        <v>2554</v>
      </c>
      <c r="K373" s="5" t="s">
        <v>2555</v>
      </c>
    </row>
    <row r="374" spans="1:11" ht="195" x14ac:dyDescent="0.25">
      <c r="A374" s="2"/>
      <c r="B374" s="8" t="s">
        <v>100</v>
      </c>
      <c r="C374" s="2" t="s">
        <v>20</v>
      </c>
      <c r="D374" s="2" t="s">
        <v>2556</v>
      </c>
      <c r="E374" s="2" t="s">
        <v>2557</v>
      </c>
      <c r="F374" s="4" t="s">
        <v>2558</v>
      </c>
      <c r="G374" s="4" t="s">
        <v>2559</v>
      </c>
      <c r="H374" s="4" t="s">
        <v>2560</v>
      </c>
      <c r="I374" s="4" t="s">
        <v>42</v>
      </c>
      <c r="J374" s="2" t="s">
        <v>2561</v>
      </c>
      <c r="K374" s="5" t="s">
        <v>2562</v>
      </c>
    </row>
    <row r="375" spans="1:11" ht="180" x14ac:dyDescent="0.25">
      <c r="A375" s="8" t="s">
        <v>11</v>
      </c>
      <c r="B375" s="8">
        <v>1</v>
      </c>
      <c r="C375" s="2" t="s">
        <v>11</v>
      </c>
      <c r="D375" s="2" t="s">
        <v>2563</v>
      </c>
      <c r="E375" s="2" t="s">
        <v>2564</v>
      </c>
      <c r="F375" s="4" t="s">
        <v>2565</v>
      </c>
      <c r="G375" s="4" t="s">
        <v>2566</v>
      </c>
      <c r="H375" s="4" t="s">
        <v>2567</v>
      </c>
      <c r="I375" s="4" t="s">
        <v>42</v>
      </c>
      <c r="J375" s="2" t="s">
        <v>2568</v>
      </c>
      <c r="K375" s="5" t="s">
        <v>2569</v>
      </c>
    </row>
    <row r="376" spans="1:11" ht="195" x14ac:dyDescent="0.25">
      <c r="A376" s="2"/>
      <c r="B376" s="8" t="s">
        <v>52</v>
      </c>
      <c r="C376" s="2" t="s">
        <v>20</v>
      </c>
      <c r="D376" s="2" t="s">
        <v>2570</v>
      </c>
      <c r="E376" s="2" t="s">
        <v>2571</v>
      </c>
      <c r="F376" s="4" t="s">
        <v>2572</v>
      </c>
      <c r="G376" s="4" t="s">
        <v>2573</v>
      </c>
      <c r="H376" s="4" t="s">
        <v>2574</v>
      </c>
      <c r="I376" s="4" t="s">
        <v>42</v>
      </c>
      <c r="J376" s="2" t="s">
        <v>2575</v>
      </c>
      <c r="K376" s="5" t="s">
        <v>2576</v>
      </c>
    </row>
    <row r="377" spans="1:11" ht="210" x14ac:dyDescent="0.25">
      <c r="A377" s="2"/>
      <c r="B377" s="8" t="s">
        <v>52</v>
      </c>
      <c r="C377" s="2" t="s">
        <v>20</v>
      </c>
      <c r="D377" s="2" t="s">
        <v>2577</v>
      </c>
      <c r="E377" s="2" t="s">
        <v>2578</v>
      </c>
      <c r="F377" s="4" t="s">
        <v>2579</v>
      </c>
      <c r="G377" s="4" t="s">
        <v>2580</v>
      </c>
      <c r="H377" s="4" t="s">
        <v>2581</v>
      </c>
      <c r="I377" s="4" t="s">
        <v>26</v>
      </c>
      <c r="J377" s="2" t="s">
        <v>2582</v>
      </c>
      <c r="K377" s="5" t="s">
        <v>2583</v>
      </c>
    </row>
    <row r="378" spans="1:11" ht="210" x14ac:dyDescent="0.25">
      <c r="A378" s="8" t="s">
        <v>11</v>
      </c>
      <c r="B378" s="8">
        <v>1</v>
      </c>
      <c r="C378" s="2" t="s">
        <v>11</v>
      </c>
      <c r="D378" s="2" t="s">
        <v>2584</v>
      </c>
      <c r="E378" s="2" t="s">
        <v>2585</v>
      </c>
      <c r="F378" s="4" t="s">
        <v>2586</v>
      </c>
      <c r="G378" s="4" t="s">
        <v>2587</v>
      </c>
      <c r="H378" s="4" t="s">
        <v>2588</v>
      </c>
      <c r="I378" s="4" t="s">
        <v>42</v>
      </c>
      <c r="J378" s="2" t="s">
        <v>2589</v>
      </c>
      <c r="K378" s="5" t="s">
        <v>2590</v>
      </c>
    </row>
    <row r="379" spans="1:11" ht="105" x14ac:dyDescent="0.25">
      <c r="A379" s="2"/>
      <c r="B379" s="8" t="s">
        <v>19</v>
      </c>
      <c r="C379" s="2" t="s">
        <v>20</v>
      </c>
      <c r="D379" s="2" t="s">
        <v>2591</v>
      </c>
      <c r="E379" s="2" t="s">
        <v>2592</v>
      </c>
      <c r="F379" s="4" t="s">
        <v>2593</v>
      </c>
      <c r="G379" s="4" t="s">
        <v>2594</v>
      </c>
      <c r="H379" s="4" t="s">
        <v>2595</v>
      </c>
      <c r="I379" s="4" t="s">
        <v>42</v>
      </c>
      <c r="J379" s="2" t="s">
        <v>2596</v>
      </c>
      <c r="K379" s="5" t="s">
        <v>2597</v>
      </c>
    </row>
    <row r="380" spans="1:11" ht="270" x14ac:dyDescent="0.25">
      <c r="A380" s="2"/>
      <c r="B380" s="8" t="s">
        <v>19</v>
      </c>
      <c r="C380" s="2" t="s">
        <v>20</v>
      </c>
      <c r="D380" s="2" t="s">
        <v>2598</v>
      </c>
      <c r="E380" s="2" t="s">
        <v>2599</v>
      </c>
      <c r="F380" s="4" t="s">
        <v>2600</v>
      </c>
      <c r="G380" s="4" t="s">
        <v>2601</v>
      </c>
      <c r="H380" s="4" t="s">
        <v>2602</v>
      </c>
      <c r="I380" s="4" t="s">
        <v>26</v>
      </c>
      <c r="J380" s="2" t="s">
        <v>2603</v>
      </c>
      <c r="K380" s="5" t="s">
        <v>2604</v>
      </c>
    </row>
    <row r="381" spans="1:11" ht="150" x14ac:dyDescent="0.25">
      <c r="A381" s="2"/>
      <c r="B381" s="8" t="s">
        <v>100</v>
      </c>
      <c r="C381" s="2" t="s">
        <v>20</v>
      </c>
      <c r="D381" s="2" t="s">
        <v>2605</v>
      </c>
      <c r="E381" s="2" t="s">
        <v>2606</v>
      </c>
      <c r="F381" s="4" t="s">
        <v>2607</v>
      </c>
      <c r="G381" s="4" t="s">
        <v>2608</v>
      </c>
      <c r="H381" s="4" t="s">
        <v>2609</v>
      </c>
      <c r="I381" s="4" t="s">
        <v>42</v>
      </c>
      <c r="J381" s="2" t="s">
        <v>2610</v>
      </c>
      <c r="K381" s="5" t="s">
        <v>2611</v>
      </c>
    </row>
    <row r="382" spans="1:11" ht="135" x14ac:dyDescent="0.25">
      <c r="A382" s="8" t="s">
        <v>11</v>
      </c>
      <c r="B382" s="8">
        <v>2</v>
      </c>
      <c r="C382" s="8" t="s">
        <v>11</v>
      </c>
      <c r="D382" s="2" t="s">
        <v>2612</v>
      </c>
      <c r="E382" s="2" t="s">
        <v>2613</v>
      </c>
      <c r="F382" s="4" t="s">
        <v>2614</v>
      </c>
      <c r="G382" s="4" t="s">
        <v>2615</v>
      </c>
      <c r="H382" s="4" t="s">
        <v>2616</v>
      </c>
      <c r="I382" s="4" t="s">
        <v>42</v>
      </c>
      <c r="K382" s="13" t="s">
        <v>2617</v>
      </c>
    </row>
    <row r="383" spans="1:11" ht="135" x14ac:dyDescent="0.25">
      <c r="A383" s="2"/>
      <c r="B383" s="8" t="s">
        <v>100</v>
      </c>
      <c r="C383" s="2" t="s">
        <v>20</v>
      </c>
      <c r="D383" s="2" t="s">
        <v>2618</v>
      </c>
      <c r="E383" s="2" t="s">
        <v>2619</v>
      </c>
      <c r="F383" s="4" t="s">
        <v>2620</v>
      </c>
      <c r="G383" s="4" t="s">
        <v>2621</v>
      </c>
      <c r="H383" s="4" t="s">
        <v>2622</v>
      </c>
      <c r="I383" s="4" t="s">
        <v>42</v>
      </c>
      <c r="J383" s="2" t="s">
        <v>2623</v>
      </c>
      <c r="K383" s="5" t="s">
        <v>2624</v>
      </c>
    </row>
    <row r="384" spans="1:11" ht="315" x14ac:dyDescent="0.25">
      <c r="A384" s="2"/>
      <c r="B384" s="8" t="s">
        <v>1398</v>
      </c>
      <c r="C384" s="2" t="s">
        <v>20</v>
      </c>
      <c r="D384" s="2" t="s">
        <v>2625</v>
      </c>
      <c r="E384" s="2" t="s">
        <v>2626</v>
      </c>
      <c r="F384" s="4" t="s">
        <v>2627</v>
      </c>
      <c r="G384" s="4" t="s">
        <v>2628</v>
      </c>
      <c r="I384" s="4" t="s">
        <v>702</v>
      </c>
      <c r="J384" s="2" t="s">
        <v>2629</v>
      </c>
      <c r="K384" s="5" t="s">
        <v>2630</v>
      </c>
    </row>
    <row r="385" spans="1:11" ht="105" x14ac:dyDescent="0.25">
      <c r="A385" s="8" t="s">
        <v>11</v>
      </c>
      <c r="B385" s="8">
        <v>1</v>
      </c>
      <c r="C385" s="2" t="s">
        <v>11</v>
      </c>
      <c r="D385" s="2" t="s">
        <v>2631</v>
      </c>
      <c r="E385" s="2" t="s">
        <v>2632</v>
      </c>
      <c r="F385" s="4" t="s">
        <v>2633</v>
      </c>
      <c r="G385" s="4" t="s">
        <v>2634</v>
      </c>
      <c r="H385" s="4" t="s">
        <v>2635</v>
      </c>
      <c r="I385" s="4" t="s">
        <v>42</v>
      </c>
      <c r="J385" s="2" t="s">
        <v>2636</v>
      </c>
      <c r="K385" s="5" t="s">
        <v>2637</v>
      </c>
    </row>
    <row r="386" spans="1:11" ht="165" x14ac:dyDescent="0.25">
      <c r="A386" s="8" t="s">
        <v>11</v>
      </c>
      <c r="B386" s="8">
        <v>1</v>
      </c>
      <c r="C386" s="2" t="s">
        <v>11</v>
      </c>
      <c r="D386" s="2" t="s">
        <v>2638</v>
      </c>
      <c r="E386" s="2" t="s">
        <v>2639</v>
      </c>
      <c r="F386" s="4" t="s">
        <v>2640</v>
      </c>
      <c r="G386" s="4" t="s">
        <v>2641</v>
      </c>
      <c r="H386" s="4" t="s">
        <v>2642</v>
      </c>
      <c r="I386" s="4" t="s">
        <v>42</v>
      </c>
      <c r="J386" s="2" t="s">
        <v>2643</v>
      </c>
      <c r="K386" s="5" t="s">
        <v>2644</v>
      </c>
    </row>
    <row r="387" spans="1:11" ht="225" x14ac:dyDescent="0.25">
      <c r="A387" s="2"/>
      <c r="B387" s="8" t="s">
        <v>100</v>
      </c>
      <c r="C387" s="2" t="s">
        <v>20</v>
      </c>
      <c r="D387" s="2" t="s">
        <v>2645</v>
      </c>
      <c r="E387" s="2" t="s">
        <v>2646</v>
      </c>
      <c r="F387" s="4" t="s">
        <v>2647</v>
      </c>
      <c r="G387" s="4" t="s">
        <v>2648</v>
      </c>
      <c r="H387" s="4" t="s">
        <v>2649</v>
      </c>
      <c r="I387" s="4" t="s">
        <v>42</v>
      </c>
      <c r="J387" s="2" t="s">
        <v>2650</v>
      </c>
      <c r="K387" s="5" t="s">
        <v>2651</v>
      </c>
    </row>
    <row r="388" spans="1:11" ht="75" x14ac:dyDescent="0.25">
      <c r="A388" s="8" t="s">
        <v>11</v>
      </c>
      <c r="B388" s="8">
        <v>1</v>
      </c>
      <c r="C388" s="2" t="s">
        <v>11</v>
      </c>
      <c r="D388" s="2" t="s">
        <v>2652</v>
      </c>
      <c r="E388" s="2" t="s">
        <v>2653</v>
      </c>
      <c r="F388" s="4" t="s">
        <v>2654</v>
      </c>
      <c r="G388" s="4" t="s">
        <v>2655</v>
      </c>
      <c r="H388" s="4" t="s">
        <v>2656</v>
      </c>
      <c r="I388" s="4" t="s">
        <v>42</v>
      </c>
      <c r="J388" s="2" t="s">
        <v>2657</v>
      </c>
      <c r="K388" s="5" t="s">
        <v>2658</v>
      </c>
    </row>
    <row r="389" spans="1:11" ht="210" x14ac:dyDescent="0.25">
      <c r="A389" s="2"/>
      <c r="B389" s="8" t="s">
        <v>100</v>
      </c>
      <c r="C389" s="2" t="s">
        <v>20</v>
      </c>
      <c r="D389" s="2" t="s">
        <v>2659</v>
      </c>
      <c r="E389" s="2" t="s">
        <v>2660</v>
      </c>
      <c r="F389" s="4" t="s">
        <v>2661</v>
      </c>
      <c r="G389" s="4" t="s">
        <v>2662</v>
      </c>
      <c r="H389" s="4" t="s">
        <v>2663</v>
      </c>
      <c r="I389" s="4" t="s">
        <v>42</v>
      </c>
      <c r="J389" s="2" t="s">
        <v>2664</v>
      </c>
      <c r="K389" s="5" t="s">
        <v>2665</v>
      </c>
    </row>
    <row r="390" spans="1:11" ht="210" x14ac:dyDescent="0.25">
      <c r="A390" s="2"/>
      <c r="B390" s="8" t="s">
        <v>19</v>
      </c>
      <c r="C390" s="2" t="s">
        <v>20</v>
      </c>
      <c r="D390" s="2" t="s">
        <v>2666</v>
      </c>
      <c r="E390" s="2" t="s">
        <v>2667</v>
      </c>
      <c r="F390" s="4" t="s">
        <v>2668</v>
      </c>
      <c r="G390" s="4" t="s">
        <v>2669</v>
      </c>
      <c r="H390" s="4" t="s">
        <v>2670</v>
      </c>
      <c r="I390" s="4" t="s">
        <v>42</v>
      </c>
      <c r="J390" s="2" t="s">
        <v>2671</v>
      </c>
      <c r="K390" s="5" t="s">
        <v>2672</v>
      </c>
    </row>
    <row r="391" spans="1:11" ht="225" x14ac:dyDescent="0.25">
      <c r="A391" s="8" t="s">
        <v>11</v>
      </c>
      <c r="B391" s="8">
        <v>1</v>
      </c>
      <c r="C391" s="2" t="s">
        <v>11</v>
      </c>
      <c r="D391" s="2" t="s">
        <v>2673</v>
      </c>
      <c r="E391" s="2" t="s">
        <v>2674</v>
      </c>
      <c r="F391" s="4" t="s">
        <v>2675</v>
      </c>
      <c r="G391" s="4" t="s">
        <v>2676</v>
      </c>
      <c r="H391" s="4" t="s">
        <v>2677</v>
      </c>
      <c r="I391" s="4" t="s">
        <v>26</v>
      </c>
      <c r="J391" s="2" t="s">
        <v>2678</v>
      </c>
      <c r="K391" s="5" t="s">
        <v>2679</v>
      </c>
    </row>
    <row r="392" spans="1:11" ht="165" x14ac:dyDescent="0.25">
      <c r="A392" s="2"/>
      <c r="B392" s="8" t="s">
        <v>19</v>
      </c>
      <c r="C392" s="2" t="s">
        <v>20</v>
      </c>
      <c r="D392" s="2" t="s">
        <v>2680</v>
      </c>
      <c r="E392" s="2" t="s">
        <v>2681</v>
      </c>
      <c r="F392" s="4" t="s">
        <v>2682</v>
      </c>
      <c r="G392" s="4" t="s">
        <v>2683</v>
      </c>
      <c r="H392" s="4" t="s">
        <v>2684</v>
      </c>
      <c r="I392" s="4" t="s">
        <v>42</v>
      </c>
      <c r="J392" s="2" t="s">
        <v>2685</v>
      </c>
      <c r="K392" s="5" t="s">
        <v>2686</v>
      </c>
    </row>
    <row r="393" spans="1:11" ht="210" x14ac:dyDescent="0.25">
      <c r="A393" s="2"/>
      <c r="B393" s="8" t="s">
        <v>19</v>
      </c>
      <c r="C393" s="2" t="s">
        <v>20</v>
      </c>
      <c r="D393" s="2" t="s">
        <v>2687</v>
      </c>
      <c r="E393" s="2" t="s">
        <v>2688</v>
      </c>
      <c r="F393" s="4" t="s">
        <v>2689</v>
      </c>
      <c r="G393" s="4" t="s">
        <v>2690</v>
      </c>
      <c r="H393" s="4" t="s">
        <v>2691</v>
      </c>
      <c r="I393" s="4" t="s">
        <v>42</v>
      </c>
      <c r="J393" s="2" t="s">
        <v>2692</v>
      </c>
      <c r="K393" s="5" t="s">
        <v>2693</v>
      </c>
    </row>
    <row r="394" spans="1:11" ht="240" x14ac:dyDescent="0.25">
      <c r="A394" s="2"/>
      <c r="B394" s="8" t="s">
        <v>19</v>
      </c>
      <c r="C394" s="2" t="s">
        <v>20</v>
      </c>
      <c r="D394" s="2" t="s">
        <v>2694</v>
      </c>
      <c r="E394" s="2" t="s">
        <v>2695</v>
      </c>
      <c r="F394" s="4" t="s">
        <v>2696</v>
      </c>
      <c r="G394" s="4" t="s">
        <v>2697</v>
      </c>
      <c r="H394" s="4" t="s">
        <v>2698</v>
      </c>
      <c r="I394" s="4" t="s">
        <v>42</v>
      </c>
      <c r="K394" s="5" t="s">
        <v>2699</v>
      </c>
    </row>
    <row r="395" spans="1:11" ht="120" x14ac:dyDescent="0.25">
      <c r="A395" s="8" t="s">
        <v>11</v>
      </c>
      <c r="B395" s="8">
        <v>3</v>
      </c>
      <c r="C395" s="2" t="s">
        <v>11</v>
      </c>
      <c r="D395" s="2" t="s">
        <v>2700</v>
      </c>
      <c r="E395" s="2" t="s">
        <v>2701</v>
      </c>
      <c r="F395" s="4" t="s">
        <v>2702</v>
      </c>
      <c r="G395" s="4" t="s">
        <v>2703</v>
      </c>
      <c r="H395" s="4" t="s">
        <v>2704</v>
      </c>
      <c r="I395" s="4" t="s">
        <v>26</v>
      </c>
      <c r="J395" s="2" t="s">
        <v>2705</v>
      </c>
      <c r="K395" s="13" t="s">
        <v>2706</v>
      </c>
    </row>
    <row r="396" spans="1:11" ht="135" x14ac:dyDescent="0.25">
      <c r="A396" s="8" t="s">
        <v>426</v>
      </c>
      <c r="B396" s="8">
        <v>1</v>
      </c>
      <c r="C396" s="2" t="s">
        <v>11</v>
      </c>
      <c r="D396" s="2" t="s">
        <v>2707</v>
      </c>
      <c r="E396" s="2" t="s">
        <v>2708</v>
      </c>
      <c r="F396" s="4" t="s">
        <v>2709</v>
      </c>
      <c r="G396" s="4" t="s">
        <v>2710</v>
      </c>
      <c r="H396" s="4" t="s">
        <v>2711</v>
      </c>
      <c r="I396" s="4" t="s">
        <v>42</v>
      </c>
      <c r="J396" s="2" t="s">
        <v>2712</v>
      </c>
      <c r="K396" s="5" t="s">
        <v>2713</v>
      </c>
    </row>
    <row r="397" spans="1:11" ht="225" x14ac:dyDescent="0.25">
      <c r="A397" s="2"/>
      <c r="B397" s="8" t="s">
        <v>100</v>
      </c>
      <c r="C397" s="2" t="s">
        <v>20</v>
      </c>
      <c r="D397" s="2" t="s">
        <v>2714</v>
      </c>
      <c r="E397" s="2" t="s">
        <v>2715</v>
      </c>
      <c r="F397" s="4" t="s">
        <v>2716</v>
      </c>
      <c r="G397" s="4" t="s">
        <v>2717</v>
      </c>
      <c r="H397" s="4" t="s">
        <v>2718</v>
      </c>
      <c r="I397" s="4" t="s">
        <v>42</v>
      </c>
      <c r="K397" s="5" t="s">
        <v>2719</v>
      </c>
    </row>
    <row r="398" spans="1:11" ht="195" x14ac:dyDescent="0.25">
      <c r="A398" s="2"/>
      <c r="B398" s="8" t="s">
        <v>100</v>
      </c>
      <c r="C398" s="2" t="s">
        <v>20</v>
      </c>
      <c r="D398" s="2" t="s">
        <v>2720</v>
      </c>
      <c r="E398" s="2" t="s">
        <v>2721</v>
      </c>
      <c r="F398" s="4" t="s">
        <v>2722</v>
      </c>
      <c r="G398" s="4" t="s">
        <v>2723</v>
      </c>
      <c r="H398" s="4" t="s">
        <v>2724</v>
      </c>
      <c r="I398" s="4" t="s">
        <v>26</v>
      </c>
      <c r="J398" s="2" t="s">
        <v>2725</v>
      </c>
      <c r="K398" s="5" t="s">
        <v>2726</v>
      </c>
    </row>
    <row r="399" spans="1:11" ht="210" x14ac:dyDescent="0.25">
      <c r="A399" s="8" t="s">
        <v>11</v>
      </c>
      <c r="B399" s="8">
        <v>1</v>
      </c>
      <c r="C399" s="2" t="s">
        <v>11</v>
      </c>
      <c r="D399" s="2" t="s">
        <v>2727</v>
      </c>
      <c r="E399" s="2" t="s">
        <v>2728</v>
      </c>
      <c r="F399" s="4" t="s">
        <v>2729</v>
      </c>
      <c r="G399" s="4" t="s">
        <v>2730</v>
      </c>
      <c r="H399" s="4" t="s">
        <v>2731</v>
      </c>
      <c r="I399" s="4" t="s">
        <v>42</v>
      </c>
      <c r="J399" s="2" t="s">
        <v>2732</v>
      </c>
      <c r="K399" s="5" t="s">
        <v>2733</v>
      </c>
    </row>
    <row r="400" spans="1:11" ht="195" x14ac:dyDescent="0.25">
      <c r="A400" s="2"/>
      <c r="B400" s="8" t="s">
        <v>100</v>
      </c>
      <c r="C400" s="2" t="s">
        <v>20</v>
      </c>
      <c r="D400" s="2" t="s">
        <v>2734</v>
      </c>
      <c r="E400" s="2" t="s">
        <v>2735</v>
      </c>
      <c r="F400" s="4" t="s">
        <v>2736</v>
      </c>
      <c r="G400" s="4" t="s">
        <v>2737</v>
      </c>
      <c r="H400" s="4" t="s">
        <v>2738</v>
      </c>
      <c r="I400" s="4" t="s">
        <v>26</v>
      </c>
      <c r="J400" s="2" t="s">
        <v>2739</v>
      </c>
      <c r="K400" s="5" t="s">
        <v>2740</v>
      </c>
    </row>
    <row r="401" spans="1:11" ht="180" x14ac:dyDescent="0.25">
      <c r="A401" s="2"/>
      <c r="B401" s="8" t="s">
        <v>29</v>
      </c>
      <c r="C401" s="2" t="s">
        <v>20</v>
      </c>
      <c r="D401" s="2" t="s">
        <v>2741</v>
      </c>
      <c r="E401" s="2" t="s">
        <v>2742</v>
      </c>
      <c r="F401" s="4" t="s">
        <v>2743</v>
      </c>
      <c r="G401" s="4" t="s">
        <v>2744</v>
      </c>
      <c r="H401" s="4" t="s">
        <v>2745</v>
      </c>
      <c r="I401" s="4" t="s">
        <v>26</v>
      </c>
      <c r="J401" s="2" t="s">
        <v>2746</v>
      </c>
      <c r="K401" s="5" t="s">
        <v>2747</v>
      </c>
    </row>
    <row r="402" spans="1:11" ht="255" x14ac:dyDescent="0.25">
      <c r="A402" s="2"/>
      <c r="B402" s="8" t="s">
        <v>100</v>
      </c>
      <c r="C402" s="2" t="s">
        <v>20</v>
      </c>
      <c r="D402" s="2" t="s">
        <v>2748</v>
      </c>
      <c r="E402" s="2" t="s">
        <v>2749</v>
      </c>
      <c r="F402" s="4" t="s">
        <v>2750</v>
      </c>
      <c r="G402" s="4" t="s">
        <v>2751</v>
      </c>
      <c r="H402" s="4" t="s">
        <v>2752</v>
      </c>
      <c r="I402" s="4" t="s">
        <v>26</v>
      </c>
      <c r="J402" s="2" t="s">
        <v>2753</v>
      </c>
      <c r="K402" s="5" t="s">
        <v>2754</v>
      </c>
    </row>
    <row r="403" spans="1:11" ht="150" x14ac:dyDescent="0.25">
      <c r="A403" s="8" t="s">
        <v>11</v>
      </c>
      <c r="B403" s="8">
        <v>1</v>
      </c>
      <c r="C403" s="2" t="s">
        <v>11</v>
      </c>
      <c r="D403" s="2" t="s">
        <v>2755</v>
      </c>
      <c r="E403" s="2" t="s">
        <v>2756</v>
      </c>
      <c r="F403" s="4" t="s">
        <v>2757</v>
      </c>
      <c r="G403" s="4" t="s">
        <v>2758</v>
      </c>
      <c r="H403" s="4" t="s">
        <v>2759</v>
      </c>
      <c r="I403" s="4" t="s">
        <v>42</v>
      </c>
      <c r="J403" s="2" t="s">
        <v>2760</v>
      </c>
      <c r="K403" s="5" t="s">
        <v>2761</v>
      </c>
    </row>
    <row r="404" spans="1:11" ht="195" x14ac:dyDescent="0.25">
      <c r="A404" s="2"/>
      <c r="B404" s="8" t="s">
        <v>19</v>
      </c>
      <c r="C404" s="2" t="s">
        <v>20</v>
      </c>
      <c r="D404" s="2" t="s">
        <v>2762</v>
      </c>
      <c r="E404" s="2" t="s">
        <v>2763</v>
      </c>
      <c r="F404" s="4" t="s">
        <v>2764</v>
      </c>
      <c r="G404" s="4" t="s">
        <v>2765</v>
      </c>
      <c r="H404" s="4" t="s">
        <v>2766</v>
      </c>
      <c r="I404" s="4" t="s">
        <v>26</v>
      </c>
      <c r="J404" s="2" t="s">
        <v>2767</v>
      </c>
      <c r="K404" s="5" t="s">
        <v>2768</v>
      </c>
    </row>
    <row r="405" spans="1:11" ht="225" x14ac:dyDescent="0.25">
      <c r="A405" s="2"/>
      <c r="B405" s="8">
        <v>1</v>
      </c>
      <c r="C405" s="2" t="s">
        <v>11</v>
      </c>
      <c r="D405" s="2" t="s">
        <v>2769</v>
      </c>
      <c r="E405" s="2" t="s">
        <v>2728</v>
      </c>
      <c r="F405" s="4" t="s">
        <v>2770</v>
      </c>
      <c r="G405" s="4" t="s">
        <v>2771</v>
      </c>
      <c r="H405" s="4" t="s">
        <v>2772</v>
      </c>
      <c r="I405" s="4" t="s">
        <v>26</v>
      </c>
      <c r="J405" s="2" t="s">
        <v>2773</v>
      </c>
      <c r="K405" s="5" t="s">
        <v>2774</v>
      </c>
    </row>
    <row r="406" spans="1:11" ht="105" x14ac:dyDescent="0.25">
      <c r="A406" s="8" t="s">
        <v>11</v>
      </c>
      <c r="B406" s="8">
        <v>1</v>
      </c>
      <c r="C406" s="2" t="s">
        <v>11</v>
      </c>
      <c r="D406" s="2" t="s">
        <v>2775</v>
      </c>
      <c r="E406" s="2" t="s">
        <v>2776</v>
      </c>
      <c r="F406" s="4" t="s">
        <v>2777</v>
      </c>
      <c r="G406" s="4" t="s">
        <v>2778</v>
      </c>
      <c r="H406" s="4" t="s">
        <v>2779</v>
      </c>
      <c r="I406" s="4" t="s">
        <v>42</v>
      </c>
      <c r="J406" s="2" t="s">
        <v>2780</v>
      </c>
      <c r="K406" s="5" t="s">
        <v>2781</v>
      </c>
    </row>
    <row r="407" spans="1:11" ht="105" x14ac:dyDescent="0.25">
      <c r="A407" s="8" t="s">
        <v>11</v>
      </c>
      <c r="B407" s="8">
        <v>1</v>
      </c>
      <c r="C407" s="2" t="s">
        <v>11</v>
      </c>
      <c r="D407" s="2" t="s">
        <v>2782</v>
      </c>
      <c r="E407" s="2" t="s">
        <v>2783</v>
      </c>
      <c r="F407" s="4" t="s">
        <v>2784</v>
      </c>
      <c r="G407" s="4" t="s">
        <v>2785</v>
      </c>
      <c r="I407" s="4" t="s">
        <v>702</v>
      </c>
      <c r="J407" s="2" t="s">
        <v>2786</v>
      </c>
      <c r="K407" s="5" t="s">
        <v>2787</v>
      </c>
    </row>
    <row r="408" spans="1:11" ht="135" x14ac:dyDescent="0.25">
      <c r="A408" s="2"/>
      <c r="B408" s="8" t="s">
        <v>100</v>
      </c>
      <c r="C408" s="2" t="s">
        <v>20</v>
      </c>
      <c r="D408" s="2" t="s">
        <v>2788</v>
      </c>
      <c r="E408" s="2" t="s">
        <v>2789</v>
      </c>
      <c r="F408" s="4" t="s">
        <v>2790</v>
      </c>
      <c r="G408" s="4" t="s">
        <v>2791</v>
      </c>
      <c r="H408" s="4" t="s">
        <v>2792</v>
      </c>
      <c r="I408" s="4" t="s">
        <v>42</v>
      </c>
      <c r="J408" s="2" t="s">
        <v>2793</v>
      </c>
      <c r="K408" s="5" t="s">
        <v>2794</v>
      </c>
    </row>
    <row r="409" spans="1:11" ht="135" x14ac:dyDescent="0.25">
      <c r="A409" s="2"/>
      <c r="B409" s="8" t="s">
        <v>19</v>
      </c>
      <c r="C409" s="2" t="s">
        <v>20</v>
      </c>
      <c r="D409" s="2" t="s">
        <v>2795</v>
      </c>
      <c r="E409" s="2" t="s">
        <v>2227</v>
      </c>
      <c r="F409" s="4" t="s">
        <v>2796</v>
      </c>
      <c r="G409" s="4" t="s">
        <v>2797</v>
      </c>
      <c r="H409" s="4" t="s">
        <v>2798</v>
      </c>
      <c r="I409" s="4" t="s">
        <v>26</v>
      </c>
      <c r="J409" s="2" t="s">
        <v>2799</v>
      </c>
      <c r="K409" s="5" t="s">
        <v>2800</v>
      </c>
    </row>
    <row r="410" spans="1:11" ht="180" x14ac:dyDescent="0.25">
      <c r="A410" s="2"/>
      <c r="B410" s="8" t="s">
        <v>100</v>
      </c>
      <c r="C410" s="2" t="s">
        <v>20</v>
      </c>
      <c r="D410" s="2" t="s">
        <v>2801</v>
      </c>
      <c r="E410" s="2" t="s">
        <v>2802</v>
      </c>
      <c r="F410" s="4" t="s">
        <v>2803</v>
      </c>
      <c r="G410" s="4" t="s">
        <v>2804</v>
      </c>
      <c r="H410" s="4" t="s">
        <v>2805</v>
      </c>
      <c r="I410" s="4" t="s">
        <v>26</v>
      </c>
      <c r="J410" s="2" t="s">
        <v>2806</v>
      </c>
      <c r="K410" s="5" t="s">
        <v>2807</v>
      </c>
    </row>
    <row r="411" spans="1:11" ht="285" x14ac:dyDescent="0.25">
      <c r="A411" s="2"/>
      <c r="B411" s="8" t="s">
        <v>100</v>
      </c>
      <c r="C411" s="2" t="s">
        <v>20</v>
      </c>
      <c r="D411" s="2" t="s">
        <v>2808</v>
      </c>
      <c r="E411" s="2" t="s">
        <v>2809</v>
      </c>
      <c r="F411" s="4" t="s">
        <v>2810</v>
      </c>
      <c r="G411" s="4" t="s">
        <v>2811</v>
      </c>
      <c r="H411" s="4" t="s">
        <v>2812</v>
      </c>
      <c r="I411" s="4" t="s">
        <v>26</v>
      </c>
      <c r="J411" s="2" t="s">
        <v>2813</v>
      </c>
      <c r="K411" s="5" t="s">
        <v>2814</v>
      </c>
    </row>
    <row r="412" spans="1:11" ht="150" x14ac:dyDescent="0.25">
      <c r="A412" s="2"/>
      <c r="B412" s="8" t="s">
        <v>100</v>
      </c>
      <c r="C412" s="2" t="s">
        <v>20</v>
      </c>
      <c r="D412" s="2" t="s">
        <v>2815</v>
      </c>
      <c r="E412" s="2" t="s">
        <v>2816</v>
      </c>
      <c r="F412" s="4" t="s">
        <v>2817</v>
      </c>
      <c r="G412" s="4" t="s">
        <v>2818</v>
      </c>
      <c r="H412" s="4" t="s">
        <v>2819</v>
      </c>
      <c r="I412" s="4" t="s">
        <v>26</v>
      </c>
      <c r="J412" s="2" t="s">
        <v>2820</v>
      </c>
      <c r="K412" s="5" t="s">
        <v>2821</v>
      </c>
    </row>
    <row r="413" spans="1:11" ht="180" x14ac:dyDescent="0.25">
      <c r="A413" s="2"/>
      <c r="B413" s="8" t="s">
        <v>19</v>
      </c>
      <c r="C413" s="2" t="s">
        <v>20</v>
      </c>
      <c r="D413" s="2" t="s">
        <v>2822</v>
      </c>
      <c r="E413" s="2" t="s">
        <v>2823</v>
      </c>
      <c r="F413" s="4" t="s">
        <v>2824</v>
      </c>
      <c r="G413" s="4" t="s">
        <v>2825</v>
      </c>
      <c r="H413" s="4" t="s">
        <v>2826</v>
      </c>
      <c r="I413" s="4" t="s">
        <v>26</v>
      </c>
      <c r="J413" s="2" t="s">
        <v>2827</v>
      </c>
      <c r="K413" s="5" t="s">
        <v>2828</v>
      </c>
    </row>
    <row r="414" spans="1:11" ht="225" x14ac:dyDescent="0.25">
      <c r="A414" s="2"/>
      <c r="B414" s="8" t="s">
        <v>100</v>
      </c>
      <c r="C414" s="2" t="s">
        <v>20</v>
      </c>
      <c r="D414" s="2" t="s">
        <v>2829</v>
      </c>
      <c r="E414" s="2" t="s">
        <v>2830</v>
      </c>
      <c r="F414" s="4" t="s">
        <v>2831</v>
      </c>
      <c r="G414" s="4" t="s">
        <v>2832</v>
      </c>
      <c r="H414" s="4" t="s">
        <v>2833</v>
      </c>
      <c r="I414" s="4" t="s">
        <v>42</v>
      </c>
      <c r="J414" s="2" t="s">
        <v>2834</v>
      </c>
      <c r="K414" s="5" t="s">
        <v>2835</v>
      </c>
    </row>
    <row r="415" spans="1:11" ht="210" x14ac:dyDescent="0.25">
      <c r="A415" s="8" t="s">
        <v>11</v>
      </c>
      <c r="B415" s="8">
        <v>2</v>
      </c>
      <c r="C415" s="8" t="s">
        <v>11</v>
      </c>
      <c r="D415" s="2" t="s">
        <v>2836</v>
      </c>
      <c r="E415" s="2" t="s">
        <v>2837</v>
      </c>
      <c r="F415" s="4" t="s">
        <v>2838</v>
      </c>
      <c r="G415" s="4" t="s">
        <v>2839</v>
      </c>
      <c r="H415" s="4" t="s">
        <v>2840</v>
      </c>
      <c r="I415" s="4" t="s">
        <v>42</v>
      </c>
      <c r="K415" s="13" t="s">
        <v>2841</v>
      </c>
    </row>
    <row r="416" spans="1:11" ht="150" x14ac:dyDescent="0.25">
      <c r="A416" s="8" t="s">
        <v>11</v>
      </c>
      <c r="B416" s="8">
        <v>2</v>
      </c>
      <c r="C416" s="8" t="s">
        <v>11</v>
      </c>
      <c r="D416" s="2" t="s">
        <v>2842</v>
      </c>
      <c r="E416" s="2" t="s">
        <v>2843</v>
      </c>
      <c r="F416" s="4" t="s">
        <v>2844</v>
      </c>
      <c r="G416" s="4" t="s">
        <v>2845</v>
      </c>
      <c r="H416" s="4" t="s">
        <v>2846</v>
      </c>
      <c r="I416" s="4" t="s">
        <v>26</v>
      </c>
      <c r="J416" s="2" t="s">
        <v>2847</v>
      </c>
      <c r="K416" s="13" t="s">
        <v>2848</v>
      </c>
    </row>
    <row r="417" spans="1:11" ht="195" x14ac:dyDescent="0.25">
      <c r="A417" s="2"/>
      <c r="B417" s="8" t="s">
        <v>19</v>
      </c>
      <c r="C417" s="2" t="s">
        <v>20</v>
      </c>
      <c r="D417" s="2" t="s">
        <v>2849</v>
      </c>
      <c r="E417" s="2" t="s">
        <v>2850</v>
      </c>
      <c r="F417" s="4" t="s">
        <v>2851</v>
      </c>
      <c r="G417" s="4" t="s">
        <v>2852</v>
      </c>
      <c r="H417" s="4" t="s">
        <v>2853</v>
      </c>
      <c r="I417" s="4" t="s">
        <v>42</v>
      </c>
      <c r="J417" s="2" t="s">
        <v>2854</v>
      </c>
      <c r="K417" s="5" t="s">
        <v>2855</v>
      </c>
    </row>
    <row r="418" spans="1:11" ht="135" x14ac:dyDescent="0.25">
      <c r="A418" s="8" t="s">
        <v>11</v>
      </c>
      <c r="B418" s="8">
        <v>1</v>
      </c>
      <c r="C418" s="2" t="s">
        <v>11</v>
      </c>
      <c r="D418" s="2" t="s">
        <v>2856</v>
      </c>
      <c r="E418" s="2" t="s">
        <v>2857</v>
      </c>
      <c r="F418" s="4" t="s">
        <v>2858</v>
      </c>
      <c r="G418" s="4" t="s">
        <v>2859</v>
      </c>
      <c r="H418" s="4" t="s">
        <v>2860</v>
      </c>
      <c r="I418" s="4" t="s">
        <v>26</v>
      </c>
      <c r="J418" s="2" t="s">
        <v>2861</v>
      </c>
      <c r="K418" s="5" t="s">
        <v>2862</v>
      </c>
    </row>
    <row r="419" spans="1:11" ht="165" x14ac:dyDescent="0.25">
      <c r="A419" s="2"/>
      <c r="B419" s="8" t="s">
        <v>100</v>
      </c>
      <c r="C419" s="2" t="s">
        <v>20</v>
      </c>
      <c r="D419" s="2" t="s">
        <v>2863</v>
      </c>
      <c r="E419" s="2" t="s">
        <v>2864</v>
      </c>
      <c r="F419" s="4" t="s">
        <v>2865</v>
      </c>
      <c r="G419" s="4" t="s">
        <v>2866</v>
      </c>
      <c r="H419" s="4" t="s">
        <v>2867</v>
      </c>
      <c r="I419" s="4" t="s">
        <v>26</v>
      </c>
      <c r="J419" s="2" t="s">
        <v>2868</v>
      </c>
      <c r="K419" s="5" t="s">
        <v>2869</v>
      </c>
    </row>
    <row r="420" spans="1:11" ht="135" x14ac:dyDescent="0.25">
      <c r="A420" s="2"/>
      <c r="B420" s="8" t="s">
        <v>19</v>
      </c>
      <c r="C420" s="2" t="s">
        <v>20</v>
      </c>
      <c r="D420" s="2" t="s">
        <v>2870</v>
      </c>
      <c r="E420" s="2" t="s">
        <v>2871</v>
      </c>
      <c r="F420" s="4" t="s">
        <v>2872</v>
      </c>
      <c r="G420" s="4" t="s">
        <v>2873</v>
      </c>
      <c r="H420" s="4" t="s">
        <v>2874</v>
      </c>
      <c r="I420" s="4" t="s">
        <v>42</v>
      </c>
      <c r="J420" s="2" t="s">
        <v>2875</v>
      </c>
      <c r="K420" s="5" t="s">
        <v>2876</v>
      </c>
    </row>
    <row r="421" spans="1:11" ht="150" x14ac:dyDescent="0.25">
      <c r="A421" s="8" t="s">
        <v>11</v>
      </c>
      <c r="B421" s="8">
        <v>2</v>
      </c>
      <c r="C421" s="8" t="s">
        <v>11</v>
      </c>
      <c r="D421" s="2" t="s">
        <v>2877</v>
      </c>
      <c r="E421" s="2" t="s">
        <v>2878</v>
      </c>
      <c r="F421" s="4" t="s">
        <v>2879</v>
      </c>
      <c r="G421" s="4" t="s">
        <v>2880</v>
      </c>
      <c r="H421" s="4" t="s">
        <v>2881</v>
      </c>
      <c r="I421" s="4" t="s">
        <v>42</v>
      </c>
      <c r="J421" s="2" t="s">
        <v>2882</v>
      </c>
      <c r="K421" s="13" t="s">
        <v>2883</v>
      </c>
    </row>
    <row r="422" spans="1:11" ht="270" x14ac:dyDescent="0.25">
      <c r="A422" s="8" t="s">
        <v>11</v>
      </c>
      <c r="B422" s="8">
        <v>1</v>
      </c>
      <c r="C422" s="2" t="s">
        <v>11</v>
      </c>
      <c r="D422" s="2" t="s">
        <v>2884</v>
      </c>
      <c r="E422" s="2" t="s">
        <v>2885</v>
      </c>
      <c r="F422" s="4" t="s">
        <v>2886</v>
      </c>
      <c r="G422" s="4" t="s">
        <v>2887</v>
      </c>
      <c r="H422" s="4" t="s">
        <v>2888</v>
      </c>
      <c r="I422" s="4" t="s">
        <v>26</v>
      </c>
      <c r="J422" s="2" t="s">
        <v>2889</v>
      </c>
      <c r="K422" s="5" t="s">
        <v>2890</v>
      </c>
    </row>
    <row r="423" spans="1:11" ht="180" x14ac:dyDescent="0.25">
      <c r="A423" s="2"/>
      <c r="B423" s="8" t="s">
        <v>100</v>
      </c>
      <c r="C423" s="2" t="s">
        <v>20</v>
      </c>
      <c r="D423" s="2" t="s">
        <v>2891</v>
      </c>
      <c r="E423" s="2" t="s">
        <v>2892</v>
      </c>
      <c r="F423" s="4" t="s">
        <v>2893</v>
      </c>
      <c r="G423" s="4" t="s">
        <v>2894</v>
      </c>
      <c r="H423" s="4" t="s">
        <v>2895</v>
      </c>
      <c r="I423" s="4" t="s">
        <v>42</v>
      </c>
      <c r="K423" s="5" t="s">
        <v>2896</v>
      </c>
    </row>
    <row r="424" spans="1:11" ht="120" x14ac:dyDescent="0.25">
      <c r="A424" s="2"/>
      <c r="B424" s="8" t="s">
        <v>19</v>
      </c>
      <c r="C424" s="2" t="s">
        <v>20</v>
      </c>
      <c r="D424" s="2" t="s">
        <v>2897</v>
      </c>
      <c r="E424" s="2" t="s">
        <v>2898</v>
      </c>
      <c r="F424" s="4" t="s">
        <v>2899</v>
      </c>
      <c r="G424" s="4" t="s">
        <v>2900</v>
      </c>
      <c r="H424" s="4" t="s">
        <v>2901</v>
      </c>
      <c r="I424" s="4" t="s">
        <v>26</v>
      </c>
      <c r="J424" s="2" t="s">
        <v>2902</v>
      </c>
      <c r="K424" s="5" t="s">
        <v>2903</v>
      </c>
    </row>
    <row r="425" spans="1:11" ht="135" x14ac:dyDescent="0.25">
      <c r="A425" s="2"/>
      <c r="B425" s="8" t="s">
        <v>19</v>
      </c>
      <c r="C425" s="2" t="s">
        <v>20</v>
      </c>
      <c r="D425" s="2" t="s">
        <v>2904</v>
      </c>
      <c r="E425" s="2" t="s">
        <v>2905</v>
      </c>
      <c r="F425" s="4" t="s">
        <v>2906</v>
      </c>
      <c r="G425" s="4" t="s">
        <v>2907</v>
      </c>
      <c r="H425" s="4" t="s">
        <v>2908</v>
      </c>
      <c r="I425" s="4" t="s">
        <v>42</v>
      </c>
      <c r="J425" s="2" t="s">
        <v>2909</v>
      </c>
      <c r="K425" s="5" t="s">
        <v>2910</v>
      </c>
    </row>
    <row r="426" spans="1:11" ht="120" x14ac:dyDescent="0.25">
      <c r="A426" s="2"/>
      <c r="B426" s="8" t="s">
        <v>100</v>
      </c>
      <c r="C426" s="2" t="s">
        <v>20</v>
      </c>
      <c r="D426" s="2" t="s">
        <v>2911</v>
      </c>
      <c r="E426" s="2" t="s">
        <v>2912</v>
      </c>
      <c r="F426" s="4" t="s">
        <v>2913</v>
      </c>
      <c r="G426" s="4" t="s">
        <v>2914</v>
      </c>
      <c r="H426" s="4" t="s">
        <v>2915</v>
      </c>
      <c r="I426" s="4" t="s">
        <v>42</v>
      </c>
      <c r="J426" s="2" t="s">
        <v>2916</v>
      </c>
      <c r="K426" s="5" t="s">
        <v>2917</v>
      </c>
    </row>
    <row r="427" spans="1:11" ht="225" x14ac:dyDescent="0.25">
      <c r="A427" s="8" t="s">
        <v>20</v>
      </c>
      <c r="B427" s="8">
        <v>1</v>
      </c>
      <c r="C427" s="2" t="s">
        <v>11</v>
      </c>
      <c r="D427" s="2" t="s">
        <v>2918</v>
      </c>
      <c r="E427" s="2" t="s">
        <v>2919</v>
      </c>
      <c r="F427" s="4" t="s">
        <v>2920</v>
      </c>
      <c r="G427" s="4" t="s">
        <v>2921</v>
      </c>
      <c r="H427" s="4" t="s">
        <v>2922</v>
      </c>
      <c r="I427" s="4" t="s">
        <v>42</v>
      </c>
      <c r="J427" s="2" t="s">
        <v>2923</v>
      </c>
      <c r="K427" s="5" t="s">
        <v>2924</v>
      </c>
    </row>
    <row r="428" spans="1:11" ht="195" x14ac:dyDescent="0.25">
      <c r="A428" s="2"/>
      <c r="B428" s="8" t="s">
        <v>1398</v>
      </c>
      <c r="C428" s="2" t="s">
        <v>20</v>
      </c>
      <c r="D428" s="2" t="s">
        <v>2925</v>
      </c>
      <c r="E428" s="2" t="s">
        <v>2926</v>
      </c>
      <c r="F428" s="4" t="s">
        <v>2927</v>
      </c>
      <c r="G428" s="4" t="s">
        <v>2928</v>
      </c>
      <c r="H428" s="4" t="s">
        <v>2929</v>
      </c>
      <c r="I428" s="4" t="s">
        <v>26</v>
      </c>
      <c r="J428" s="2" t="s">
        <v>2930</v>
      </c>
      <c r="K428" s="5" t="s">
        <v>2931</v>
      </c>
    </row>
    <row r="429" spans="1:11" ht="225" x14ac:dyDescent="0.25">
      <c r="A429" s="2"/>
      <c r="B429" s="8" t="s">
        <v>100</v>
      </c>
      <c r="C429" s="2" t="s">
        <v>20</v>
      </c>
      <c r="D429" s="2" t="s">
        <v>2932</v>
      </c>
      <c r="E429" s="2" t="s">
        <v>2933</v>
      </c>
      <c r="F429" s="4" t="s">
        <v>2934</v>
      </c>
      <c r="G429" s="4" t="s">
        <v>2935</v>
      </c>
      <c r="H429" s="4" t="s">
        <v>2936</v>
      </c>
      <c r="I429" s="4" t="s">
        <v>42</v>
      </c>
      <c r="J429" s="2" t="s">
        <v>2937</v>
      </c>
      <c r="K429" s="5" t="s">
        <v>2938</v>
      </c>
    </row>
    <row r="430" spans="1:11" ht="180" x14ac:dyDescent="0.25">
      <c r="A430" s="2"/>
      <c r="B430" s="8" t="s">
        <v>74</v>
      </c>
      <c r="C430" s="2" t="s">
        <v>20</v>
      </c>
      <c r="D430" s="2" t="s">
        <v>2939</v>
      </c>
      <c r="F430" s="4" t="s">
        <v>2940</v>
      </c>
      <c r="G430" s="4" t="s">
        <v>2941</v>
      </c>
      <c r="I430" s="4" t="s">
        <v>26</v>
      </c>
      <c r="K430" s="5" t="s">
        <v>2942</v>
      </c>
    </row>
    <row r="431" spans="1:11" ht="210" x14ac:dyDescent="0.25">
      <c r="A431" s="8" t="s">
        <v>2943</v>
      </c>
      <c r="B431" s="8">
        <v>1</v>
      </c>
      <c r="C431" s="2" t="s">
        <v>11</v>
      </c>
      <c r="D431" s="2" t="s">
        <v>2944</v>
      </c>
      <c r="E431" s="2" t="s">
        <v>2945</v>
      </c>
      <c r="F431" s="4" t="s">
        <v>2946</v>
      </c>
      <c r="G431" s="4" t="s">
        <v>2947</v>
      </c>
      <c r="H431" s="4" t="s">
        <v>2948</v>
      </c>
      <c r="I431" s="4" t="s">
        <v>42</v>
      </c>
      <c r="J431" s="2" t="s">
        <v>2949</v>
      </c>
      <c r="K431" s="5" t="s">
        <v>2950</v>
      </c>
    </row>
    <row r="432" spans="1:11" ht="135" x14ac:dyDescent="0.25">
      <c r="B432" s="8" t="s">
        <v>74</v>
      </c>
      <c r="C432" s="2" t="s">
        <v>20</v>
      </c>
      <c r="D432" s="2" t="s">
        <v>2951</v>
      </c>
      <c r="F432" s="4" t="s">
        <v>2952</v>
      </c>
      <c r="G432" s="4" t="s">
        <v>2953</v>
      </c>
      <c r="I432" s="4" t="s">
        <v>42</v>
      </c>
      <c r="K432" s="5" t="s">
        <v>2954</v>
      </c>
    </row>
    <row r="433" spans="1:11" ht="195" x14ac:dyDescent="0.25">
      <c r="A433" s="8" t="s">
        <v>11</v>
      </c>
      <c r="B433" s="8">
        <v>1</v>
      </c>
      <c r="C433" s="2" t="s">
        <v>11</v>
      </c>
      <c r="D433" s="2" t="s">
        <v>2955</v>
      </c>
      <c r="E433" s="2" t="s">
        <v>2956</v>
      </c>
      <c r="F433" s="4" t="s">
        <v>2957</v>
      </c>
      <c r="G433" s="4" t="s">
        <v>2958</v>
      </c>
      <c r="H433" s="4" t="s">
        <v>2959</v>
      </c>
      <c r="I433" s="4" t="s">
        <v>42</v>
      </c>
      <c r="J433" s="2" t="s">
        <v>2960</v>
      </c>
      <c r="K433" s="5" t="s">
        <v>2961</v>
      </c>
    </row>
    <row r="434" spans="1:11" ht="105" x14ac:dyDescent="0.25">
      <c r="A434" s="2"/>
      <c r="B434" s="8" t="s">
        <v>19</v>
      </c>
      <c r="C434" s="2" t="s">
        <v>20</v>
      </c>
      <c r="D434" s="2" t="s">
        <v>2962</v>
      </c>
      <c r="E434" s="2" t="s">
        <v>2963</v>
      </c>
      <c r="F434" s="4" t="s">
        <v>2964</v>
      </c>
      <c r="G434" s="4" t="s">
        <v>2965</v>
      </c>
      <c r="H434" s="4" t="s">
        <v>2966</v>
      </c>
      <c r="I434" s="4" t="s">
        <v>42</v>
      </c>
      <c r="K434" s="5" t="s">
        <v>2967</v>
      </c>
    </row>
    <row r="435" spans="1:11" ht="255" x14ac:dyDescent="0.25">
      <c r="A435" s="2"/>
      <c r="B435" s="8" t="s">
        <v>19</v>
      </c>
      <c r="C435" s="2" t="s">
        <v>20</v>
      </c>
      <c r="D435" s="2" t="s">
        <v>2968</v>
      </c>
      <c r="E435" s="2" t="s">
        <v>2969</v>
      </c>
      <c r="F435" s="4" t="s">
        <v>2970</v>
      </c>
      <c r="G435" s="4" t="s">
        <v>2971</v>
      </c>
      <c r="H435" s="4" t="s">
        <v>2972</v>
      </c>
      <c r="I435" s="4" t="s">
        <v>26</v>
      </c>
      <c r="J435" s="2" t="s">
        <v>2973</v>
      </c>
      <c r="K435" s="5" t="s">
        <v>2974</v>
      </c>
    </row>
    <row r="436" spans="1:11" ht="225" x14ac:dyDescent="0.25">
      <c r="A436" s="2"/>
      <c r="B436" s="8" t="s">
        <v>100</v>
      </c>
      <c r="C436" s="2" t="s">
        <v>20</v>
      </c>
      <c r="D436" s="2" t="s">
        <v>2975</v>
      </c>
      <c r="E436" s="2" t="s">
        <v>2976</v>
      </c>
      <c r="F436" s="4" t="s">
        <v>2977</v>
      </c>
      <c r="G436" s="4" t="s">
        <v>2978</v>
      </c>
      <c r="H436" s="4" t="s">
        <v>2979</v>
      </c>
      <c r="I436" s="4" t="s">
        <v>26</v>
      </c>
      <c r="J436" s="2" t="s">
        <v>2980</v>
      </c>
      <c r="K436" s="5" t="s">
        <v>2981</v>
      </c>
    </row>
    <row r="437" spans="1:11" ht="150" x14ac:dyDescent="0.25">
      <c r="A437" s="8" t="s">
        <v>11</v>
      </c>
      <c r="B437" s="8">
        <v>1</v>
      </c>
      <c r="C437" s="2" t="s">
        <v>11</v>
      </c>
      <c r="D437" s="2" t="s">
        <v>2982</v>
      </c>
      <c r="E437" s="2" t="s">
        <v>2983</v>
      </c>
      <c r="F437" s="4" t="s">
        <v>2984</v>
      </c>
      <c r="G437" s="4" t="s">
        <v>2985</v>
      </c>
      <c r="H437" s="4" t="s">
        <v>2986</v>
      </c>
      <c r="I437" s="4" t="s">
        <v>42</v>
      </c>
      <c r="J437" s="2" t="s">
        <v>2987</v>
      </c>
      <c r="K437" s="5" t="s">
        <v>2988</v>
      </c>
    </row>
    <row r="438" spans="1:11" ht="120" x14ac:dyDescent="0.25">
      <c r="A438" s="8" t="s">
        <v>11</v>
      </c>
      <c r="B438" s="8">
        <v>2</v>
      </c>
      <c r="C438" s="8" t="s">
        <v>11</v>
      </c>
      <c r="D438" s="2" t="s">
        <v>2989</v>
      </c>
      <c r="E438" s="2" t="s">
        <v>2990</v>
      </c>
      <c r="F438" s="4" t="s">
        <v>2991</v>
      </c>
      <c r="G438" s="4" t="s">
        <v>2992</v>
      </c>
      <c r="H438" s="4" t="s">
        <v>2993</v>
      </c>
      <c r="I438" s="4" t="s">
        <v>42</v>
      </c>
      <c r="J438" s="2" t="s">
        <v>2994</v>
      </c>
      <c r="K438" s="13" t="s">
        <v>2995</v>
      </c>
    </row>
    <row r="439" spans="1:11" ht="120" x14ac:dyDescent="0.25">
      <c r="A439" s="2"/>
      <c r="B439" s="8" t="s">
        <v>100</v>
      </c>
      <c r="C439" s="2" t="s">
        <v>20</v>
      </c>
      <c r="D439" s="2" t="s">
        <v>2996</v>
      </c>
      <c r="E439" s="2" t="s">
        <v>2997</v>
      </c>
      <c r="F439" s="4" t="s">
        <v>2998</v>
      </c>
      <c r="G439" s="4" t="s">
        <v>2999</v>
      </c>
      <c r="H439" s="4" t="s">
        <v>3000</v>
      </c>
      <c r="I439" s="4" t="s">
        <v>42</v>
      </c>
      <c r="J439" s="2" t="s">
        <v>3001</v>
      </c>
      <c r="K439" s="5" t="s">
        <v>3002</v>
      </c>
    </row>
    <row r="440" spans="1:11" ht="165" x14ac:dyDescent="0.25">
      <c r="A440" s="2"/>
      <c r="B440" s="8" t="s">
        <v>19</v>
      </c>
      <c r="C440" s="2" t="s">
        <v>20</v>
      </c>
      <c r="D440" s="2" t="s">
        <v>3003</v>
      </c>
      <c r="E440" s="2" t="s">
        <v>2503</v>
      </c>
      <c r="F440" s="4" t="s">
        <v>3004</v>
      </c>
      <c r="G440" s="4" t="s">
        <v>3005</v>
      </c>
      <c r="H440" s="4" t="s">
        <v>3006</v>
      </c>
      <c r="I440" s="4" t="s">
        <v>42</v>
      </c>
      <c r="J440" s="2" t="s">
        <v>3007</v>
      </c>
      <c r="K440" s="5" t="s">
        <v>3008</v>
      </c>
    </row>
    <row r="441" spans="1:11" ht="90" x14ac:dyDescent="0.25">
      <c r="A441" s="8" t="s">
        <v>11</v>
      </c>
      <c r="B441" s="8">
        <v>2</v>
      </c>
      <c r="C441" s="8" t="s">
        <v>11</v>
      </c>
      <c r="D441" s="2" t="s">
        <v>3009</v>
      </c>
      <c r="E441" s="2" t="s">
        <v>3010</v>
      </c>
      <c r="F441" s="4" t="s">
        <v>3011</v>
      </c>
      <c r="G441" s="4" t="s">
        <v>3012</v>
      </c>
      <c r="H441" s="4" t="s">
        <v>3013</v>
      </c>
      <c r="I441" s="4" t="s">
        <v>42</v>
      </c>
      <c r="J441" s="2" t="s">
        <v>3014</v>
      </c>
      <c r="K441" s="13" t="s">
        <v>3015</v>
      </c>
    </row>
    <row r="442" spans="1:11" ht="270" x14ac:dyDescent="0.25">
      <c r="A442" s="2"/>
      <c r="B442" s="8" t="s">
        <v>100</v>
      </c>
      <c r="C442" s="2" t="s">
        <v>20</v>
      </c>
      <c r="D442" s="2" t="s">
        <v>3016</v>
      </c>
      <c r="E442" s="2" t="s">
        <v>3017</v>
      </c>
      <c r="F442" s="4" t="s">
        <v>3018</v>
      </c>
      <c r="G442" s="4" t="s">
        <v>3019</v>
      </c>
      <c r="H442" s="4" t="s">
        <v>3020</v>
      </c>
      <c r="I442" s="4" t="s">
        <v>702</v>
      </c>
      <c r="J442" s="2" t="s">
        <v>3021</v>
      </c>
      <c r="K442" s="5" t="s">
        <v>3022</v>
      </c>
    </row>
    <row r="443" spans="1:11" ht="150" x14ac:dyDescent="0.25">
      <c r="A443" s="8" t="s">
        <v>11</v>
      </c>
      <c r="B443" s="8">
        <v>3</v>
      </c>
      <c r="C443" s="2" t="s">
        <v>11</v>
      </c>
      <c r="D443" s="2" t="s">
        <v>3023</v>
      </c>
      <c r="E443" s="2" t="s">
        <v>3024</v>
      </c>
      <c r="F443" s="4" t="s">
        <v>3025</v>
      </c>
      <c r="G443" s="4" t="s">
        <v>3026</v>
      </c>
      <c r="H443" s="4" t="s">
        <v>3027</v>
      </c>
      <c r="I443" s="4" t="s">
        <v>26</v>
      </c>
      <c r="J443" s="2" t="s">
        <v>3028</v>
      </c>
      <c r="K443" s="13" t="s">
        <v>3029</v>
      </c>
    </row>
    <row r="444" spans="1:11" ht="300" x14ac:dyDescent="0.25">
      <c r="A444" s="8" t="s">
        <v>11</v>
      </c>
      <c r="B444" s="8">
        <v>3</v>
      </c>
      <c r="C444" s="8" t="s">
        <v>11</v>
      </c>
      <c r="D444" s="2" t="s">
        <v>3030</v>
      </c>
      <c r="E444" s="2" t="s">
        <v>3031</v>
      </c>
      <c r="F444" s="4" t="s">
        <v>3032</v>
      </c>
      <c r="G444" s="4" t="s">
        <v>3033</v>
      </c>
      <c r="H444" s="4" t="s">
        <v>3034</v>
      </c>
      <c r="I444" s="4" t="s">
        <v>26</v>
      </c>
      <c r="J444" s="2" t="s">
        <v>3035</v>
      </c>
      <c r="K444" s="13" t="s">
        <v>3036</v>
      </c>
    </row>
    <row r="445" spans="1:11" ht="120" x14ac:dyDescent="0.25">
      <c r="A445" s="8" t="s">
        <v>11</v>
      </c>
      <c r="B445" s="8">
        <v>1</v>
      </c>
      <c r="C445" s="2" t="s">
        <v>11</v>
      </c>
      <c r="D445" s="2" t="s">
        <v>3037</v>
      </c>
      <c r="E445" s="2" t="s">
        <v>3038</v>
      </c>
      <c r="F445" s="4" t="s">
        <v>3039</v>
      </c>
      <c r="G445" s="4" t="s">
        <v>3040</v>
      </c>
      <c r="H445" s="4" t="s">
        <v>3041</v>
      </c>
      <c r="I445" s="4" t="s">
        <v>42</v>
      </c>
      <c r="J445" s="2" t="s">
        <v>3042</v>
      </c>
      <c r="K445" s="5" t="s">
        <v>3043</v>
      </c>
    </row>
    <row r="446" spans="1:11" ht="195" x14ac:dyDescent="0.25">
      <c r="A446" s="8" t="s">
        <v>11</v>
      </c>
      <c r="B446" s="8">
        <v>1</v>
      </c>
      <c r="C446" s="2" t="s">
        <v>11</v>
      </c>
      <c r="D446" s="2" t="s">
        <v>3044</v>
      </c>
      <c r="E446" s="2" t="s">
        <v>3045</v>
      </c>
      <c r="F446" s="4" t="s">
        <v>3046</v>
      </c>
      <c r="G446" s="4" t="s">
        <v>3047</v>
      </c>
      <c r="H446" s="4" t="s">
        <v>3048</v>
      </c>
      <c r="I446" s="4" t="s">
        <v>42</v>
      </c>
      <c r="J446" s="2" t="s">
        <v>3049</v>
      </c>
      <c r="K446" s="5" t="s">
        <v>3050</v>
      </c>
    </row>
    <row r="447" spans="1:11" ht="330" x14ac:dyDescent="0.25">
      <c r="A447" s="2"/>
      <c r="B447" s="8" t="s">
        <v>52</v>
      </c>
      <c r="C447" s="2" t="s">
        <v>20</v>
      </c>
      <c r="D447" s="2" t="s">
        <v>3051</v>
      </c>
      <c r="E447" s="2" t="s">
        <v>3052</v>
      </c>
      <c r="F447" s="4" t="s">
        <v>3053</v>
      </c>
      <c r="G447" s="4" t="s">
        <v>3054</v>
      </c>
      <c r="H447" s="4" t="s">
        <v>3055</v>
      </c>
      <c r="I447" s="4" t="s">
        <v>26</v>
      </c>
      <c r="J447" s="2" t="s">
        <v>3056</v>
      </c>
      <c r="K447" s="5" t="s">
        <v>3057</v>
      </c>
    </row>
    <row r="448" spans="1:11" ht="210" x14ac:dyDescent="0.25">
      <c r="A448" s="2"/>
      <c r="B448" s="8" t="s">
        <v>100</v>
      </c>
      <c r="C448" s="2" t="s">
        <v>20</v>
      </c>
      <c r="D448" s="2" t="s">
        <v>3058</v>
      </c>
      <c r="E448" s="2" t="s">
        <v>3059</v>
      </c>
      <c r="F448" s="4" t="s">
        <v>3060</v>
      </c>
      <c r="G448" s="4" t="s">
        <v>3061</v>
      </c>
      <c r="H448" s="4" t="s">
        <v>3062</v>
      </c>
      <c r="I448" s="4" t="s">
        <v>26</v>
      </c>
      <c r="J448" s="2" t="s">
        <v>3063</v>
      </c>
      <c r="K448" s="5" t="s">
        <v>3064</v>
      </c>
    </row>
    <row r="449" spans="1:11" ht="195" x14ac:dyDescent="0.25">
      <c r="A449" s="2"/>
      <c r="B449" s="8" t="s">
        <v>100</v>
      </c>
      <c r="C449" s="2" t="s">
        <v>20</v>
      </c>
      <c r="D449" s="2" t="s">
        <v>3065</v>
      </c>
      <c r="E449" s="2" t="s">
        <v>3066</v>
      </c>
      <c r="F449" s="4" t="s">
        <v>3067</v>
      </c>
      <c r="G449" s="4" t="s">
        <v>3068</v>
      </c>
      <c r="H449" s="4" t="s">
        <v>3069</v>
      </c>
      <c r="I449" s="4" t="s">
        <v>26</v>
      </c>
      <c r="J449" s="2" t="s">
        <v>3070</v>
      </c>
      <c r="K449" s="5" t="s">
        <v>3071</v>
      </c>
    </row>
    <row r="450" spans="1:11" ht="180" x14ac:dyDescent="0.25">
      <c r="A450" s="8" t="s">
        <v>11</v>
      </c>
      <c r="B450" s="8">
        <v>2</v>
      </c>
      <c r="C450" s="8" t="s">
        <v>11</v>
      </c>
      <c r="D450" s="2" t="s">
        <v>3072</v>
      </c>
      <c r="E450" s="2" t="s">
        <v>3073</v>
      </c>
      <c r="F450" s="4" t="s">
        <v>2476</v>
      </c>
      <c r="G450" s="4" t="s">
        <v>3074</v>
      </c>
      <c r="H450" s="4" t="s">
        <v>3075</v>
      </c>
      <c r="I450" s="4" t="s">
        <v>42</v>
      </c>
      <c r="J450" s="2" t="s">
        <v>3076</v>
      </c>
      <c r="K450" s="13" t="s">
        <v>3077</v>
      </c>
    </row>
    <row r="451" spans="1:11" ht="90" x14ac:dyDescent="0.25">
      <c r="A451" s="2"/>
      <c r="B451" s="8" t="s">
        <v>100</v>
      </c>
      <c r="C451" s="2" t="s">
        <v>20</v>
      </c>
      <c r="D451" s="2" t="s">
        <v>3078</v>
      </c>
      <c r="E451" s="2" t="s">
        <v>3079</v>
      </c>
      <c r="F451" s="4" t="s">
        <v>3080</v>
      </c>
      <c r="G451" s="4" t="s">
        <v>3081</v>
      </c>
      <c r="H451" s="4" t="s">
        <v>3082</v>
      </c>
      <c r="I451" s="4" t="s">
        <v>26</v>
      </c>
      <c r="J451" s="2" t="s">
        <v>3083</v>
      </c>
      <c r="K451" s="5" t="s">
        <v>3084</v>
      </c>
    </row>
    <row r="452" spans="1:11" ht="135" x14ac:dyDescent="0.25">
      <c r="A452" s="8" t="s">
        <v>11</v>
      </c>
      <c r="B452" s="8">
        <v>1</v>
      </c>
      <c r="C452" s="2" t="s">
        <v>11</v>
      </c>
      <c r="D452" s="2" t="s">
        <v>3085</v>
      </c>
      <c r="E452" s="2" t="s">
        <v>3086</v>
      </c>
      <c r="F452" s="4" t="s">
        <v>3087</v>
      </c>
      <c r="G452" s="4" t="s">
        <v>3088</v>
      </c>
      <c r="H452" s="4" t="s">
        <v>3089</v>
      </c>
      <c r="I452" s="4" t="s">
        <v>42</v>
      </c>
      <c r="J452" s="2" t="s">
        <v>3090</v>
      </c>
      <c r="K452" s="5" t="s">
        <v>3091</v>
      </c>
    </row>
    <row r="453" spans="1:11" ht="270" x14ac:dyDescent="0.25">
      <c r="A453" s="8" t="s">
        <v>11</v>
      </c>
      <c r="B453" s="8">
        <v>1</v>
      </c>
      <c r="C453" s="2" t="s">
        <v>11</v>
      </c>
      <c r="D453" s="2" t="s">
        <v>3092</v>
      </c>
      <c r="E453" s="2" t="s">
        <v>3093</v>
      </c>
      <c r="F453" s="4" t="s">
        <v>3094</v>
      </c>
      <c r="G453" s="4" t="s">
        <v>3095</v>
      </c>
      <c r="H453" s="4" t="s">
        <v>3096</v>
      </c>
      <c r="I453" s="4" t="s">
        <v>42</v>
      </c>
      <c r="K453" s="5" t="s">
        <v>3097</v>
      </c>
    </row>
    <row r="454" spans="1:11" ht="75" x14ac:dyDescent="0.25">
      <c r="A454" s="2"/>
      <c r="B454" s="8" t="s">
        <v>100</v>
      </c>
      <c r="C454" s="2" t="s">
        <v>20</v>
      </c>
      <c r="D454" s="2" t="s">
        <v>3098</v>
      </c>
      <c r="E454" s="2" t="s">
        <v>3099</v>
      </c>
      <c r="F454" s="4" t="s">
        <v>3100</v>
      </c>
      <c r="G454" s="4" t="s">
        <v>3101</v>
      </c>
      <c r="H454" s="4" t="s">
        <v>3102</v>
      </c>
      <c r="I454" s="4" t="s">
        <v>42</v>
      </c>
      <c r="K454" s="5" t="s">
        <v>3103</v>
      </c>
    </row>
    <row r="455" spans="1:11" ht="135" x14ac:dyDescent="0.25">
      <c r="A455" s="2"/>
      <c r="B455" s="8" t="s">
        <v>100</v>
      </c>
      <c r="C455" s="2" t="s">
        <v>20</v>
      </c>
      <c r="D455" s="2" t="s">
        <v>3104</v>
      </c>
      <c r="E455" s="2" t="s">
        <v>3105</v>
      </c>
      <c r="F455" s="4" t="s">
        <v>3106</v>
      </c>
      <c r="G455" s="4" t="s">
        <v>3107</v>
      </c>
      <c r="H455" s="4" t="s">
        <v>3108</v>
      </c>
      <c r="I455" s="4" t="s">
        <v>42</v>
      </c>
      <c r="J455" s="2" t="s">
        <v>3109</v>
      </c>
      <c r="K455" s="5" t="s">
        <v>3110</v>
      </c>
    </row>
    <row r="456" spans="1:11" ht="225" x14ac:dyDescent="0.25">
      <c r="A456" s="2"/>
      <c r="B456" s="8" t="s">
        <v>100</v>
      </c>
      <c r="C456" s="2" t="s">
        <v>20</v>
      </c>
      <c r="D456" s="2" t="s">
        <v>3111</v>
      </c>
      <c r="E456" s="2" t="s">
        <v>3112</v>
      </c>
      <c r="F456" s="4" t="s">
        <v>3113</v>
      </c>
      <c r="G456" s="4" t="s">
        <v>3114</v>
      </c>
      <c r="H456" s="4" t="s">
        <v>3115</v>
      </c>
      <c r="I456" s="4" t="s">
        <v>26</v>
      </c>
      <c r="J456" s="2" t="s">
        <v>3116</v>
      </c>
      <c r="K456" s="5" t="s">
        <v>3117</v>
      </c>
    </row>
    <row r="457" spans="1:11" ht="240" x14ac:dyDescent="0.25">
      <c r="A457" s="2"/>
      <c r="B457" s="8" t="s">
        <v>100</v>
      </c>
      <c r="C457" s="2" t="s">
        <v>20</v>
      </c>
      <c r="D457" s="2" t="s">
        <v>3118</v>
      </c>
      <c r="E457" s="2" t="s">
        <v>3119</v>
      </c>
      <c r="F457" s="4" t="s">
        <v>3120</v>
      </c>
      <c r="G457" s="4" t="s">
        <v>3121</v>
      </c>
      <c r="H457" s="4" t="s">
        <v>3122</v>
      </c>
      <c r="I457" s="4" t="s">
        <v>42</v>
      </c>
      <c r="J457" s="2" t="s">
        <v>3123</v>
      </c>
      <c r="K457" s="5" t="s">
        <v>3124</v>
      </c>
    </row>
    <row r="458" spans="1:11" ht="180" x14ac:dyDescent="0.25">
      <c r="A458" s="8" t="s">
        <v>11</v>
      </c>
      <c r="B458" s="8">
        <v>1</v>
      </c>
      <c r="C458" s="2" t="s">
        <v>11</v>
      </c>
      <c r="D458" s="2" t="s">
        <v>3125</v>
      </c>
      <c r="E458" s="2" t="s">
        <v>3126</v>
      </c>
      <c r="F458" s="4" t="s">
        <v>3127</v>
      </c>
      <c r="G458" s="4" t="s">
        <v>3128</v>
      </c>
      <c r="H458" s="4" t="s">
        <v>3129</v>
      </c>
      <c r="I458" s="4" t="s">
        <v>42</v>
      </c>
      <c r="J458" s="2" t="s">
        <v>3130</v>
      </c>
      <c r="K458" s="5" t="s">
        <v>3131</v>
      </c>
    </row>
    <row r="459" spans="1:11" ht="135" x14ac:dyDescent="0.25">
      <c r="A459" s="2"/>
      <c r="B459" s="8" t="s">
        <v>100</v>
      </c>
      <c r="C459" s="2" t="s">
        <v>20</v>
      </c>
      <c r="D459" s="2" t="s">
        <v>3132</v>
      </c>
      <c r="E459" s="2" t="s">
        <v>3133</v>
      </c>
      <c r="F459" s="4" t="s">
        <v>3134</v>
      </c>
      <c r="G459" s="4" t="s">
        <v>3135</v>
      </c>
      <c r="H459" s="4" t="s">
        <v>3136</v>
      </c>
      <c r="I459" s="4" t="s">
        <v>26</v>
      </c>
      <c r="K459" s="5" t="s">
        <v>3137</v>
      </c>
    </row>
    <row r="460" spans="1:11" ht="165" x14ac:dyDescent="0.25">
      <c r="A460" s="2"/>
      <c r="B460" s="8" t="s">
        <v>100</v>
      </c>
      <c r="C460" s="2" t="s">
        <v>20</v>
      </c>
      <c r="D460" s="2" t="s">
        <v>3138</v>
      </c>
      <c r="E460" s="2" t="s">
        <v>3139</v>
      </c>
      <c r="F460" s="4" t="s">
        <v>3140</v>
      </c>
      <c r="G460" s="4" t="s">
        <v>3141</v>
      </c>
      <c r="H460" s="4" t="s">
        <v>3142</v>
      </c>
      <c r="I460" s="4" t="s">
        <v>42</v>
      </c>
      <c r="J460" s="2" t="s">
        <v>3143</v>
      </c>
      <c r="K460" s="5" t="s">
        <v>3144</v>
      </c>
    </row>
    <row r="461" spans="1:11" ht="195" x14ac:dyDescent="0.25">
      <c r="A461" s="8" t="s">
        <v>11</v>
      </c>
      <c r="B461" s="8">
        <v>3</v>
      </c>
      <c r="C461" s="2" t="s">
        <v>11</v>
      </c>
      <c r="D461" s="2" t="s">
        <v>3145</v>
      </c>
      <c r="E461" s="2" t="s">
        <v>3146</v>
      </c>
      <c r="F461" s="4" t="s">
        <v>3147</v>
      </c>
      <c r="G461" s="4" t="s">
        <v>3148</v>
      </c>
      <c r="H461" s="4" t="s">
        <v>3149</v>
      </c>
      <c r="I461" s="4" t="s">
        <v>26</v>
      </c>
      <c r="J461" s="2" t="s">
        <v>3150</v>
      </c>
      <c r="K461" s="13" t="s">
        <v>3151</v>
      </c>
    </row>
    <row r="462" spans="1:11" ht="195" x14ac:dyDescent="0.25">
      <c r="A462" s="8" t="s">
        <v>11</v>
      </c>
      <c r="B462" s="8">
        <v>2</v>
      </c>
      <c r="C462" s="8" t="s">
        <v>11</v>
      </c>
      <c r="D462" s="2" t="s">
        <v>3152</v>
      </c>
      <c r="E462" s="2" t="s">
        <v>3153</v>
      </c>
      <c r="F462" s="4" t="s">
        <v>3154</v>
      </c>
      <c r="G462" s="4" t="s">
        <v>3155</v>
      </c>
      <c r="H462" s="4" t="s">
        <v>3156</v>
      </c>
      <c r="I462" s="4" t="s">
        <v>702</v>
      </c>
      <c r="J462" s="2" t="s">
        <v>3157</v>
      </c>
      <c r="K462" s="13" t="s">
        <v>3158</v>
      </c>
    </row>
    <row r="463" spans="1:11" ht="255" x14ac:dyDescent="0.25">
      <c r="A463" s="8" t="s">
        <v>11</v>
      </c>
      <c r="B463" s="8">
        <v>2</v>
      </c>
      <c r="C463" s="8" t="s">
        <v>11</v>
      </c>
      <c r="D463" s="2" t="s">
        <v>3159</v>
      </c>
      <c r="E463" s="2" t="s">
        <v>3160</v>
      </c>
      <c r="F463" s="4" t="s">
        <v>3161</v>
      </c>
      <c r="G463" s="4" t="s">
        <v>3162</v>
      </c>
      <c r="H463" s="4" t="s">
        <v>3163</v>
      </c>
      <c r="I463" s="4" t="s">
        <v>26</v>
      </c>
      <c r="J463" s="2" t="s">
        <v>3164</v>
      </c>
      <c r="K463" s="13" t="s">
        <v>3165</v>
      </c>
    </row>
    <row r="464" spans="1:11" ht="240" x14ac:dyDescent="0.25">
      <c r="A464" s="8" t="s">
        <v>20</v>
      </c>
      <c r="B464" s="8">
        <v>1</v>
      </c>
      <c r="C464" s="2" t="s">
        <v>11</v>
      </c>
      <c r="D464" s="2" t="s">
        <v>3166</v>
      </c>
      <c r="E464" s="2" t="s">
        <v>3167</v>
      </c>
      <c r="F464" s="4" t="s">
        <v>3168</v>
      </c>
      <c r="G464" s="4" t="s">
        <v>3169</v>
      </c>
      <c r="H464" s="4" t="s">
        <v>3170</v>
      </c>
      <c r="I464" s="4" t="s">
        <v>42</v>
      </c>
      <c r="J464" s="2" t="s">
        <v>3171</v>
      </c>
      <c r="K464" s="5" t="s">
        <v>3172</v>
      </c>
    </row>
    <row r="465" spans="1:11" ht="180" x14ac:dyDescent="0.25">
      <c r="A465" s="8" t="s">
        <v>20</v>
      </c>
      <c r="B465" s="8">
        <v>1</v>
      </c>
      <c r="C465" s="2" t="s">
        <v>11</v>
      </c>
      <c r="D465" s="2" t="s">
        <v>3173</v>
      </c>
      <c r="E465" s="2" t="s">
        <v>3174</v>
      </c>
      <c r="F465" s="4" t="s">
        <v>3175</v>
      </c>
      <c r="G465" s="4" t="s">
        <v>3176</v>
      </c>
      <c r="H465" s="4" t="s">
        <v>3177</v>
      </c>
      <c r="I465" s="4" t="s">
        <v>42</v>
      </c>
      <c r="J465" s="2" t="s">
        <v>3178</v>
      </c>
      <c r="K465" s="5" t="s">
        <v>3179</v>
      </c>
    </row>
    <row r="466" spans="1:11" ht="165" x14ac:dyDescent="0.25">
      <c r="A466" s="2"/>
      <c r="B466" s="8" t="s">
        <v>100</v>
      </c>
      <c r="C466" s="2" t="s">
        <v>20</v>
      </c>
      <c r="D466" s="2" t="s">
        <v>3180</v>
      </c>
      <c r="E466" s="2" t="s">
        <v>3181</v>
      </c>
      <c r="F466" s="4" t="s">
        <v>3182</v>
      </c>
      <c r="G466" s="4" t="s">
        <v>3183</v>
      </c>
      <c r="H466" s="4" t="s">
        <v>3184</v>
      </c>
      <c r="I466" s="4" t="s">
        <v>42</v>
      </c>
      <c r="J466" s="2" t="s">
        <v>3185</v>
      </c>
      <c r="K466" s="5" t="s">
        <v>3186</v>
      </c>
    </row>
    <row r="467" spans="1:11" ht="210" x14ac:dyDescent="0.25">
      <c r="A467" s="2"/>
      <c r="B467" s="8" t="s">
        <v>1398</v>
      </c>
      <c r="C467" s="2" t="s">
        <v>20</v>
      </c>
      <c r="D467" s="2" t="s">
        <v>3187</v>
      </c>
      <c r="E467" s="2" t="s">
        <v>3188</v>
      </c>
      <c r="F467" s="4" t="s">
        <v>3189</v>
      </c>
      <c r="G467" s="4" t="s">
        <v>3190</v>
      </c>
      <c r="H467" s="4" t="s">
        <v>3191</v>
      </c>
      <c r="I467" s="4" t="s">
        <v>42</v>
      </c>
      <c r="K467" s="5" t="s">
        <v>3192</v>
      </c>
    </row>
    <row r="468" spans="1:11" ht="180" x14ac:dyDescent="0.25">
      <c r="A468" s="2"/>
      <c r="B468" s="8" t="s">
        <v>100</v>
      </c>
      <c r="C468" s="2" t="s">
        <v>20</v>
      </c>
      <c r="D468" s="2" t="s">
        <v>3193</v>
      </c>
      <c r="E468" s="2" t="s">
        <v>3194</v>
      </c>
      <c r="F468" s="4" t="s">
        <v>3195</v>
      </c>
      <c r="G468" s="4" t="s">
        <v>3196</v>
      </c>
      <c r="H468" s="4" t="s">
        <v>3197</v>
      </c>
      <c r="I468" s="4" t="s">
        <v>26</v>
      </c>
      <c r="J468" s="2" t="s">
        <v>3198</v>
      </c>
      <c r="K468" s="5" t="s">
        <v>3199</v>
      </c>
    </row>
    <row r="469" spans="1:11" ht="270" x14ac:dyDescent="0.25">
      <c r="A469" s="8" t="s">
        <v>11</v>
      </c>
      <c r="B469" s="8">
        <v>2</v>
      </c>
      <c r="C469" s="8" t="s">
        <v>11</v>
      </c>
      <c r="D469" s="2" t="s">
        <v>3200</v>
      </c>
      <c r="E469" s="2" t="s">
        <v>3201</v>
      </c>
      <c r="F469" s="4" t="s">
        <v>3202</v>
      </c>
      <c r="G469" s="4" t="s">
        <v>3203</v>
      </c>
      <c r="H469" s="4" t="s">
        <v>3204</v>
      </c>
      <c r="I469" s="4" t="s">
        <v>26</v>
      </c>
      <c r="J469" s="2" t="s">
        <v>3205</v>
      </c>
      <c r="K469" s="13" t="s">
        <v>3206</v>
      </c>
    </row>
    <row r="470" spans="1:11" ht="210" x14ac:dyDescent="0.25">
      <c r="A470" s="2"/>
      <c r="B470" s="8" t="s">
        <v>100</v>
      </c>
      <c r="C470" s="2" t="s">
        <v>20</v>
      </c>
      <c r="D470" s="2" t="s">
        <v>3207</v>
      </c>
      <c r="E470" s="2" t="s">
        <v>3208</v>
      </c>
      <c r="F470" s="4" t="s">
        <v>3209</v>
      </c>
      <c r="G470" s="4" t="s">
        <v>3210</v>
      </c>
      <c r="H470" s="4" t="s">
        <v>3211</v>
      </c>
      <c r="I470" s="4" t="s">
        <v>42</v>
      </c>
      <c r="J470" s="2" t="s">
        <v>3212</v>
      </c>
      <c r="K470" s="5" t="s">
        <v>3213</v>
      </c>
    </row>
    <row r="471" spans="1:11" ht="195" x14ac:dyDescent="0.25">
      <c r="A471" s="2"/>
      <c r="B471" s="8" t="s">
        <v>100</v>
      </c>
      <c r="C471" s="2" t="s">
        <v>20</v>
      </c>
      <c r="D471" s="2" t="s">
        <v>3214</v>
      </c>
      <c r="E471" s="2" t="s">
        <v>3215</v>
      </c>
      <c r="F471" s="4" t="s">
        <v>3216</v>
      </c>
      <c r="G471" s="4" t="s">
        <v>3217</v>
      </c>
      <c r="H471" s="4" t="s">
        <v>3218</v>
      </c>
      <c r="I471" s="4" t="s">
        <v>42</v>
      </c>
      <c r="J471" s="2" t="s">
        <v>3219</v>
      </c>
      <c r="K471" s="5" t="s">
        <v>3220</v>
      </c>
    </row>
    <row r="472" spans="1:11" ht="315" x14ac:dyDescent="0.25">
      <c r="A472" s="2"/>
      <c r="B472" s="8" t="s">
        <v>1398</v>
      </c>
      <c r="C472" s="2" t="s">
        <v>20</v>
      </c>
      <c r="D472" s="2" t="s">
        <v>3221</v>
      </c>
      <c r="E472" s="2" t="s">
        <v>3222</v>
      </c>
      <c r="F472" s="4" t="s">
        <v>3223</v>
      </c>
      <c r="G472" s="4" t="s">
        <v>3224</v>
      </c>
      <c r="H472" s="4" t="s">
        <v>3225</v>
      </c>
      <c r="I472" s="4" t="s">
        <v>42</v>
      </c>
      <c r="J472" s="2" t="s">
        <v>3226</v>
      </c>
      <c r="K472" s="5" t="s">
        <v>3227</v>
      </c>
    </row>
    <row r="473" spans="1:11" ht="165" x14ac:dyDescent="0.25">
      <c r="A473" s="2"/>
      <c r="B473" s="8" t="s">
        <v>100</v>
      </c>
      <c r="C473" s="2" t="s">
        <v>20</v>
      </c>
      <c r="D473" s="2" t="s">
        <v>3228</v>
      </c>
      <c r="E473" s="2" t="s">
        <v>3229</v>
      </c>
      <c r="F473" s="4" t="s">
        <v>3230</v>
      </c>
      <c r="G473" s="4" t="s">
        <v>3231</v>
      </c>
      <c r="H473" s="4" t="s">
        <v>3232</v>
      </c>
      <c r="I473" s="4" t="s">
        <v>26</v>
      </c>
      <c r="J473" s="2" t="s">
        <v>3233</v>
      </c>
      <c r="K473" s="5" t="s">
        <v>3234</v>
      </c>
    </row>
    <row r="474" spans="1:11" ht="120" x14ac:dyDescent="0.25">
      <c r="A474" s="8" t="s">
        <v>11</v>
      </c>
      <c r="B474" s="8">
        <v>2</v>
      </c>
      <c r="C474" s="8" t="s">
        <v>11</v>
      </c>
      <c r="D474" s="2" t="s">
        <v>3235</v>
      </c>
      <c r="E474" s="2" t="s">
        <v>3236</v>
      </c>
      <c r="F474" s="4" t="s">
        <v>3237</v>
      </c>
      <c r="G474" s="4" t="s">
        <v>3238</v>
      </c>
      <c r="H474" s="4" t="s">
        <v>3239</v>
      </c>
      <c r="I474" s="4" t="s">
        <v>42</v>
      </c>
      <c r="J474" s="2" t="s">
        <v>3240</v>
      </c>
      <c r="K474" s="13" t="s">
        <v>3241</v>
      </c>
    </row>
    <row r="475" spans="1:11" ht="150" x14ac:dyDescent="0.25">
      <c r="A475" s="2"/>
      <c r="B475" s="8" t="s">
        <v>19</v>
      </c>
      <c r="C475" s="2" t="s">
        <v>20</v>
      </c>
      <c r="D475" s="2" t="s">
        <v>3242</v>
      </c>
      <c r="E475" s="2" t="s">
        <v>3243</v>
      </c>
      <c r="F475" s="4" t="s">
        <v>3244</v>
      </c>
      <c r="G475" s="4" t="s">
        <v>3245</v>
      </c>
      <c r="H475" s="4" t="s">
        <v>3246</v>
      </c>
      <c r="I475" s="4" t="s">
        <v>26</v>
      </c>
      <c r="J475" s="2" t="s">
        <v>3247</v>
      </c>
      <c r="K475" s="5" t="s">
        <v>3248</v>
      </c>
    </row>
    <row r="476" spans="1:11" ht="180" x14ac:dyDescent="0.25">
      <c r="A476" s="2"/>
      <c r="B476" s="8" t="s">
        <v>100</v>
      </c>
      <c r="C476" s="2" t="s">
        <v>20</v>
      </c>
      <c r="D476" s="2" t="s">
        <v>3249</v>
      </c>
      <c r="E476" s="2" t="s">
        <v>1657</v>
      </c>
      <c r="F476" s="4" t="s">
        <v>3250</v>
      </c>
      <c r="G476" s="4" t="s">
        <v>3251</v>
      </c>
      <c r="H476" s="4" t="s">
        <v>3252</v>
      </c>
      <c r="I476" s="4" t="s">
        <v>42</v>
      </c>
      <c r="J476" s="2" t="s">
        <v>3253</v>
      </c>
      <c r="K476" s="5" t="s">
        <v>3254</v>
      </c>
    </row>
    <row r="477" spans="1:11" ht="195" x14ac:dyDescent="0.25">
      <c r="A477" s="2"/>
      <c r="B477" s="8" t="s">
        <v>52</v>
      </c>
      <c r="C477" s="2" t="s">
        <v>20</v>
      </c>
      <c r="D477" s="2" t="s">
        <v>3255</v>
      </c>
      <c r="E477" s="2" t="s">
        <v>3256</v>
      </c>
      <c r="F477" s="4" t="s">
        <v>3257</v>
      </c>
      <c r="G477" s="4" t="s">
        <v>3258</v>
      </c>
      <c r="H477" s="4" t="s">
        <v>3259</v>
      </c>
      <c r="I477" s="4" t="s">
        <v>42</v>
      </c>
      <c r="J477" s="2" t="s">
        <v>3260</v>
      </c>
      <c r="K477" s="5" t="s">
        <v>3261</v>
      </c>
    </row>
    <row r="478" spans="1:11" ht="165" x14ac:dyDescent="0.25">
      <c r="A478" s="2"/>
      <c r="B478" s="8" t="s">
        <v>19</v>
      </c>
      <c r="C478" s="2" t="s">
        <v>20</v>
      </c>
      <c r="D478" s="2" t="s">
        <v>3262</v>
      </c>
      <c r="E478" s="2" t="s">
        <v>3263</v>
      </c>
      <c r="F478" s="4" t="s">
        <v>3264</v>
      </c>
      <c r="G478" s="4" t="s">
        <v>3265</v>
      </c>
      <c r="H478" s="4" t="s">
        <v>3266</v>
      </c>
      <c r="I478" s="4" t="s">
        <v>26</v>
      </c>
      <c r="J478" s="2" t="s">
        <v>3267</v>
      </c>
      <c r="K478" s="5" t="s">
        <v>3268</v>
      </c>
    </row>
    <row r="479" spans="1:11" ht="150" x14ac:dyDescent="0.25">
      <c r="A479" s="8" t="s">
        <v>11</v>
      </c>
      <c r="B479" s="8">
        <v>1</v>
      </c>
      <c r="C479" s="2" t="s">
        <v>11</v>
      </c>
      <c r="D479" s="2" t="s">
        <v>3269</v>
      </c>
      <c r="E479" s="2" t="s">
        <v>1789</v>
      </c>
      <c r="F479" s="4" t="s">
        <v>3270</v>
      </c>
      <c r="G479" s="4" t="s">
        <v>3271</v>
      </c>
      <c r="H479" s="4" t="s">
        <v>3272</v>
      </c>
      <c r="I479" s="4" t="s">
        <v>42</v>
      </c>
      <c r="J479" s="2" t="s">
        <v>3273</v>
      </c>
      <c r="K479" s="5" t="s">
        <v>3274</v>
      </c>
    </row>
    <row r="480" spans="1:11" ht="285" x14ac:dyDescent="0.25">
      <c r="A480" s="2"/>
      <c r="B480" s="8" t="s">
        <v>52</v>
      </c>
      <c r="C480" s="2" t="s">
        <v>20</v>
      </c>
      <c r="D480" s="2" t="s">
        <v>3275</v>
      </c>
      <c r="E480" s="2" t="s">
        <v>3276</v>
      </c>
      <c r="F480" s="4" t="s">
        <v>3277</v>
      </c>
      <c r="G480" s="4" t="s">
        <v>3278</v>
      </c>
      <c r="H480" s="4" t="s">
        <v>3279</v>
      </c>
      <c r="I480" s="4" t="s">
        <v>26</v>
      </c>
      <c r="J480" s="2" t="s">
        <v>3280</v>
      </c>
      <c r="K480" s="5" t="s">
        <v>3281</v>
      </c>
    </row>
    <row r="481" spans="1:11" ht="90" x14ac:dyDescent="0.25">
      <c r="A481" s="2"/>
      <c r="B481" s="8" t="s">
        <v>19</v>
      </c>
      <c r="C481" s="2" t="s">
        <v>20</v>
      </c>
      <c r="D481" s="2" t="s">
        <v>3282</v>
      </c>
      <c r="E481" s="2" t="s">
        <v>3283</v>
      </c>
      <c r="F481" s="4" t="s">
        <v>3284</v>
      </c>
      <c r="G481" s="4" t="s">
        <v>3285</v>
      </c>
      <c r="H481" s="4" t="s">
        <v>3286</v>
      </c>
      <c r="I481" s="4" t="s">
        <v>42</v>
      </c>
      <c r="J481" s="2" t="s">
        <v>3287</v>
      </c>
      <c r="K481" s="5" t="s">
        <v>3288</v>
      </c>
    </row>
    <row r="482" spans="1:11" ht="409.5" x14ac:dyDescent="0.25">
      <c r="A482" s="2"/>
      <c r="B482" s="8" t="s">
        <v>100</v>
      </c>
      <c r="C482" s="2" t="s">
        <v>20</v>
      </c>
      <c r="D482" s="2" t="s">
        <v>3289</v>
      </c>
      <c r="E482" s="2" t="s">
        <v>3290</v>
      </c>
      <c r="F482" s="4" t="s">
        <v>3291</v>
      </c>
      <c r="G482" s="4" t="s">
        <v>3292</v>
      </c>
      <c r="H482" s="4" t="s">
        <v>3293</v>
      </c>
      <c r="I482" s="4" t="s">
        <v>42</v>
      </c>
      <c r="J482" s="2" t="s">
        <v>3294</v>
      </c>
      <c r="K482" s="5" t="s">
        <v>3295</v>
      </c>
    </row>
    <row r="483" spans="1:11" ht="105" x14ac:dyDescent="0.25">
      <c r="A483" s="2"/>
      <c r="B483" s="8" t="s">
        <v>19</v>
      </c>
      <c r="C483" s="2" t="s">
        <v>20</v>
      </c>
      <c r="D483" s="2" t="s">
        <v>3296</v>
      </c>
      <c r="E483" s="2" t="s">
        <v>3297</v>
      </c>
      <c r="F483" s="4" t="s">
        <v>3298</v>
      </c>
      <c r="G483" s="4" t="s">
        <v>3299</v>
      </c>
      <c r="H483" s="4" t="s">
        <v>3300</v>
      </c>
      <c r="I483" s="4" t="s">
        <v>42</v>
      </c>
      <c r="J483" s="2" t="s">
        <v>3301</v>
      </c>
      <c r="K483" s="5" t="s">
        <v>3302</v>
      </c>
    </row>
    <row r="484" spans="1:11" ht="195" x14ac:dyDescent="0.25">
      <c r="A484" s="8" t="s">
        <v>11</v>
      </c>
      <c r="B484" s="8">
        <v>1</v>
      </c>
      <c r="C484" s="2" t="s">
        <v>11</v>
      </c>
      <c r="D484" s="2" t="s">
        <v>3303</v>
      </c>
      <c r="E484" s="2" t="s">
        <v>3304</v>
      </c>
      <c r="F484" s="4" t="s">
        <v>3305</v>
      </c>
      <c r="G484" s="4" t="s">
        <v>3306</v>
      </c>
      <c r="H484" s="4" t="s">
        <v>3307</v>
      </c>
      <c r="I484" s="4" t="s">
        <v>42</v>
      </c>
      <c r="J484" s="2" t="s">
        <v>3308</v>
      </c>
      <c r="K484" s="5" t="s">
        <v>3309</v>
      </c>
    </row>
    <row r="485" spans="1:11" ht="120" x14ac:dyDescent="0.25">
      <c r="A485" s="2"/>
      <c r="B485" s="8" t="s">
        <v>19</v>
      </c>
      <c r="C485" s="2" t="s">
        <v>20</v>
      </c>
      <c r="D485" s="2" t="s">
        <v>3310</v>
      </c>
      <c r="E485" s="2" t="s">
        <v>3311</v>
      </c>
      <c r="F485" s="4" t="s">
        <v>3312</v>
      </c>
      <c r="G485" s="4" t="s">
        <v>3313</v>
      </c>
      <c r="H485" s="4" t="s">
        <v>3314</v>
      </c>
      <c r="I485" s="4" t="s">
        <v>42</v>
      </c>
      <c r="J485" s="2" t="s">
        <v>3315</v>
      </c>
      <c r="K485" s="5" t="s">
        <v>3316</v>
      </c>
    </row>
    <row r="486" spans="1:11" ht="105" x14ac:dyDescent="0.25">
      <c r="A486" s="2"/>
      <c r="B486" s="8" t="s">
        <v>100</v>
      </c>
      <c r="C486" s="2" t="s">
        <v>20</v>
      </c>
      <c r="D486" s="2" t="s">
        <v>3317</v>
      </c>
      <c r="E486" s="2" t="s">
        <v>3318</v>
      </c>
      <c r="F486" s="4" t="s">
        <v>3319</v>
      </c>
      <c r="G486" s="4" t="s">
        <v>3320</v>
      </c>
      <c r="H486" s="4" t="s">
        <v>3321</v>
      </c>
      <c r="I486" s="4" t="s">
        <v>42</v>
      </c>
      <c r="J486" s="2" t="s">
        <v>3322</v>
      </c>
      <c r="K486" s="5" t="s">
        <v>3323</v>
      </c>
    </row>
    <row r="487" spans="1:11" ht="135" x14ac:dyDescent="0.25">
      <c r="A487" s="2"/>
      <c r="B487" s="8" t="s">
        <v>29</v>
      </c>
      <c r="C487" s="2" t="s">
        <v>20</v>
      </c>
      <c r="D487" s="2" t="s">
        <v>3324</v>
      </c>
      <c r="E487" s="2" t="s">
        <v>3325</v>
      </c>
      <c r="F487" s="4" t="s">
        <v>3326</v>
      </c>
      <c r="G487" s="4" t="s">
        <v>3327</v>
      </c>
      <c r="H487" s="4" t="s">
        <v>3328</v>
      </c>
      <c r="I487" s="4" t="s">
        <v>26</v>
      </c>
      <c r="J487" s="2" t="s">
        <v>3329</v>
      </c>
      <c r="K487" s="5" t="s">
        <v>3330</v>
      </c>
    </row>
    <row r="488" spans="1:11" ht="300" x14ac:dyDescent="0.25">
      <c r="A488" s="2"/>
      <c r="B488" s="8" t="s">
        <v>52</v>
      </c>
      <c r="C488" s="2" t="s">
        <v>20</v>
      </c>
      <c r="D488" s="2" t="s">
        <v>3331</v>
      </c>
      <c r="E488" s="2" t="s">
        <v>3332</v>
      </c>
      <c r="F488" s="4" t="s">
        <v>3333</v>
      </c>
      <c r="G488" s="4" t="s">
        <v>3334</v>
      </c>
      <c r="H488" s="4" t="s">
        <v>3335</v>
      </c>
      <c r="I488" s="4" t="s">
        <v>26</v>
      </c>
      <c r="J488" s="2" t="s">
        <v>3336</v>
      </c>
      <c r="K488" s="5" t="s">
        <v>3337</v>
      </c>
    </row>
    <row r="489" spans="1:11" ht="105" x14ac:dyDescent="0.25">
      <c r="A489" s="2"/>
      <c r="B489" s="8" t="s">
        <v>19</v>
      </c>
      <c r="C489" s="2" t="s">
        <v>20</v>
      </c>
      <c r="D489" s="2" t="s">
        <v>3338</v>
      </c>
      <c r="E489" s="2" t="s">
        <v>3339</v>
      </c>
      <c r="F489" s="4" t="s">
        <v>3340</v>
      </c>
      <c r="G489" s="4" t="s">
        <v>3341</v>
      </c>
      <c r="H489" s="4" t="s">
        <v>3342</v>
      </c>
      <c r="I489" s="4" t="s">
        <v>42</v>
      </c>
      <c r="J489" s="2" t="s">
        <v>3343</v>
      </c>
      <c r="K489" s="5" t="s">
        <v>3344</v>
      </c>
    </row>
    <row r="490" spans="1:11" ht="255" x14ac:dyDescent="0.25">
      <c r="A490" s="2"/>
      <c r="B490" s="8" t="s">
        <v>52</v>
      </c>
      <c r="C490" s="2" t="s">
        <v>20</v>
      </c>
      <c r="D490" s="2" t="s">
        <v>3345</v>
      </c>
      <c r="E490" s="2" t="s">
        <v>3346</v>
      </c>
      <c r="F490" s="4" t="s">
        <v>3347</v>
      </c>
      <c r="G490" s="4" t="s">
        <v>3348</v>
      </c>
      <c r="H490" s="4" t="s">
        <v>3349</v>
      </c>
      <c r="I490" s="4" t="s">
        <v>26</v>
      </c>
      <c r="J490" s="2" t="s">
        <v>3350</v>
      </c>
      <c r="K490" s="5" t="s">
        <v>3351</v>
      </c>
    </row>
    <row r="491" spans="1:11" ht="165" x14ac:dyDescent="0.25">
      <c r="A491" s="8" t="s">
        <v>11</v>
      </c>
      <c r="B491" s="8">
        <v>1</v>
      </c>
      <c r="C491" s="2" t="s">
        <v>11</v>
      </c>
      <c r="D491" s="2" t="s">
        <v>3352</v>
      </c>
      <c r="E491" s="2" t="s">
        <v>442</v>
      </c>
      <c r="F491" s="4" t="s">
        <v>3353</v>
      </c>
      <c r="G491" s="4" t="s">
        <v>3354</v>
      </c>
      <c r="H491" s="4" t="s">
        <v>3355</v>
      </c>
      <c r="I491" s="4" t="s">
        <v>42</v>
      </c>
      <c r="J491" s="2" t="s">
        <v>3356</v>
      </c>
      <c r="K491" s="5" t="s">
        <v>3357</v>
      </c>
    </row>
    <row r="492" spans="1:11" ht="120" x14ac:dyDescent="0.25">
      <c r="A492" s="2"/>
      <c r="B492" s="8" t="s">
        <v>100</v>
      </c>
      <c r="C492" s="2" t="s">
        <v>20</v>
      </c>
      <c r="D492" s="2" t="s">
        <v>3358</v>
      </c>
      <c r="E492" s="2" t="s">
        <v>3359</v>
      </c>
      <c r="F492" s="4" t="s">
        <v>3360</v>
      </c>
      <c r="G492" s="4" t="s">
        <v>3361</v>
      </c>
      <c r="H492" s="4" t="s">
        <v>3362</v>
      </c>
      <c r="I492" s="4" t="s">
        <v>42</v>
      </c>
      <c r="J492" s="2" t="s">
        <v>3363</v>
      </c>
      <c r="K492" s="5" t="s">
        <v>3364</v>
      </c>
    </row>
    <row r="493" spans="1:11" ht="240" x14ac:dyDescent="0.25">
      <c r="A493" s="2"/>
      <c r="B493" s="8" t="s">
        <v>100</v>
      </c>
      <c r="C493" s="2" t="s">
        <v>20</v>
      </c>
      <c r="D493" s="2" t="s">
        <v>3365</v>
      </c>
      <c r="E493" s="2" t="s">
        <v>3366</v>
      </c>
      <c r="F493" s="4" t="s">
        <v>3367</v>
      </c>
      <c r="G493" s="4" t="s">
        <v>3368</v>
      </c>
      <c r="H493" s="4" t="s">
        <v>3369</v>
      </c>
      <c r="I493" s="4" t="s">
        <v>42</v>
      </c>
      <c r="K493" s="5" t="s">
        <v>3370</v>
      </c>
    </row>
    <row r="494" spans="1:11" ht="105" x14ac:dyDescent="0.25">
      <c r="A494" s="8" t="s">
        <v>11</v>
      </c>
      <c r="B494" s="8">
        <v>1</v>
      </c>
      <c r="C494" s="2" t="s">
        <v>11</v>
      </c>
      <c r="D494" s="2" t="s">
        <v>3371</v>
      </c>
      <c r="E494" s="2" t="s">
        <v>3372</v>
      </c>
      <c r="F494" s="4" t="s">
        <v>3373</v>
      </c>
      <c r="G494" s="4" t="s">
        <v>3374</v>
      </c>
      <c r="I494" s="4" t="s">
        <v>42</v>
      </c>
      <c r="J494" s="2" t="s">
        <v>3375</v>
      </c>
      <c r="K494" s="5" t="s">
        <v>3376</v>
      </c>
    </row>
    <row r="495" spans="1:11" ht="405" x14ac:dyDescent="0.25">
      <c r="A495" s="2"/>
      <c r="B495" s="8" t="s">
        <v>100</v>
      </c>
      <c r="C495" s="2" t="s">
        <v>20</v>
      </c>
      <c r="D495" s="2" t="s">
        <v>3377</v>
      </c>
      <c r="E495" s="2" t="s">
        <v>3378</v>
      </c>
      <c r="F495" s="4" t="s">
        <v>3379</v>
      </c>
      <c r="G495" s="4" t="s">
        <v>3380</v>
      </c>
      <c r="H495" s="4" t="s">
        <v>3381</v>
      </c>
      <c r="I495" s="4" t="s">
        <v>42</v>
      </c>
      <c r="J495" s="2" t="s">
        <v>3382</v>
      </c>
      <c r="K495" s="5" t="s">
        <v>3383</v>
      </c>
    </row>
    <row r="496" spans="1:11" ht="225" x14ac:dyDescent="0.25">
      <c r="A496" s="2"/>
      <c r="B496" s="8" t="s">
        <v>19</v>
      </c>
      <c r="C496" s="2" t="s">
        <v>20</v>
      </c>
      <c r="D496" s="2" t="s">
        <v>3384</v>
      </c>
      <c r="E496" s="2" t="s">
        <v>3385</v>
      </c>
      <c r="F496" s="4" t="s">
        <v>3386</v>
      </c>
      <c r="G496" s="4" t="s">
        <v>3387</v>
      </c>
      <c r="H496" s="4" t="s">
        <v>3388</v>
      </c>
      <c r="I496" s="4" t="s">
        <v>42</v>
      </c>
      <c r="J496" s="2" t="s">
        <v>3389</v>
      </c>
      <c r="K496" s="5" t="s">
        <v>3390</v>
      </c>
    </row>
    <row r="497" spans="1:11" ht="105" x14ac:dyDescent="0.25">
      <c r="A497" s="8" t="s">
        <v>11</v>
      </c>
      <c r="B497" s="8">
        <v>2</v>
      </c>
      <c r="C497" s="8" t="s">
        <v>11</v>
      </c>
      <c r="D497" s="2" t="s">
        <v>3391</v>
      </c>
      <c r="E497" s="2" t="s">
        <v>3392</v>
      </c>
      <c r="F497" s="4" t="s">
        <v>3393</v>
      </c>
      <c r="G497" s="4" t="s">
        <v>3394</v>
      </c>
      <c r="H497" s="4" t="s">
        <v>3395</v>
      </c>
      <c r="I497" s="4" t="s">
        <v>42</v>
      </c>
      <c r="J497" s="2" t="s">
        <v>3396</v>
      </c>
      <c r="K497" s="13" t="s">
        <v>3397</v>
      </c>
    </row>
    <row r="498" spans="1:11" ht="225" x14ac:dyDescent="0.25">
      <c r="A498" s="2"/>
      <c r="B498" s="8" t="s">
        <v>100</v>
      </c>
      <c r="C498" s="2" t="s">
        <v>20</v>
      </c>
      <c r="D498" s="2" t="s">
        <v>3398</v>
      </c>
      <c r="E498" s="2" t="s">
        <v>3399</v>
      </c>
      <c r="F498" s="4" t="s">
        <v>3400</v>
      </c>
      <c r="G498" s="4" t="s">
        <v>3401</v>
      </c>
      <c r="H498" s="4" t="s">
        <v>3402</v>
      </c>
      <c r="I498" s="4" t="s">
        <v>42</v>
      </c>
      <c r="J498" s="2" t="s">
        <v>3403</v>
      </c>
      <c r="K498" s="5" t="s">
        <v>3404</v>
      </c>
    </row>
    <row r="499" spans="1:11" ht="240" x14ac:dyDescent="0.25">
      <c r="A499" s="2"/>
      <c r="B499" s="8" t="s">
        <v>19</v>
      </c>
      <c r="C499" s="2" t="s">
        <v>20</v>
      </c>
      <c r="D499" s="2" t="s">
        <v>3405</v>
      </c>
      <c r="E499" s="2" t="s">
        <v>3406</v>
      </c>
      <c r="F499" s="4" t="s">
        <v>3407</v>
      </c>
      <c r="G499" s="4" t="s">
        <v>3408</v>
      </c>
      <c r="H499" s="4" t="s">
        <v>3409</v>
      </c>
      <c r="I499" s="4" t="s">
        <v>26</v>
      </c>
      <c r="J499" s="2" t="s">
        <v>3410</v>
      </c>
      <c r="K499" s="5" t="s">
        <v>3411</v>
      </c>
    </row>
    <row r="500" spans="1:11" ht="270" x14ac:dyDescent="0.25">
      <c r="A500" s="8" t="s">
        <v>11</v>
      </c>
      <c r="B500" s="8">
        <v>1</v>
      </c>
      <c r="C500" s="2" t="s">
        <v>11</v>
      </c>
      <c r="D500" s="2" t="s">
        <v>3412</v>
      </c>
      <c r="E500" s="2" t="s">
        <v>3413</v>
      </c>
      <c r="F500" s="4" t="s">
        <v>3414</v>
      </c>
      <c r="G500" s="4" t="s">
        <v>3415</v>
      </c>
      <c r="H500" s="4" t="s">
        <v>3416</v>
      </c>
      <c r="I500" s="4" t="s">
        <v>26</v>
      </c>
      <c r="J500" s="2" t="s">
        <v>3417</v>
      </c>
      <c r="K500" s="5" t="s">
        <v>3418</v>
      </c>
    </row>
    <row r="501" spans="1:11" ht="120" x14ac:dyDescent="0.25">
      <c r="A501" s="2"/>
      <c r="B501" s="8" t="s">
        <v>74</v>
      </c>
      <c r="C501" s="2" t="s">
        <v>20</v>
      </c>
      <c r="D501" s="2" t="s">
        <v>3419</v>
      </c>
      <c r="F501" s="4" t="s">
        <v>3420</v>
      </c>
      <c r="G501" s="4" t="s">
        <v>3421</v>
      </c>
      <c r="I501" s="4" t="s">
        <v>42</v>
      </c>
      <c r="K501" s="5" t="s">
        <v>3422</v>
      </c>
    </row>
    <row r="502" spans="1:11" ht="300" x14ac:dyDescent="0.25">
      <c r="A502" s="2"/>
      <c r="B502" s="8" t="s">
        <v>19</v>
      </c>
      <c r="C502" s="2" t="s">
        <v>20</v>
      </c>
      <c r="D502" s="2" t="s">
        <v>3423</v>
      </c>
      <c r="E502" s="2" t="s">
        <v>3424</v>
      </c>
      <c r="F502" s="4" t="s">
        <v>3425</v>
      </c>
      <c r="G502" s="4" t="s">
        <v>3426</v>
      </c>
      <c r="H502" s="4" t="s">
        <v>3427</v>
      </c>
      <c r="I502" s="4" t="s">
        <v>26</v>
      </c>
      <c r="J502" s="2" t="s">
        <v>3428</v>
      </c>
      <c r="K502" s="5" t="s">
        <v>3429</v>
      </c>
    </row>
    <row r="503" spans="1:11" ht="150" x14ac:dyDescent="0.25">
      <c r="A503" s="8" t="s">
        <v>11</v>
      </c>
      <c r="B503" s="8">
        <v>1</v>
      </c>
      <c r="C503" s="2" t="s">
        <v>11</v>
      </c>
      <c r="D503" s="2" t="s">
        <v>3430</v>
      </c>
      <c r="E503" s="2" t="s">
        <v>3431</v>
      </c>
      <c r="F503" s="4" t="s">
        <v>3432</v>
      </c>
      <c r="G503" s="4" t="s">
        <v>3433</v>
      </c>
      <c r="H503" s="4" t="s">
        <v>3434</v>
      </c>
      <c r="I503" s="4" t="s">
        <v>26</v>
      </c>
      <c r="J503" s="2" t="s">
        <v>3435</v>
      </c>
      <c r="K503" s="5" t="s">
        <v>3436</v>
      </c>
    </row>
    <row r="504" spans="1:11" ht="120" x14ac:dyDescent="0.25">
      <c r="A504" s="2"/>
      <c r="B504" s="8" t="s">
        <v>19</v>
      </c>
      <c r="C504" s="2" t="s">
        <v>20</v>
      </c>
      <c r="D504" s="2" t="s">
        <v>3437</v>
      </c>
      <c r="E504" s="2" t="s">
        <v>3438</v>
      </c>
      <c r="F504" s="4" t="s">
        <v>3439</v>
      </c>
      <c r="G504" s="4" t="s">
        <v>3440</v>
      </c>
      <c r="H504" s="4" t="s">
        <v>3441</v>
      </c>
      <c r="I504" s="4" t="s">
        <v>42</v>
      </c>
      <c r="J504" s="2" t="s">
        <v>3442</v>
      </c>
      <c r="K504" s="5" t="s">
        <v>3443</v>
      </c>
    </row>
    <row r="505" spans="1:11" ht="120" x14ac:dyDescent="0.25">
      <c r="A505" s="2"/>
      <c r="B505" s="8" t="s">
        <v>19</v>
      </c>
      <c r="C505" s="2" t="s">
        <v>20</v>
      </c>
      <c r="D505" s="2" t="s">
        <v>3444</v>
      </c>
      <c r="E505" s="2" t="s">
        <v>3445</v>
      </c>
      <c r="F505" s="4" t="s">
        <v>3446</v>
      </c>
      <c r="G505" s="4" t="s">
        <v>3447</v>
      </c>
      <c r="H505" s="4" t="s">
        <v>3448</v>
      </c>
      <c r="I505" s="4" t="s">
        <v>26</v>
      </c>
      <c r="J505" s="2" t="s">
        <v>3449</v>
      </c>
      <c r="K505" s="5" t="s">
        <v>3450</v>
      </c>
    </row>
    <row r="506" spans="1:11" ht="210" x14ac:dyDescent="0.25">
      <c r="A506" s="8" t="s">
        <v>11</v>
      </c>
      <c r="B506" s="8">
        <v>1</v>
      </c>
      <c r="C506" s="2" t="s">
        <v>11</v>
      </c>
      <c r="D506" s="2" t="s">
        <v>3451</v>
      </c>
      <c r="E506" s="2" t="s">
        <v>3452</v>
      </c>
      <c r="F506" s="4" t="s">
        <v>3453</v>
      </c>
      <c r="G506" s="4" t="s">
        <v>3454</v>
      </c>
      <c r="H506" s="4" t="s">
        <v>3455</v>
      </c>
      <c r="I506" s="4" t="s">
        <v>42</v>
      </c>
      <c r="J506" s="2" t="s">
        <v>3456</v>
      </c>
      <c r="K506" s="5" t="s">
        <v>3457</v>
      </c>
    </row>
    <row r="507" spans="1:11" ht="165" x14ac:dyDescent="0.25">
      <c r="A507" s="2"/>
      <c r="B507" s="8" t="s">
        <v>29</v>
      </c>
      <c r="C507" s="2" t="s">
        <v>20</v>
      </c>
      <c r="D507" s="2" t="s">
        <v>3458</v>
      </c>
      <c r="E507" s="2" t="s">
        <v>3459</v>
      </c>
      <c r="F507" s="4" t="s">
        <v>3460</v>
      </c>
      <c r="G507" s="4" t="s">
        <v>3461</v>
      </c>
      <c r="H507" s="4" t="s">
        <v>3462</v>
      </c>
      <c r="I507" s="4" t="s">
        <v>42</v>
      </c>
      <c r="J507" s="2" t="s">
        <v>3463</v>
      </c>
      <c r="K507" s="5" t="s">
        <v>3464</v>
      </c>
    </row>
    <row r="508" spans="1:11" ht="150" x14ac:dyDescent="0.25">
      <c r="A508" s="2"/>
      <c r="B508" s="8" t="s">
        <v>29</v>
      </c>
      <c r="C508" s="2" t="s">
        <v>20</v>
      </c>
      <c r="D508" s="2" t="s">
        <v>3465</v>
      </c>
      <c r="E508" s="2" t="s">
        <v>3466</v>
      </c>
      <c r="F508" s="4" t="s">
        <v>3467</v>
      </c>
      <c r="G508" s="4" t="s">
        <v>3468</v>
      </c>
      <c r="H508" s="4" t="s">
        <v>3469</v>
      </c>
      <c r="I508" s="4" t="s">
        <v>42</v>
      </c>
      <c r="J508" s="2" t="s">
        <v>3470</v>
      </c>
      <c r="K508" s="5" t="s">
        <v>3471</v>
      </c>
    </row>
    <row r="509" spans="1:11" ht="135" x14ac:dyDescent="0.25">
      <c r="A509" s="8" t="s">
        <v>11</v>
      </c>
      <c r="B509" s="8">
        <v>2</v>
      </c>
      <c r="C509" s="8" t="s">
        <v>11</v>
      </c>
      <c r="D509" s="2" t="s">
        <v>3472</v>
      </c>
      <c r="E509" s="2" t="s">
        <v>3473</v>
      </c>
      <c r="F509" s="4" t="s">
        <v>3474</v>
      </c>
      <c r="G509" s="4" t="s">
        <v>3475</v>
      </c>
      <c r="H509" s="4" t="s">
        <v>3476</v>
      </c>
      <c r="I509" s="4" t="s">
        <v>26</v>
      </c>
      <c r="J509" s="2" t="s">
        <v>3477</v>
      </c>
      <c r="K509" s="13" t="s">
        <v>3478</v>
      </c>
    </row>
    <row r="510" spans="1:11" ht="120" x14ac:dyDescent="0.25">
      <c r="A510" s="2"/>
      <c r="B510" s="8" t="s">
        <v>52</v>
      </c>
      <c r="C510" s="2" t="s">
        <v>20</v>
      </c>
      <c r="D510" s="2" t="s">
        <v>3479</v>
      </c>
      <c r="E510" s="2" t="s">
        <v>3480</v>
      </c>
      <c r="F510" s="4" t="s">
        <v>3481</v>
      </c>
      <c r="G510" s="4" t="s">
        <v>3482</v>
      </c>
      <c r="H510" s="4" t="s">
        <v>3483</v>
      </c>
      <c r="I510" s="4" t="s">
        <v>42</v>
      </c>
      <c r="J510" s="2" t="s">
        <v>3484</v>
      </c>
      <c r="K510" s="5" t="s">
        <v>3485</v>
      </c>
    </row>
    <row r="511" spans="1:11" ht="150" x14ac:dyDescent="0.25">
      <c r="A511" s="8" t="s">
        <v>11</v>
      </c>
      <c r="B511" s="8">
        <v>1</v>
      </c>
      <c r="C511" s="2" t="s">
        <v>11</v>
      </c>
      <c r="D511" s="2" t="s">
        <v>3486</v>
      </c>
      <c r="E511" s="2" t="s">
        <v>3487</v>
      </c>
      <c r="F511" s="4" t="s">
        <v>3488</v>
      </c>
      <c r="G511" s="4" t="s">
        <v>3489</v>
      </c>
      <c r="H511" s="4" t="s">
        <v>3490</v>
      </c>
      <c r="I511" s="4" t="s">
        <v>42</v>
      </c>
      <c r="J511" s="2" t="s">
        <v>3491</v>
      </c>
      <c r="K511" s="5" t="s">
        <v>3492</v>
      </c>
    </row>
    <row r="512" spans="1:11" ht="225" x14ac:dyDescent="0.25">
      <c r="A512" s="2"/>
      <c r="B512" s="8" t="s">
        <v>1398</v>
      </c>
      <c r="C512" s="2" t="s">
        <v>20</v>
      </c>
      <c r="D512" s="2" t="s">
        <v>3493</v>
      </c>
      <c r="E512" s="2" t="s">
        <v>3494</v>
      </c>
      <c r="F512" s="4" t="s">
        <v>3495</v>
      </c>
      <c r="G512" s="4" t="s">
        <v>3496</v>
      </c>
      <c r="H512" s="4" t="s">
        <v>3497</v>
      </c>
      <c r="I512" s="4" t="s">
        <v>42</v>
      </c>
      <c r="J512" s="2" t="s">
        <v>3498</v>
      </c>
      <c r="K512" s="5" t="s">
        <v>3499</v>
      </c>
    </row>
    <row r="513" spans="1:11" ht="270" x14ac:dyDescent="0.25">
      <c r="A513" s="2"/>
      <c r="B513" s="8" t="s">
        <v>19</v>
      </c>
      <c r="C513" s="2" t="s">
        <v>20</v>
      </c>
      <c r="D513" s="2" t="s">
        <v>3500</v>
      </c>
      <c r="E513" s="2" t="s">
        <v>3501</v>
      </c>
      <c r="F513" s="4" t="s">
        <v>3502</v>
      </c>
      <c r="G513" s="4" t="s">
        <v>3503</v>
      </c>
      <c r="H513" s="4" t="s">
        <v>3504</v>
      </c>
      <c r="I513" s="4" t="s">
        <v>26</v>
      </c>
      <c r="J513" s="2" t="s">
        <v>3505</v>
      </c>
      <c r="K513" s="5" t="s">
        <v>3506</v>
      </c>
    </row>
    <row r="514" spans="1:11" ht="210" x14ac:dyDescent="0.25">
      <c r="A514" s="8" t="s">
        <v>11</v>
      </c>
      <c r="B514" s="8">
        <v>2</v>
      </c>
      <c r="C514" s="8" t="s">
        <v>11</v>
      </c>
      <c r="D514" s="2" t="s">
        <v>3507</v>
      </c>
      <c r="E514" s="2" t="s">
        <v>3508</v>
      </c>
      <c r="F514" s="4" t="s">
        <v>3509</v>
      </c>
      <c r="G514" s="4" t="s">
        <v>3510</v>
      </c>
      <c r="H514" s="4" t="s">
        <v>3511</v>
      </c>
      <c r="I514" s="4" t="s">
        <v>42</v>
      </c>
      <c r="J514" s="2" t="s">
        <v>3512</v>
      </c>
      <c r="K514" s="13" t="s">
        <v>3513</v>
      </c>
    </row>
    <row r="515" spans="1:11" ht="180" x14ac:dyDescent="0.25">
      <c r="A515" s="8" t="s">
        <v>11</v>
      </c>
      <c r="B515" s="8">
        <v>1</v>
      </c>
      <c r="C515" s="2" t="s">
        <v>11</v>
      </c>
      <c r="D515" s="2" t="s">
        <v>3514</v>
      </c>
      <c r="E515" s="2" t="s">
        <v>3515</v>
      </c>
      <c r="F515" s="4" t="s">
        <v>3516</v>
      </c>
      <c r="G515" s="4" t="s">
        <v>3517</v>
      </c>
      <c r="H515" s="4" t="s">
        <v>3518</v>
      </c>
      <c r="I515" s="4" t="s">
        <v>26</v>
      </c>
      <c r="J515" s="2" t="s">
        <v>3519</v>
      </c>
      <c r="K515" s="5" t="s">
        <v>3520</v>
      </c>
    </row>
    <row r="516" spans="1:11" ht="150" x14ac:dyDescent="0.25">
      <c r="A516" s="2"/>
      <c r="B516" s="8" t="s">
        <v>19</v>
      </c>
      <c r="C516" s="2" t="s">
        <v>20</v>
      </c>
      <c r="D516" s="2" t="s">
        <v>3521</v>
      </c>
      <c r="E516" s="2" t="s">
        <v>3522</v>
      </c>
      <c r="F516" s="4" t="s">
        <v>3523</v>
      </c>
      <c r="G516" s="4" t="s">
        <v>3524</v>
      </c>
      <c r="H516" s="4" t="s">
        <v>3525</v>
      </c>
      <c r="I516" s="4" t="s">
        <v>42</v>
      </c>
      <c r="J516" s="2" t="s">
        <v>3526</v>
      </c>
      <c r="K516" s="5" t="s">
        <v>3527</v>
      </c>
    </row>
    <row r="517" spans="1:11" ht="75" x14ac:dyDescent="0.25">
      <c r="A517" s="2"/>
      <c r="B517" s="8" t="s">
        <v>19</v>
      </c>
      <c r="C517" s="2" t="s">
        <v>20</v>
      </c>
      <c r="D517" s="2" t="s">
        <v>3528</v>
      </c>
      <c r="E517" s="2" t="s">
        <v>2315</v>
      </c>
      <c r="F517" s="4" t="s">
        <v>3529</v>
      </c>
      <c r="G517" s="4" t="s">
        <v>3530</v>
      </c>
      <c r="H517" s="4" t="s">
        <v>3531</v>
      </c>
      <c r="I517" s="4" t="s">
        <v>42</v>
      </c>
      <c r="J517" s="2" t="s">
        <v>3532</v>
      </c>
      <c r="K517" s="5" t="s">
        <v>3533</v>
      </c>
    </row>
    <row r="518" spans="1:11" ht="225" x14ac:dyDescent="0.25">
      <c r="A518" s="2"/>
      <c r="B518" s="8" t="s">
        <v>29</v>
      </c>
      <c r="C518" s="2" t="s">
        <v>20</v>
      </c>
      <c r="D518" s="2" t="s">
        <v>3534</v>
      </c>
      <c r="E518" s="2" t="s">
        <v>3535</v>
      </c>
      <c r="F518" s="4" t="s">
        <v>3536</v>
      </c>
      <c r="G518" s="4" t="s">
        <v>3537</v>
      </c>
      <c r="H518" s="4" t="s">
        <v>3538</v>
      </c>
      <c r="I518" s="4" t="s">
        <v>42</v>
      </c>
      <c r="J518" s="2" t="s">
        <v>3539</v>
      </c>
      <c r="K518" s="5" t="s">
        <v>3540</v>
      </c>
    </row>
    <row r="519" spans="1:11" ht="180" x14ac:dyDescent="0.25">
      <c r="A519" s="2"/>
      <c r="B519" s="8" t="s">
        <v>19</v>
      </c>
      <c r="C519" s="2" t="s">
        <v>20</v>
      </c>
      <c r="D519" s="2" t="s">
        <v>3541</v>
      </c>
      <c r="E519" s="2" t="s">
        <v>3542</v>
      </c>
      <c r="F519" s="4" t="s">
        <v>3543</v>
      </c>
      <c r="G519" s="4" t="s">
        <v>3544</v>
      </c>
      <c r="H519" s="4" t="s">
        <v>3545</v>
      </c>
      <c r="I519" s="4" t="s">
        <v>26</v>
      </c>
      <c r="J519" s="2" t="s">
        <v>3546</v>
      </c>
      <c r="K519" s="5" t="s">
        <v>3547</v>
      </c>
    </row>
    <row r="520" spans="1:11" ht="195" x14ac:dyDescent="0.25">
      <c r="A520" s="2"/>
      <c r="B520" s="8" t="s">
        <v>19</v>
      </c>
      <c r="C520" s="2" t="s">
        <v>20</v>
      </c>
      <c r="D520" s="2" t="s">
        <v>3548</v>
      </c>
      <c r="E520" s="2" t="s">
        <v>3549</v>
      </c>
      <c r="F520" s="4" t="s">
        <v>3550</v>
      </c>
      <c r="G520" s="4" t="s">
        <v>3551</v>
      </c>
      <c r="H520" s="4" t="s">
        <v>3552</v>
      </c>
      <c r="I520" s="4" t="s">
        <v>42</v>
      </c>
      <c r="J520" s="2" t="s">
        <v>3553</v>
      </c>
      <c r="K520" s="5" t="s">
        <v>3554</v>
      </c>
    </row>
    <row r="521" spans="1:11" ht="225" x14ac:dyDescent="0.25">
      <c r="A521" s="2"/>
      <c r="B521" s="8" t="s">
        <v>100</v>
      </c>
      <c r="C521" s="2" t="s">
        <v>20</v>
      </c>
      <c r="D521" s="2" t="s">
        <v>3555</v>
      </c>
      <c r="E521" s="2" t="s">
        <v>3556</v>
      </c>
      <c r="F521" s="4" t="s">
        <v>3557</v>
      </c>
      <c r="G521" s="4" t="s">
        <v>3558</v>
      </c>
      <c r="H521" s="4" t="s">
        <v>3559</v>
      </c>
      <c r="I521" s="4" t="s">
        <v>42</v>
      </c>
      <c r="J521" s="2" t="s">
        <v>3560</v>
      </c>
      <c r="K521" s="5" t="s">
        <v>3561</v>
      </c>
    </row>
    <row r="522" spans="1:11" ht="240" x14ac:dyDescent="0.25">
      <c r="A522" s="2"/>
      <c r="B522" s="8" t="s">
        <v>100</v>
      </c>
      <c r="C522" s="2" t="s">
        <v>20</v>
      </c>
      <c r="D522" s="2" t="s">
        <v>3562</v>
      </c>
      <c r="E522" s="2" t="s">
        <v>3563</v>
      </c>
      <c r="F522" s="4" t="s">
        <v>3564</v>
      </c>
      <c r="G522" s="4" t="s">
        <v>3565</v>
      </c>
      <c r="H522" s="4" t="s">
        <v>3566</v>
      </c>
      <c r="I522" s="4" t="s">
        <v>42</v>
      </c>
      <c r="J522" s="2" t="s">
        <v>3567</v>
      </c>
      <c r="K522" s="5" t="s">
        <v>3568</v>
      </c>
    </row>
    <row r="523" spans="1:11" ht="255" x14ac:dyDescent="0.25">
      <c r="A523" s="2"/>
      <c r="B523" s="8" t="s">
        <v>19</v>
      </c>
      <c r="C523" s="2" t="s">
        <v>20</v>
      </c>
      <c r="D523" s="2" t="s">
        <v>3569</v>
      </c>
      <c r="E523" s="2" t="s">
        <v>3570</v>
      </c>
      <c r="F523" s="4" t="s">
        <v>3571</v>
      </c>
      <c r="G523" s="4" t="s">
        <v>3572</v>
      </c>
      <c r="H523" s="4" t="s">
        <v>3573</v>
      </c>
      <c r="I523" s="4" t="s">
        <v>42</v>
      </c>
      <c r="J523" s="2" t="s">
        <v>3574</v>
      </c>
      <c r="K523" s="5" t="s">
        <v>3575</v>
      </c>
    </row>
    <row r="524" spans="1:11" ht="150" x14ac:dyDescent="0.25">
      <c r="A524" s="8" t="s">
        <v>11</v>
      </c>
      <c r="B524" s="8">
        <v>2</v>
      </c>
      <c r="C524" s="8" t="s">
        <v>11</v>
      </c>
      <c r="D524" s="2" t="s">
        <v>3576</v>
      </c>
      <c r="E524" s="2" t="s">
        <v>3577</v>
      </c>
      <c r="F524" s="4" t="s">
        <v>3578</v>
      </c>
      <c r="G524" s="4" t="s">
        <v>3579</v>
      </c>
      <c r="H524" s="4" t="s">
        <v>3580</v>
      </c>
      <c r="I524" s="4" t="s">
        <v>42</v>
      </c>
      <c r="J524" s="2" t="s">
        <v>3581</v>
      </c>
      <c r="K524" s="13" t="s">
        <v>3582</v>
      </c>
    </row>
    <row r="525" spans="1:11" ht="225" x14ac:dyDescent="0.25">
      <c r="A525" s="8" t="s">
        <v>11</v>
      </c>
      <c r="B525" s="8">
        <v>1</v>
      </c>
      <c r="C525" s="2" t="s">
        <v>11</v>
      </c>
      <c r="D525" s="2" t="s">
        <v>3583</v>
      </c>
      <c r="E525" s="2" t="s">
        <v>3584</v>
      </c>
      <c r="F525" s="4" t="s">
        <v>3585</v>
      </c>
      <c r="G525" s="4" t="s">
        <v>3586</v>
      </c>
      <c r="H525" s="4" t="s">
        <v>3587</v>
      </c>
      <c r="I525" s="4" t="s">
        <v>702</v>
      </c>
      <c r="J525" s="2" t="s">
        <v>3588</v>
      </c>
      <c r="K525" s="5" t="s">
        <v>3589</v>
      </c>
    </row>
    <row r="526" spans="1:11" ht="150" x14ac:dyDescent="0.25">
      <c r="A526" s="2"/>
      <c r="B526" s="8" t="s">
        <v>52</v>
      </c>
      <c r="C526" s="2" t="s">
        <v>20</v>
      </c>
      <c r="D526" s="2" t="s">
        <v>3590</v>
      </c>
      <c r="E526" s="2" t="s">
        <v>3591</v>
      </c>
      <c r="F526" s="4" t="s">
        <v>3592</v>
      </c>
      <c r="G526" s="4" t="s">
        <v>3593</v>
      </c>
      <c r="H526" s="4" t="s">
        <v>3594</v>
      </c>
      <c r="I526" s="4" t="s">
        <v>42</v>
      </c>
      <c r="J526" s="2" t="s">
        <v>3595</v>
      </c>
      <c r="K526" s="5" t="s">
        <v>3596</v>
      </c>
    </row>
    <row r="527" spans="1:11" ht="255" x14ac:dyDescent="0.25">
      <c r="A527" s="2"/>
      <c r="B527" s="8" t="s">
        <v>74</v>
      </c>
      <c r="C527" s="2" t="s">
        <v>20</v>
      </c>
      <c r="D527" s="2" t="s">
        <v>3597</v>
      </c>
      <c r="F527" s="4" t="s">
        <v>3598</v>
      </c>
      <c r="G527" s="7" t="s">
        <v>3599</v>
      </c>
      <c r="I527" s="4" t="s">
        <v>26</v>
      </c>
      <c r="K527" s="5" t="s">
        <v>3600</v>
      </c>
    </row>
    <row r="528" spans="1:11" ht="225" x14ac:dyDescent="0.25">
      <c r="A528" s="8" t="s">
        <v>11</v>
      </c>
      <c r="B528" s="8">
        <v>1</v>
      </c>
      <c r="C528" s="2" t="s">
        <v>11</v>
      </c>
      <c r="D528" s="2" t="s">
        <v>3601</v>
      </c>
      <c r="E528" s="2" t="s">
        <v>3602</v>
      </c>
      <c r="F528" s="4" t="s">
        <v>3603</v>
      </c>
      <c r="G528" s="4" t="s">
        <v>3604</v>
      </c>
      <c r="H528" s="4" t="s">
        <v>3605</v>
      </c>
      <c r="I528" s="4" t="s">
        <v>702</v>
      </c>
      <c r="J528" s="2" t="s">
        <v>3606</v>
      </c>
      <c r="K528" s="5" t="s">
        <v>3607</v>
      </c>
    </row>
    <row r="529" spans="1:11" ht="165" x14ac:dyDescent="0.25">
      <c r="A529" s="2"/>
      <c r="B529" s="8" t="s">
        <v>52</v>
      </c>
      <c r="C529" s="2" t="s">
        <v>20</v>
      </c>
      <c r="D529" s="2" t="s">
        <v>3608</v>
      </c>
      <c r="E529" s="2" t="s">
        <v>3609</v>
      </c>
      <c r="F529" s="4" t="s">
        <v>3610</v>
      </c>
      <c r="G529" s="4" t="s">
        <v>3611</v>
      </c>
      <c r="H529" s="4" t="s">
        <v>3612</v>
      </c>
      <c r="I529" s="4" t="s">
        <v>26</v>
      </c>
      <c r="J529" s="2" t="s">
        <v>3613</v>
      </c>
      <c r="K529" s="5" t="s">
        <v>3614</v>
      </c>
    </row>
    <row r="530" spans="1:11" ht="210" x14ac:dyDescent="0.25">
      <c r="A530" s="2"/>
      <c r="B530" s="8" t="s">
        <v>29</v>
      </c>
      <c r="C530" s="2" t="s">
        <v>20</v>
      </c>
      <c r="D530" s="2" t="s">
        <v>3615</v>
      </c>
      <c r="E530" s="2" t="s">
        <v>3616</v>
      </c>
      <c r="F530" s="4" t="s">
        <v>3617</v>
      </c>
      <c r="G530" s="4" t="s">
        <v>3618</v>
      </c>
      <c r="H530" s="4" t="s">
        <v>3619</v>
      </c>
      <c r="I530" s="4" t="s">
        <v>42</v>
      </c>
      <c r="J530" s="2" t="s">
        <v>3620</v>
      </c>
      <c r="K530" s="5" t="s">
        <v>3621</v>
      </c>
    </row>
    <row r="531" spans="1:11" ht="120" x14ac:dyDescent="0.25">
      <c r="A531" s="2"/>
      <c r="B531" s="8" t="s">
        <v>52</v>
      </c>
      <c r="C531" s="2" t="s">
        <v>20</v>
      </c>
      <c r="D531" s="2" t="s">
        <v>3622</v>
      </c>
      <c r="E531" s="2" t="s">
        <v>3623</v>
      </c>
      <c r="F531" s="4" t="s">
        <v>3624</v>
      </c>
      <c r="G531" s="4" t="s">
        <v>3625</v>
      </c>
      <c r="H531" s="4" t="s">
        <v>3626</v>
      </c>
      <c r="I531" s="4" t="s">
        <v>26</v>
      </c>
      <c r="J531" s="2" t="s">
        <v>3627</v>
      </c>
      <c r="K531" s="5" t="s">
        <v>3628</v>
      </c>
    </row>
    <row r="532" spans="1:11" ht="225" x14ac:dyDescent="0.25">
      <c r="A532" s="2"/>
      <c r="B532" s="8" t="s">
        <v>100</v>
      </c>
      <c r="C532" s="2" t="s">
        <v>20</v>
      </c>
      <c r="D532" s="2" t="s">
        <v>3629</v>
      </c>
      <c r="E532" s="2" t="s">
        <v>3630</v>
      </c>
      <c r="F532" s="4" t="s">
        <v>3631</v>
      </c>
      <c r="G532" s="4" t="s">
        <v>3632</v>
      </c>
      <c r="H532" s="4" t="s">
        <v>3633</v>
      </c>
      <c r="I532" s="4" t="s">
        <v>42</v>
      </c>
      <c r="J532" s="2" t="s">
        <v>3634</v>
      </c>
      <c r="K532" s="5" t="s">
        <v>3635</v>
      </c>
    </row>
    <row r="533" spans="1:11" ht="285" x14ac:dyDescent="0.25">
      <c r="A533" s="2"/>
      <c r="B533" s="8" t="s">
        <v>100</v>
      </c>
      <c r="C533" s="2" t="s">
        <v>20</v>
      </c>
      <c r="D533" s="2" t="s">
        <v>3636</v>
      </c>
      <c r="E533" s="2" t="s">
        <v>3637</v>
      </c>
      <c r="F533" s="4" t="s">
        <v>3638</v>
      </c>
      <c r="G533" s="4" t="s">
        <v>3639</v>
      </c>
      <c r="H533" s="4" t="s">
        <v>3640</v>
      </c>
      <c r="I533" s="4" t="s">
        <v>42</v>
      </c>
      <c r="J533" s="2" t="s">
        <v>3641</v>
      </c>
      <c r="K533" s="5" t="s">
        <v>3642</v>
      </c>
    </row>
    <row r="534" spans="1:11" ht="150" x14ac:dyDescent="0.25">
      <c r="A534" s="2"/>
      <c r="B534" s="8" t="s">
        <v>19</v>
      </c>
      <c r="C534" s="2" t="s">
        <v>20</v>
      </c>
      <c r="D534" s="2" t="s">
        <v>3643</v>
      </c>
      <c r="E534" s="2" t="s">
        <v>3644</v>
      </c>
      <c r="F534" s="4" t="s">
        <v>3645</v>
      </c>
      <c r="G534" s="4" t="s">
        <v>3646</v>
      </c>
      <c r="H534" s="4" t="s">
        <v>3647</v>
      </c>
      <c r="I534" s="4" t="s">
        <v>42</v>
      </c>
      <c r="J534" s="2" t="s">
        <v>3648</v>
      </c>
      <c r="K534" s="5" t="s">
        <v>3649</v>
      </c>
    </row>
    <row r="535" spans="1:11" ht="240" x14ac:dyDescent="0.25">
      <c r="A535" s="2"/>
      <c r="B535" s="8" t="s">
        <v>19</v>
      </c>
      <c r="C535" s="2" t="s">
        <v>20</v>
      </c>
      <c r="D535" s="2" t="s">
        <v>3650</v>
      </c>
      <c r="E535" s="2" t="s">
        <v>3651</v>
      </c>
      <c r="F535" s="4" t="s">
        <v>3652</v>
      </c>
      <c r="G535" s="4" t="s">
        <v>3653</v>
      </c>
      <c r="H535" s="4" t="s">
        <v>3654</v>
      </c>
      <c r="I535" s="4" t="s">
        <v>42</v>
      </c>
      <c r="J535" s="2" t="s">
        <v>3655</v>
      </c>
      <c r="K535" s="5" t="s">
        <v>3656</v>
      </c>
    </row>
    <row r="536" spans="1:11" ht="135" x14ac:dyDescent="0.25">
      <c r="A536" s="2"/>
      <c r="B536" s="8" t="s">
        <v>19</v>
      </c>
      <c r="C536" s="2" t="s">
        <v>20</v>
      </c>
      <c r="D536" s="2" t="s">
        <v>3657</v>
      </c>
      <c r="E536" s="2" t="s">
        <v>3658</v>
      </c>
      <c r="F536" s="4" t="s">
        <v>3659</v>
      </c>
      <c r="G536" s="4" t="s">
        <v>3660</v>
      </c>
      <c r="H536" s="4" t="s">
        <v>3661</v>
      </c>
      <c r="I536" s="4" t="s">
        <v>42</v>
      </c>
      <c r="J536" s="2" t="s">
        <v>3662</v>
      </c>
      <c r="K536" s="5" t="s">
        <v>3663</v>
      </c>
    </row>
    <row r="537" spans="1:11" ht="180" x14ac:dyDescent="0.25">
      <c r="B537" s="8" t="s">
        <v>100</v>
      </c>
      <c r="C537" s="2" t="s">
        <v>20</v>
      </c>
      <c r="D537" s="2" t="s">
        <v>3664</v>
      </c>
      <c r="E537" s="2" t="s">
        <v>3665</v>
      </c>
      <c r="F537" s="4" t="s">
        <v>3666</v>
      </c>
      <c r="G537" s="4" t="s">
        <v>3667</v>
      </c>
      <c r="H537" s="4" t="s">
        <v>3668</v>
      </c>
      <c r="I537" s="4" t="s">
        <v>26</v>
      </c>
      <c r="J537" s="2" t="s">
        <v>3669</v>
      </c>
      <c r="K537" s="5" t="s">
        <v>3670</v>
      </c>
    </row>
    <row r="538" spans="1:11" ht="150" x14ac:dyDescent="0.25">
      <c r="A538" s="8" t="s">
        <v>20</v>
      </c>
      <c r="B538" s="8">
        <v>1</v>
      </c>
      <c r="C538" s="2" t="s">
        <v>11</v>
      </c>
      <c r="D538" s="2" t="s">
        <v>3671</v>
      </c>
      <c r="E538" s="2" t="s">
        <v>3672</v>
      </c>
      <c r="F538" s="4" t="s">
        <v>3673</v>
      </c>
      <c r="G538" s="4" t="s">
        <v>3674</v>
      </c>
      <c r="H538" s="4" t="s">
        <v>3675</v>
      </c>
      <c r="I538" s="4" t="s">
        <v>26</v>
      </c>
      <c r="J538" s="2" t="s">
        <v>3676</v>
      </c>
      <c r="K538" s="5" t="s">
        <v>3677</v>
      </c>
    </row>
    <row r="539" spans="1:11" ht="225" x14ac:dyDescent="0.25">
      <c r="A539" s="2"/>
      <c r="B539" s="8" t="s">
        <v>1398</v>
      </c>
      <c r="C539" s="2" t="s">
        <v>20</v>
      </c>
      <c r="D539" s="2" t="s">
        <v>3678</v>
      </c>
      <c r="E539" s="2" t="s">
        <v>3679</v>
      </c>
      <c r="F539" s="4" t="s">
        <v>3680</v>
      </c>
      <c r="G539" s="4" t="s">
        <v>3681</v>
      </c>
      <c r="H539" s="4" t="s">
        <v>3682</v>
      </c>
      <c r="I539" s="4" t="s">
        <v>42</v>
      </c>
      <c r="J539" s="2" t="s">
        <v>3683</v>
      </c>
      <c r="K539" s="5" t="s">
        <v>3684</v>
      </c>
    </row>
    <row r="540" spans="1:11" ht="375" x14ac:dyDescent="0.25">
      <c r="A540" s="2"/>
      <c r="B540" s="8" t="s">
        <v>52</v>
      </c>
      <c r="C540" s="2" t="s">
        <v>20</v>
      </c>
      <c r="D540" s="2" t="s">
        <v>3685</v>
      </c>
      <c r="E540" s="2" t="s">
        <v>3686</v>
      </c>
      <c r="F540" s="4" t="s">
        <v>3687</v>
      </c>
      <c r="G540" s="4" t="s">
        <v>3688</v>
      </c>
      <c r="H540" s="4" t="s">
        <v>3689</v>
      </c>
      <c r="I540" s="4" t="s">
        <v>26</v>
      </c>
      <c r="J540" s="2" t="s">
        <v>3690</v>
      </c>
      <c r="K540" s="5" t="s">
        <v>3691</v>
      </c>
    </row>
    <row r="541" spans="1:11" ht="105" x14ac:dyDescent="0.25">
      <c r="A541" s="2"/>
      <c r="B541" s="8" t="s">
        <v>74</v>
      </c>
      <c r="C541" s="2" t="s">
        <v>20</v>
      </c>
      <c r="D541" s="2" t="s">
        <v>3692</v>
      </c>
      <c r="F541" s="4" t="s">
        <v>3693</v>
      </c>
      <c r="G541" s="7" t="s">
        <v>3694</v>
      </c>
      <c r="I541" s="4" t="s">
        <v>42</v>
      </c>
      <c r="K541" s="5" t="s">
        <v>3695</v>
      </c>
    </row>
    <row r="542" spans="1:11" ht="120" x14ac:dyDescent="0.25">
      <c r="A542" s="8" t="s">
        <v>11</v>
      </c>
      <c r="B542" s="8">
        <v>1</v>
      </c>
      <c r="C542" s="2" t="s">
        <v>11</v>
      </c>
      <c r="D542" s="2" t="s">
        <v>3696</v>
      </c>
      <c r="E542" s="2" t="s">
        <v>3697</v>
      </c>
      <c r="F542" s="4" t="s">
        <v>3698</v>
      </c>
      <c r="G542" s="4" t="s">
        <v>3699</v>
      </c>
      <c r="H542" s="4" t="s">
        <v>3700</v>
      </c>
      <c r="I542" s="4" t="s">
        <v>42</v>
      </c>
      <c r="J542" s="2" t="s">
        <v>3701</v>
      </c>
      <c r="K542" s="5" t="s">
        <v>3702</v>
      </c>
    </row>
    <row r="543" spans="1:11" ht="120" x14ac:dyDescent="0.25">
      <c r="A543" s="2"/>
      <c r="B543" s="8" t="s">
        <v>100</v>
      </c>
      <c r="C543" s="2" t="s">
        <v>20</v>
      </c>
      <c r="D543" s="2" t="s">
        <v>3703</v>
      </c>
      <c r="E543" s="2" t="s">
        <v>1657</v>
      </c>
      <c r="F543" s="4" t="s">
        <v>3704</v>
      </c>
      <c r="G543" s="4" t="s">
        <v>3705</v>
      </c>
      <c r="H543" s="4" t="s">
        <v>3706</v>
      </c>
      <c r="I543" s="4" t="s">
        <v>42</v>
      </c>
      <c r="J543" s="2" t="s">
        <v>3707</v>
      </c>
      <c r="K543" s="5" t="s">
        <v>3708</v>
      </c>
    </row>
    <row r="544" spans="1:11" ht="210" x14ac:dyDescent="0.25">
      <c r="A544" s="2"/>
      <c r="B544" s="8" t="s">
        <v>19</v>
      </c>
      <c r="C544" s="2" t="s">
        <v>20</v>
      </c>
      <c r="D544" s="2" t="s">
        <v>3709</v>
      </c>
      <c r="E544" s="2" t="s">
        <v>3710</v>
      </c>
      <c r="F544" s="4" t="s">
        <v>3711</v>
      </c>
      <c r="G544" s="4" t="s">
        <v>3712</v>
      </c>
      <c r="H544" s="4" t="s">
        <v>3713</v>
      </c>
      <c r="I544" s="4" t="s">
        <v>42</v>
      </c>
      <c r="J544" s="2" t="s">
        <v>3714</v>
      </c>
      <c r="K544" s="5" t="s">
        <v>3715</v>
      </c>
    </row>
    <row r="545" spans="1:11" ht="240" x14ac:dyDescent="0.25">
      <c r="A545" s="8" t="s">
        <v>11</v>
      </c>
      <c r="B545" s="8">
        <v>1</v>
      </c>
      <c r="C545" s="2" t="s">
        <v>11</v>
      </c>
      <c r="D545" s="2" t="s">
        <v>3716</v>
      </c>
      <c r="E545" s="2" t="s">
        <v>3717</v>
      </c>
      <c r="F545" s="4" t="s">
        <v>3718</v>
      </c>
      <c r="G545" s="4" t="s">
        <v>3719</v>
      </c>
      <c r="H545" s="4" t="s">
        <v>3720</v>
      </c>
      <c r="I545" s="4" t="s">
        <v>26</v>
      </c>
      <c r="J545" s="2" t="s">
        <v>3721</v>
      </c>
      <c r="K545" s="5" t="s">
        <v>3722</v>
      </c>
    </row>
    <row r="546" spans="1:11" ht="180" x14ac:dyDescent="0.25">
      <c r="A546" s="8" t="s">
        <v>11</v>
      </c>
      <c r="B546" s="8">
        <v>1</v>
      </c>
      <c r="C546" s="2" t="s">
        <v>11</v>
      </c>
      <c r="D546" s="2" t="s">
        <v>3723</v>
      </c>
      <c r="E546" s="2" t="s">
        <v>3724</v>
      </c>
      <c r="F546" s="4" t="s">
        <v>3725</v>
      </c>
      <c r="G546" s="4" t="s">
        <v>3726</v>
      </c>
      <c r="H546" s="4" t="s">
        <v>3727</v>
      </c>
      <c r="I546" s="4" t="s">
        <v>42</v>
      </c>
      <c r="J546" s="2" t="s">
        <v>3728</v>
      </c>
      <c r="K546" s="5" t="s">
        <v>3729</v>
      </c>
    </row>
    <row r="547" spans="1:11" ht="270" x14ac:dyDescent="0.25">
      <c r="A547" s="2"/>
      <c r="B547" s="8" t="s">
        <v>19</v>
      </c>
      <c r="C547" s="2" t="s">
        <v>20</v>
      </c>
      <c r="D547" s="2" t="s">
        <v>3730</v>
      </c>
      <c r="E547" s="2" t="s">
        <v>3731</v>
      </c>
      <c r="F547" s="4" t="s">
        <v>3732</v>
      </c>
      <c r="G547" s="4" t="s">
        <v>3733</v>
      </c>
      <c r="H547" s="4" t="s">
        <v>3734</v>
      </c>
      <c r="I547" s="4" t="s">
        <v>42</v>
      </c>
      <c r="J547" s="2" t="s">
        <v>3735</v>
      </c>
      <c r="K547" s="5" t="s">
        <v>3736</v>
      </c>
    </row>
    <row r="548" spans="1:11" ht="105" x14ac:dyDescent="0.25">
      <c r="A548" s="8" t="s">
        <v>11</v>
      </c>
      <c r="B548" s="8">
        <v>1</v>
      </c>
      <c r="C548" s="2" t="s">
        <v>11</v>
      </c>
      <c r="D548" s="2" t="s">
        <v>3737</v>
      </c>
      <c r="E548" s="2" t="s">
        <v>3738</v>
      </c>
      <c r="F548" s="4" t="s">
        <v>3739</v>
      </c>
      <c r="G548" s="4" t="s">
        <v>3740</v>
      </c>
      <c r="H548" s="4" t="s">
        <v>3741</v>
      </c>
      <c r="I548" s="4" t="s">
        <v>26</v>
      </c>
      <c r="K548" s="5" t="s">
        <v>3742</v>
      </c>
    </row>
    <row r="549" spans="1:11" ht="225" x14ac:dyDescent="0.25">
      <c r="A549" s="2"/>
      <c r="B549" s="8" t="s">
        <v>19</v>
      </c>
      <c r="C549" s="2" t="s">
        <v>20</v>
      </c>
      <c r="D549" s="2" t="s">
        <v>3743</v>
      </c>
      <c r="E549" s="2" t="s">
        <v>3744</v>
      </c>
      <c r="F549" s="4" t="s">
        <v>3745</v>
      </c>
      <c r="G549" s="4" t="s">
        <v>3746</v>
      </c>
      <c r="H549" s="4" t="s">
        <v>3747</v>
      </c>
      <c r="I549" s="4" t="s">
        <v>26</v>
      </c>
      <c r="J549" s="2" t="s">
        <v>3748</v>
      </c>
      <c r="K549" s="5" t="s">
        <v>3749</v>
      </c>
    </row>
    <row r="550" spans="1:11" ht="225" x14ac:dyDescent="0.25">
      <c r="A550" s="2"/>
      <c r="B550" s="8" t="s">
        <v>52</v>
      </c>
      <c r="C550" s="2" t="s">
        <v>20</v>
      </c>
      <c r="D550" s="2" t="s">
        <v>3750</v>
      </c>
      <c r="E550" s="2" t="s">
        <v>3751</v>
      </c>
      <c r="F550" s="4" t="s">
        <v>3752</v>
      </c>
      <c r="G550" s="4" t="s">
        <v>3753</v>
      </c>
      <c r="H550" s="4" t="s">
        <v>3754</v>
      </c>
      <c r="I550" s="4" t="s">
        <v>42</v>
      </c>
      <c r="K550" s="5" t="s">
        <v>3755</v>
      </c>
    </row>
    <row r="551" spans="1:11" ht="225" x14ac:dyDescent="0.25">
      <c r="A551" s="8" t="s">
        <v>11</v>
      </c>
      <c r="B551" s="8">
        <v>2</v>
      </c>
      <c r="C551" s="8" t="s">
        <v>11</v>
      </c>
      <c r="D551" s="2" t="s">
        <v>3756</v>
      </c>
      <c r="E551" s="2" t="s">
        <v>3757</v>
      </c>
      <c r="F551" s="4" t="s">
        <v>3758</v>
      </c>
      <c r="G551" s="4" t="s">
        <v>3759</v>
      </c>
      <c r="H551" s="4" t="s">
        <v>3760</v>
      </c>
      <c r="I551" s="4" t="s">
        <v>26</v>
      </c>
      <c r="J551" s="2" t="s">
        <v>3761</v>
      </c>
      <c r="K551" s="13" t="s">
        <v>3762</v>
      </c>
    </row>
    <row r="552" spans="1:11" ht="409.5" x14ac:dyDescent="0.25">
      <c r="A552" s="2"/>
      <c r="B552" s="8" t="s">
        <v>100</v>
      </c>
      <c r="C552" s="2" t="s">
        <v>20</v>
      </c>
      <c r="D552" s="2" t="s">
        <v>3763</v>
      </c>
      <c r="E552" s="2" t="s">
        <v>3764</v>
      </c>
      <c r="F552" s="4" t="s">
        <v>3765</v>
      </c>
      <c r="G552" s="4" t="s">
        <v>3766</v>
      </c>
      <c r="H552" s="4" t="s">
        <v>3767</v>
      </c>
      <c r="I552" s="4" t="s">
        <v>702</v>
      </c>
      <c r="J552" s="2" t="s">
        <v>3768</v>
      </c>
      <c r="K552" s="5" t="s">
        <v>3769</v>
      </c>
    </row>
    <row r="553" spans="1:11" ht="180" x14ac:dyDescent="0.25">
      <c r="A553" s="2"/>
      <c r="B553" s="8" t="s">
        <v>100</v>
      </c>
      <c r="C553" s="2" t="s">
        <v>20</v>
      </c>
      <c r="D553" s="2" t="s">
        <v>3770</v>
      </c>
      <c r="E553" s="2" t="s">
        <v>3771</v>
      </c>
      <c r="F553" s="4" t="s">
        <v>3772</v>
      </c>
      <c r="G553" s="4" t="s">
        <v>3773</v>
      </c>
      <c r="H553" s="4" t="s">
        <v>3774</v>
      </c>
      <c r="I553" s="4" t="s">
        <v>26</v>
      </c>
      <c r="J553" s="2" t="s">
        <v>3775</v>
      </c>
      <c r="K553" s="5" t="s">
        <v>3776</v>
      </c>
    </row>
    <row r="554" spans="1:11" ht="165" x14ac:dyDescent="0.25">
      <c r="A554" s="8" t="s">
        <v>11</v>
      </c>
      <c r="B554" s="8">
        <v>1</v>
      </c>
      <c r="C554" s="2" t="s">
        <v>11</v>
      </c>
      <c r="D554" s="2" t="s">
        <v>3777</v>
      </c>
      <c r="E554" s="2" t="s">
        <v>3778</v>
      </c>
      <c r="F554" s="4" t="s">
        <v>3779</v>
      </c>
      <c r="G554" s="4" t="s">
        <v>3780</v>
      </c>
      <c r="H554" s="4" t="s">
        <v>3781</v>
      </c>
      <c r="I554" s="4" t="s">
        <v>42</v>
      </c>
      <c r="J554" s="2" t="s">
        <v>3782</v>
      </c>
      <c r="K554" s="13" t="s">
        <v>3783</v>
      </c>
    </row>
    <row r="555" spans="1:11" ht="225" x14ac:dyDescent="0.25">
      <c r="A555" s="8" t="s">
        <v>11</v>
      </c>
      <c r="B555" s="8">
        <v>2</v>
      </c>
      <c r="C555" s="8" t="s">
        <v>11</v>
      </c>
      <c r="D555" s="2" t="s">
        <v>3784</v>
      </c>
      <c r="E555" s="2" t="s">
        <v>3785</v>
      </c>
      <c r="F555" s="4" t="s">
        <v>3786</v>
      </c>
      <c r="G555" s="4" t="s">
        <v>3787</v>
      </c>
      <c r="H555" s="4" t="s">
        <v>3788</v>
      </c>
      <c r="I555" s="4" t="s">
        <v>702</v>
      </c>
      <c r="J555" s="2" t="s">
        <v>3789</v>
      </c>
      <c r="K555" s="13" t="s">
        <v>3790</v>
      </c>
    </row>
    <row r="556" spans="1:11" ht="195" x14ac:dyDescent="0.25">
      <c r="A556" s="8" t="s">
        <v>11</v>
      </c>
      <c r="B556" s="8">
        <v>1</v>
      </c>
      <c r="C556" s="2" t="s">
        <v>11</v>
      </c>
      <c r="D556" s="2" t="s">
        <v>3791</v>
      </c>
      <c r="E556" s="2" t="s">
        <v>3792</v>
      </c>
      <c r="F556" s="4" t="s">
        <v>3793</v>
      </c>
      <c r="G556" s="4" t="s">
        <v>3794</v>
      </c>
      <c r="H556" s="4" t="s">
        <v>3795</v>
      </c>
      <c r="I556" s="4" t="s">
        <v>42</v>
      </c>
      <c r="J556" s="2" t="s">
        <v>3796</v>
      </c>
      <c r="K556" s="5" t="s">
        <v>3797</v>
      </c>
    </row>
    <row r="557" spans="1:11" ht="165" x14ac:dyDescent="0.25">
      <c r="A557" s="2"/>
      <c r="B557" s="8" t="s">
        <v>19</v>
      </c>
      <c r="C557" s="2" t="s">
        <v>20</v>
      </c>
      <c r="D557" s="2" t="s">
        <v>3798</v>
      </c>
      <c r="E557" s="2" t="s">
        <v>3799</v>
      </c>
      <c r="F557" s="4" t="s">
        <v>3800</v>
      </c>
      <c r="G557" s="4" t="s">
        <v>3801</v>
      </c>
      <c r="H557" s="4" t="s">
        <v>3802</v>
      </c>
      <c r="I557" s="4" t="s">
        <v>26</v>
      </c>
      <c r="J557" s="2" t="s">
        <v>3803</v>
      </c>
      <c r="K557" s="5" t="s">
        <v>3804</v>
      </c>
    </row>
    <row r="558" spans="1:11" ht="135" x14ac:dyDescent="0.25">
      <c r="A558" s="2"/>
      <c r="B558" s="8" t="s">
        <v>19</v>
      </c>
      <c r="C558" s="2" t="s">
        <v>20</v>
      </c>
      <c r="D558" s="2" t="s">
        <v>3805</v>
      </c>
      <c r="E558" s="2" t="s">
        <v>3806</v>
      </c>
      <c r="F558" s="4" t="s">
        <v>3807</v>
      </c>
      <c r="G558" s="4" t="s">
        <v>3808</v>
      </c>
      <c r="H558" s="4" t="s">
        <v>3809</v>
      </c>
      <c r="I558" s="4" t="s">
        <v>42</v>
      </c>
      <c r="J558" s="2" t="s">
        <v>3810</v>
      </c>
      <c r="K558" s="5" t="s">
        <v>3811</v>
      </c>
    </row>
    <row r="559" spans="1:11" ht="330" x14ac:dyDescent="0.25">
      <c r="A559" s="2"/>
      <c r="B559" s="8" t="s">
        <v>52</v>
      </c>
      <c r="C559" s="2" t="s">
        <v>20</v>
      </c>
      <c r="D559" s="2" t="s">
        <v>3812</v>
      </c>
      <c r="E559" s="2" t="s">
        <v>3813</v>
      </c>
      <c r="F559" s="4" t="s">
        <v>3814</v>
      </c>
      <c r="G559" s="4" t="s">
        <v>3815</v>
      </c>
      <c r="H559" s="4" t="s">
        <v>3816</v>
      </c>
      <c r="I559" s="4" t="s">
        <v>42</v>
      </c>
      <c r="K559" s="5" t="s">
        <v>3817</v>
      </c>
    </row>
    <row r="560" spans="1:11" ht="195" x14ac:dyDescent="0.25">
      <c r="A560" s="8" t="s">
        <v>11</v>
      </c>
      <c r="B560" s="8">
        <v>1</v>
      </c>
      <c r="C560" s="2" t="s">
        <v>11</v>
      </c>
      <c r="D560" s="2" t="s">
        <v>3818</v>
      </c>
      <c r="E560" s="2" t="s">
        <v>3819</v>
      </c>
      <c r="F560" s="4" t="s">
        <v>3820</v>
      </c>
      <c r="G560" s="4" t="s">
        <v>3821</v>
      </c>
      <c r="H560" s="4" t="s">
        <v>3822</v>
      </c>
      <c r="J560" s="2" t="s">
        <v>3823</v>
      </c>
      <c r="K560" s="5" t="s">
        <v>3824</v>
      </c>
    </row>
    <row r="561" spans="1:11" ht="135" x14ac:dyDescent="0.25">
      <c r="A561" s="2"/>
      <c r="B561" s="8" t="s">
        <v>19</v>
      </c>
      <c r="C561" s="2" t="s">
        <v>20</v>
      </c>
      <c r="D561" s="2" t="s">
        <v>3825</v>
      </c>
      <c r="E561" s="2" t="s">
        <v>3826</v>
      </c>
      <c r="F561" s="4" t="s">
        <v>3827</v>
      </c>
      <c r="G561" s="4" t="s">
        <v>3828</v>
      </c>
      <c r="H561" s="4" t="s">
        <v>3829</v>
      </c>
      <c r="I561" s="4" t="s">
        <v>42</v>
      </c>
      <c r="J561" s="2" t="s">
        <v>3830</v>
      </c>
      <c r="K561" s="5" t="s">
        <v>3831</v>
      </c>
    </row>
    <row r="562" spans="1:11" ht="150" x14ac:dyDescent="0.25">
      <c r="A562" s="2"/>
      <c r="B562" s="8" t="s">
        <v>19</v>
      </c>
      <c r="C562" s="2" t="s">
        <v>20</v>
      </c>
      <c r="D562" s="2" t="s">
        <v>3832</v>
      </c>
      <c r="E562" s="2" t="s">
        <v>3833</v>
      </c>
      <c r="F562" s="4" t="s">
        <v>2796</v>
      </c>
      <c r="G562" s="4" t="s">
        <v>3834</v>
      </c>
      <c r="H562" s="4" t="s">
        <v>3835</v>
      </c>
      <c r="I562" s="4" t="s">
        <v>42</v>
      </c>
      <c r="J562" s="2" t="s">
        <v>3836</v>
      </c>
      <c r="K562" s="5" t="s">
        <v>3837</v>
      </c>
    </row>
    <row r="563" spans="1:11" ht="240" x14ac:dyDescent="0.25">
      <c r="A563" s="2"/>
      <c r="B563" s="8" t="s">
        <v>19</v>
      </c>
      <c r="C563" s="2" t="s">
        <v>20</v>
      </c>
      <c r="D563" s="2" t="s">
        <v>3838</v>
      </c>
      <c r="E563" s="2" t="s">
        <v>3839</v>
      </c>
      <c r="F563" s="4" t="s">
        <v>3840</v>
      </c>
      <c r="G563" s="4" t="s">
        <v>3841</v>
      </c>
      <c r="H563" s="4" t="s">
        <v>3842</v>
      </c>
      <c r="I563" s="4" t="s">
        <v>26</v>
      </c>
      <c r="J563" s="2" t="s">
        <v>3843</v>
      </c>
      <c r="K563" s="5" t="s">
        <v>3844</v>
      </c>
    </row>
    <row r="564" spans="1:11" ht="210" x14ac:dyDescent="0.25">
      <c r="A564" s="2"/>
      <c r="B564" s="8" t="s">
        <v>100</v>
      </c>
      <c r="C564" s="2" t="s">
        <v>20</v>
      </c>
      <c r="D564" s="2" t="s">
        <v>3845</v>
      </c>
      <c r="E564" s="2" t="s">
        <v>3846</v>
      </c>
      <c r="F564" s="4" t="s">
        <v>3847</v>
      </c>
      <c r="G564" s="4" t="s">
        <v>3848</v>
      </c>
      <c r="H564" s="4" t="s">
        <v>3849</v>
      </c>
      <c r="I564" s="4" t="s">
        <v>42</v>
      </c>
      <c r="J564" s="2" t="s">
        <v>3850</v>
      </c>
      <c r="K564" s="5" t="s">
        <v>3851</v>
      </c>
    </row>
    <row r="565" spans="1:11" ht="135" x14ac:dyDescent="0.25">
      <c r="A565" s="2"/>
      <c r="B565" s="8" t="s">
        <v>19</v>
      </c>
      <c r="C565" s="2" t="s">
        <v>20</v>
      </c>
      <c r="D565" s="2" t="s">
        <v>3852</v>
      </c>
      <c r="E565" s="2" t="s">
        <v>3853</v>
      </c>
      <c r="F565" s="4" t="s">
        <v>3854</v>
      </c>
      <c r="G565" s="4" t="s">
        <v>3855</v>
      </c>
      <c r="H565" s="4" t="s">
        <v>3856</v>
      </c>
      <c r="I565" s="4" t="s">
        <v>26</v>
      </c>
      <c r="J565" s="2" t="s">
        <v>3857</v>
      </c>
      <c r="K565" s="5" t="s">
        <v>3858</v>
      </c>
    </row>
    <row r="566" spans="1:11" ht="180" x14ac:dyDescent="0.25">
      <c r="A566" s="2"/>
      <c r="B566" s="8" t="s">
        <v>100</v>
      </c>
      <c r="C566" s="2" t="s">
        <v>20</v>
      </c>
      <c r="D566" s="2" t="s">
        <v>3859</v>
      </c>
      <c r="E566" s="2" t="s">
        <v>3860</v>
      </c>
      <c r="F566" s="4" t="s">
        <v>3861</v>
      </c>
      <c r="G566" s="4" t="s">
        <v>3862</v>
      </c>
      <c r="H566" s="4" t="s">
        <v>3863</v>
      </c>
      <c r="I566" s="4" t="s">
        <v>42</v>
      </c>
      <c r="J566" s="2" t="s">
        <v>3864</v>
      </c>
      <c r="K566" s="5" t="s">
        <v>3865</v>
      </c>
    </row>
    <row r="567" spans="1:11" ht="150" x14ac:dyDescent="0.25">
      <c r="A567" s="8" t="s">
        <v>11</v>
      </c>
      <c r="B567" s="8">
        <v>1</v>
      </c>
      <c r="C567" s="2" t="s">
        <v>11</v>
      </c>
      <c r="D567" s="2" t="s">
        <v>3866</v>
      </c>
      <c r="E567" s="2" t="s">
        <v>3867</v>
      </c>
      <c r="F567" s="4" t="s">
        <v>3868</v>
      </c>
      <c r="G567" s="4" t="s">
        <v>3869</v>
      </c>
      <c r="H567" s="4" t="s">
        <v>3870</v>
      </c>
      <c r="I567" s="4" t="s">
        <v>42</v>
      </c>
      <c r="J567" s="2" t="s">
        <v>3871</v>
      </c>
      <c r="K567" s="5" t="s">
        <v>3872</v>
      </c>
    </row>
    <row r="568" spans="1:11" ht="105" x14ac:dyDescent="0.25">
      <c r="A568" s="2"/>
      <c r="B568" s="8" t="s">
        <v>19</v>
      </c>
      <c r="C568" s="2" t="s">
        <v>20</v>
      </c>
      <c r="D568" s="2" t="s">
        <v>3873</v>
      </c>
      <c r="E568" s="2" t="s">
        <v>3874</v>
      </c>
      <c r="F568" s="4" t="s">
        <v>3875</v>
      </c>
      <c r="G568" s="4" t="s">
        <v>3876</v>
      </c>
      <c r="H568" s="4" t="s">
        <v>3877</v>
      </c>
      <c r="I568" s="4" t="s">
        <v>42</v>
      </c>
      <c r="J568" s="2" t="s">
        <v>3878</v>
      </c>
      <c r="K568" s="5" t="s">
        <v>3879</v>
      </c>
    </row>
    <row r="569" spans="1:11" ht="240" x14ac:dyDescent="0.25">
      <c r="A569" s="8" t="s">
        <v>11</v>
      </c>
      <c r="B569" s="8">
        <v>1</v>
      </c>
      <c r="C569" s="2" t="s">
        <v>11</v>
      </c>
      <c r="D569" s="2" t="s">
        <v>3880</v>
      </c>
      <c r="E569" s="2" t="s">
        <v>3881</v>
      </c>
      <c r="F569" s="4" t="s">
        <v>3882</v>
      </c>
      <c r="G569" s="4" t="s">
        <v>3883</v>
      </c>
      <c r="H569" s="4" t="s">
        <v>3884</v>
      </c>
      <c r="I569" s="4" t="s">
        <v>26</v>
      </c>
      <c r="J569" s="2" t="s">
        <v>3885</v>
      </c>
      <c r="K569" s="5" t="s">
        <v>3886</v>
      </c>
    </row>
    <row r="570" spans="1:11" ht="150" x14ac:dyDescent="0.25">
      <c r="A570" s="2"/>
      <c r="B570" s="8" t="s">
        <v>19</v>
      </c>
      <c r="C570" s="2" t="s">
        <v>20</v>
      </c>
      <c r="D570" s="2" t="s">
        <v>3887</v>
      </c>
      <c r="E570" s="2" t="s">
        <v>3406</v>
      </c>
      <c r="F570" s="4" t="s">
        <v>3888</v>
      </c>
      <c r="G570" s="4" t="s">
        <v>3889</v>
      </c>
      <c r="H570" s="4" t="s">
        <v>3890</v>
      </c>
      <c r="I570" s="4" t="s">
        <v>42</v>
      </c>
      <c r="J570" s="2" t="s">
        <v>3891</v>
      </c>
      <c r="K570" s="5" t="s">
        <v>3892</v>
      </c>
    </row>
    <row r="571" spans="1:11" ht="135" x14ac:dyDescent="0.25">
      <c r="A571" s="2"/>
      <c r="B571" s="8" t="s">
        <v>100</v>
      </c>
      <c r="C571" s="2" t="s">
        <v>20</v>
      </c>
      <c r="D571" s="2" t="s">
        <v>3893</v>
      </c>
      <c r="E571" s="2" t="s">
        <v>3894</v>
      </c>
      <c r="F571" s="4" t="s">
        <v>3895</v>
      </c>
      <c r="G571" s="4" t="s">
        <v>3896</v>
      </c>
      <c r="H571" s="4" t="s">
        <v>3897</v>
      </c>
      <c r="I571" s="4" t="s">
        <v>42</v>
      </c>
      <c r="J571" s="2" t="s">
        <v>3898</v>
      </c>
      <c r="K571" s="5" t="s">
        <v>3899</v>
      </c>
    </row>
    <row r="572" spans="1:11" ht="135" x14ac:dyDescent="0.25">
      <c r="A572" s="2"/>
      <c r="B572" s="8" t="s">
        <v>100</v>
      </c>
      <c r="C572" s="2" t="s">
        <v>20</v>
      </c>
      <c r="D572" s="2" t="s">
        <v>3900</v>
      </c>
      <c r="E572" s="2" t="s">
        <v>3901</v>
      </c>
      <c r="F572" s="4" t="s">
        <v>3902</v>
      </c>
      <c r="G572" s="4" t="s">
        <v>3903</v>
      </c>
      <c r="H572" s="4" t="s">
        <v>3904</v>
      </c>
      <c r="I572" s="4" t="s">
        <v>26</v>
      </c>
      <c r="J572" s="2" t="s">
        <v>3905</v>
      </c>
      <c r="K572" s="5" t="s">
        <v>3906</v>
      </c>
    </row>
    <row r="573" spans="1:11" ht="195" x14ac:dyDescent="0.25">
      <c r="B573" s="8" t="s">
        <v>74</v>
      </c>
      <c r="C573" s="2" t="s">
        <v>20</v>
      </c>
      <c r="D573" s="2" t="s">
        <v>3907</v>
      </c>
      <c r="F573" s="4" t="s">
        <v>3908</v>
      </c>
      <c r="G573" s="7" t="s">
        <v>3909</v>
      </c>
      <c r="I573" s="4" t="s">
        <v>42</v>
      </c>
      <c r="K573" s="13" t="s">
        <v>3910</v>
      </c>
    </row>
    <row r="574" spans="1:11" x14ac:dyDescent="0.25">
      <c r="B574" s="8" t="s">
        <v>74</v>
      </c>
      <c r="C574" s="2" t="s">
        <v>20</v>
      </c>
      <c r="D574" s="2" t="s">
        <v>3911</v>
      </c>
      <c r="F574" s="4" t="s">
        <v>3912</v>
      </c>
      <c r="G574" s="4" t="s">
        <v>3913</v>
      </c>
      <c r="K574" s="5"/>
    </row>
    <row r="575" spans="1:11" ht="105" x14ac:dyDescent="0.25">
      <c r="A575" s="2"/>
      <c r="B575" s="8" t="s">
        <v>52</v>
      </c>
      <c r="C575" s="2" t="s">
        <v>20</v>
      </c>
      <c r="D575" s="2" t="s">
        <v>3914</v>
      </c>
      <c r="E575" s="2" t="s">
        <v>3915</v>
      </c>
      <c r="F575" s="4" t="s">
        <v>3916</v>
      </c>
      <c r="G575" s="4" t="s">
        <v>3917</v>
      </c>
      <c r="H575" s="4" t="s">
        <v>3918</v>
      </c>
      <c r="I575" s="4" t="s">
        <v>42</v>
      </c>
      <c r="J575" s="2" t="s">
        <v>3919</v>
      </c>
      <c r="K575" s="5" t="s">
        <v>3920</v>
      </c>
    </row>
    <row r="576" spans="1:11" ht="285" x14ac:dyDescent="0.25">
      <c r="A576" s="8" t="s">
        <v>20</v>
      </c>
      <c r="B576" s="8">
        <v>2</v>
      </c>
      <c r="C576" s="8" t="s">
        <v>11</v>
      </c>
      <c r="D576" s="2" t="s">
        <v>3921</v>
      </c>
      <c r="E576" s="2" t="s">
        <v>3922</v>
      </c>
      <c r="F576" s="4" t="s">
        <v>3923</v>
      </c>
      <c r="G576" s="4" t="s">
        <v>3924</v>
      </c>
      <c r="H576" s="4" t="s">
        <v>3925</v>
      </c>
      <c r="I576" s="4" t="s">
        <v>42</v>
      </c>
      <c r="K576" s="13" t="s">
        <v>3926</v>
      </c>
    </row>
    <row r="577" spans="1:11" ht="150" x14ac:dyDescent="0.25">
      <c r="A577" s="2"/>
      <c r="B577" s="8" t="s">
        <v>100</v>
      </c>
      <c r="C577" s="2" t="s">
        <v>20</v>
      </c>
      <c r="D577" s="2" t="s">
        <v>3927</v>
      </c>
      <c r="E577" s="2" t="s">
        <v>3928</v>
      </c>
      <c r="F577" s="4" t="s">
        <v>3929</v>
      </c>
      <c r="G577" s="4" t="s">
        <v>3930</v>
      </c>
      <c r="H577" s="4" t="s">
        <v>3931</v>
      </c>
      <c r="I577" s="4" t="s">
        <v>42</v>
      </c>
      <c r="J577" s="2" t="s">
        <v>3932</v>
      </c>
      <c r="K577" s="5" t="s">
        <v>3933</v>
      </c>
    </row>
    <row r="578" spans="1:11" ht="285" x14ac:dyDescent="0.25">
      <c r="A578" s="2"/>
      <c r="B578" s="8" t="s">
        <v>100</v>
      </c>
      <c r="C578" s="2" t="s">
        <v>20</v>
      </c>
      <c r="D578" s="2" t="s">
        <v>3934</v>
      </c>
      <c r="E578" s="2" t="s">
        <v>3935</v>
      </c>
      <c r="F578" s="4" t="s">
        <v>3936</v>
      </c>
      <c r="G578" s="4" t="s">
        <v>3937</v>
      </c>
      <c r="H578" s="4" t="s">
        <v>3938</v>
      </c>
      <c r="I578" s="4" t="s">
        <v>26</v>
      </c>
      <c r="J578" s="2" t="s">
        <v>3939</v>
      </c>
      <c r="K578" s="5" t="s">
        <v>3940</v>
      </c>
    </row>
    <row r="579" spans="1:11" ht="135" x14ac:dyDescent="0.25">
      <c r="A579" s="8" t="s">
        <v>11</v>
      </c>
      <c r="B579" s="8">
        <v>1</v>
      </c>
      <c r="C579" s="2" t="s">
        <v>11</v>
      </c>
      <c r="D579" s="2" t="s">
        <v>3941</v>
      </c>
      <c r="E579" s="2" t="s">
        <v>3942</v>
      </c>
      <c r="F579" s="4" t="s">
        <v>3943</v>
      </c>
      <c r="G579" s="4" t="s">
        <v>3944</v>
      </c>
      <c r="H579" s="4" t="s">
        <v>3945</v>
      </c>
      <c r="I579" s="4" t="s">
        <v>42</v>
      </c>
      <c r="J579" s="2" t="s">
        <v>3946</v>
      </c>
      <c r="K579" s="5" t="s">
        <v>3947</v>
      </c>
    </row>
    <row r="580" spans="1:11" ht="409.5" x14ac:dyDescent="0.25">
      <c r="A580" s="2"/>
      <c r="B580" s="8" t="s">
        <v>1398</v>
      </c>
      <c r="C580" s="2" t="s">
        <v>20</v>
      </c>
      <c r="D580" s="2" t="s">
        <v>3948</v>
      </c>
      <c r="E580" s="2" t="s">
        <v>3949</v>
      </c>
      <c r="F580" s="4" t="s">
        <v>3950</v>
      </c>
      <c r="G580" s="4" t="s">
        <v>3951</v>
      </c>
      <c r="H580" s="4" t="s">
        <v>3952</v>
      </c>
      <c r="I580" s="4" t="s">
        <v>42</v>
      </c>
      <c r="J580" s="2" t="s">
        <v>3953</v>
      </c>
      <c r="K580" s="5" t="s">
        <v>3954</v>
      </c>
    </row>
    <row r="581" spans="1:11" ht="225" x14ac:dyDescent="0.25">
      <c r="A581" s="2"/>
      <c r="B581" s="8" t="s">
        <v>100</v>
      </c>
      <c r="C581" s="2" t="s">
        <v>20</v>
      </c>
      <c r="D581" s="2" t="s">
        <v>3955</v>
      </c>
      <c r="E581" s="2" t="s">
        <v>3956</v>
      </c>
      <c r="F581" s="4" t="s">
        <v>3957</v>
      </c>
      <c r="G581" s="4" t="s">
        <v>3958</v>
      </c>
      <c r="H581" s="4" t="s">
        <v>3959</v>
      </c>
      <c r="I581" s="4" t="s">
        <v>26</v>
      </c>
      <c r="J581" s="2" t="s">
        <v>3960</v>
      </c>
      <c r="K581" s="5" t="s">
        <v>3961</v>
      </c>
    </row>
    <row r="582" spans="1:11" ht="210" x14ac:dyDescent="0.25">
      <c r="A582" s="8" t="s">
        <v>11</v>
      </c>
      <c r="B582" s="8">
        <v>1</v>
      </c>
      <c r="C582" s="2" t="s">
        <v>11</v>
      </c>
      <c r="D582" s="2" t="s">
        <v>3962</v>
      </c>
      <c r="E582" s="2" t="s">
        <v>3963</v>
      </c>
      <c r="F582" s="4" t="s">
        <v>3964</v>
      </c>
      <c r="G582" s="4" t="s">
        <v>3965</v>
      </c>
      <c r="H582" s="4" t="s">
        <v>3966</v>
      </c>
      <c r="I582" s="4" t="s">
        <v>42</v>
      </c>
      <c r="J582" s="2" t="s">
        <v>3967</v>
      </c>
      <c r="K582" s="5" t="s">
        <v>3968</v>
      </c>
    </row>
    <row r="583" spans="1:11" ht="195" x14ac:dyDescent="0.25">
      <c r="A583" s="8" t="s">
        <v>11</v>
      </c>
      <c r="B583" s="8">
        <v>2</v>
      </c>
      <c r="C583" s="8" t="s">
        <v>11</v>
      </c>
      <c r="D583" s="2" t="s">
        <v>3969</v>
      </c>
      <c r="E583" s="2" t="s">
        <v>3970</v>
      </c>
      <c r="F583" s="4" t="s">
        <v>3971</v>
      </c>
      <c r="G583" s="4" t="s">
        <v>3972</v>
      </c>
      <c r="H583" s="4" t="s">
        <v>3973</v>
      </c>
      <c r="I583" s="4" t="s">
        <v>42</v>
      </c>
      <c r="K583" s="13" t="s">
        <v>3974</v>
      </c>
    </row>
    <row r="584" spans="1:11" ht="150" x14ac:dyDescent="0.25">
      <c r="A584" s="8" t="s">
        <v>11</v>
      </c>
      <c r="B584" s="8">
        <v>1</v>
      </c>
      <c r="C584" s="2" t="s">
        <v>11</v>
      </c>
      <c r="D584" s="2" t="s">
        <v>3975</v>
      </c>
      <c r="E584" s="2" t="s">
        <v>3976</v>
      </c>
      <c r="F584" s="4" t="s">
        <v>3977</v>
      </c>
      <c r="G584" s="4" t="s">
        <v>3978</v>
      </c>
      <c r="H584" s="4" t="s">
        <v>3979</v>
      </c>
      <c r="I584" s="4" t="s">
        <v>42</v>
      </c>
      <c r="J584" s="2" t="s">
        <v>3980</v>
      </c>
      <c r="K584" s="5" t="s">
        <v>3981</v>
      </c>
    </row>
    <row r="585" spans="1:11" ht="135" x14ac:dyDescent="0.25">
      <c r="A585" s="8" t="s">
        <v>426</v>
      </c>
      <c r="B585" s="8">
        <v>1</v>
      </c>
      <c r="C585" s="2" t="s">
        <v>11</v>
      </c>
      <c r="D585" s="2" t="s">
        <v>3982</v>
      </c>
      <c r="E585" s="2" t="s">
        <v>3983</v>
      </c>
      <c r="F585" s="4" t="s">
        <v>3984</v>
      </c>
      <c r="G585" s="4" t="s">
        <v>3985</v>
      </c>
      <c r="H585" s="4" t="s">
        <v>3986</v>
      </c>
      <c r="I585" s="4" t="s">
        <v>42</v>
      </c>
      <c r="K585" s="5" t="s">
        <v>3987</v>
      </c>
    </row>
    <row r="586" spans="1:11" ht="195" x14ac:dyDescent="0.25">
      <c r="A586" s="2"/>
      <c r="B586" s="8" t="s">
        <v>74</v>
      </c>
      <c r="C586" s="2" t="s">
        <v>20</v>
      </c>
      <c r="D586" s="2" t="s">
        <v>3988</v>
      </c>
      <c r="F586" s="4" t="s">
        <v>3989</v>
      </c>
      <c r="G586" s="4" t="s">
        <v>3990</v>
      </c>
      <c r="I586" s="4" t="s">
        <v>42</v>
      </c>
      <c r="K586" s="5" t="s">
        <v>3991</v>
      </c>
    </row>
    <row r="587" spans="1:11" ht="195" x14ac:dyDescent="0.25">
      <c r="A587" s="2"/>
      <c r="B587" s="8" t="s">
        <v>52</v>
      </c>
      <c r="C587" s="2" t="s">
        <v>20</v>
      </c>
      <c r="D587" s="2" t="s">
        <v>3992</v>
      </c>
      <c r="E587" s="2" t="s">
        <v>3993</v>
      </c>
      <c r="F587" s="4" t="s">
        <v>3994</v>
      </c>
      <c r="G587" s="4" t="s">
        <v>3995</v>
      </c>
      <c r="H587" s="4" t="s">
        <v>3996</v>
      </c>
      <c r="I587" s="4" t="s">
        <v>26</v>
      </c>
      <c r="J587" s="2" t="s">
        <v>3997</v>
      </c>
      <c r="K587" s="5" t="s">
        <v>3998</v>
      </c>
    </row>
    <row r="588" spans="1:11" ht="180" x14ac:dyDescent="0.25">
      <c r="A588" s="2"/>
      <c r="B588" s="8" t="s">
        <v>19</v>
      </c>
      <c r="C588" s="2" t="s">
        <v>20</v>
      </c>
      <c r="D588" s="2" t="s">
        <v>3999</v>
      </c>
      <c r="E588" s="2" t="s">
        <v>4000</v>
      </c>
      <c r="F588" s="4" t="s">
        <v>4001</v>
      </c>
      <c r="G588" s="4" t="s">
        <v>4002</v>
      </c>
      <c r="H588" s="4" t="s">
        <v>4003</v>
      </c>
      <c r="I588" s="4" t="s">
        <v>42</v>
      </c>
      <c r="J588" s="2" t="s">
        <v>4004</v>
      </c>
      <c r="K588" s="5" t="s">
        <v>4005</v>
      </c>
    </row>
    <row r="589" spans="1:11" ht="150" x14ac:dyDescent="0.25">
      <c r="A589" s="2"/>
      <c r="B589" s="8" t="s">
        <v>100</v>
      </c>
      <c r="C589" s="2" t="s">
        <v>20</v>
      </c>
      <c r="D589" s="2" t="s">
        <v>4006</v>
      </c>
      <c r="E589" s="2" t="s">
        <v>4007</v>
      </c>
      <c r="F589" s="4" t="s">
        <v>4008</v>
      </c>
      <c r="G589" s="4" t="s">
        <v>4009</v>
      </c>
      <c r="H589" s="4" t="s">
        <v>4010</v>
      </c>
      <c r="I589" s="4" t="s">
        <v>42</v>
      </c>
      <c r="J589" s="2" t="s">
        <v>4011</v>
      </c>
      <c r="K589" s="5" t="s">
        <v>4012</v>
      </c>
    </row>
    <row r="590" spans="1:11" ht="150" x14ac:dyDescent="0.25">
      <c r="A590" s="2"/>
      <c r="B590" s="8" t="s">
        <v>52</v>
      </c>
      <c r="C590" s="2" t="s">
        <v>20</v>
      </c>
      <c r="D590" s="2" t="s">
        <v>4013</v>
      </c>
      <c r="E590" s="2" t="s">
        <v>4014</v>
      </c>
      <c r="F590" s="4" t="s">
        <v>4015</v>
      </c>
      <c r="G590" s="4" t="s">
        <v>4016</v>
      </c>
      <c r="H590" s="4" t="s">
        <v>4017</v>
      </c>
      <c r="I590" s="4" t="s">
        <v>42</v>
      </c>
      <c r="J590" s="2" t="s">
        <v>4018</v>
      </c>
      <c r="K590" s="5" t="s">
        <v>4019</v>
      </c>
    </row>
    <row r="591" spans="1:11" ht="120" x14ac:dyDescent="0.25">
      <c r="A591" s="8" t="s">
        <v>11</v>
      </c>
      <c r="B591" s="8">
        <v>1</v>
      </c>
      <c r="C591" s="2" t="s">
        <v>11</v>
      </c>
      <c r="D591" s="2" t="s">
        <v>4020</v>
      </c>
      <c r="E591" s="2" t="s">
        <v>4021</v>
      </c>
      <c r="F591" s="4" t="s">
        <v>4022</v>
      </c>
      <c r="G591" s="4" t="s">
        <v>4023</v>
      </c>
      <c r="H591" s="4" t="s">
        <v>4024</v>
      </c>
      <c r="I591" s="4" t="s">
        <v>42</v>
      </c>
      <c r="J591" s="2" t="s">
        <v>4025</v>
      </c>
      <c r="K591" s="5" t="s">
        <v>4026</v>
      </c>
    </row>
    <row r="592" spans="1:11" ht="240" x14ac:dyDescent="0.25">
      <c r="A592" s="8" t="s">
        <v>11</v>
      </c>
      <c r="B592" s="8">
        <v>3</v>
      </c>
      <c r="C592" s="2" t="s">
        <v>11</v>
      </c>
      <c r="D592" s="2" t="s">
        <v>4027</v>
      </c>
      <c r="E592" s="2" t="s">
        <v>4028</v>
      </c>
      <c r="F592" s="4" t="s">
        <v>4029</v>
      </c>
      <c r="G592" s="4" t="s">
        <v>4030</v>
      </c>
      <c r="H592" s="4" t="s">
        <v>4031</v>
      </c>
      <c r="I592" s="4" t="s">
        <v>42</v>
      </c>
      <c r="J592" s="2" t="s">
        <v>4032</v>
      </c>
      <c r="K592" s="13" t="s">
        <v>4033</v>
      </c>
    </row>
    <row r="593" spans="1:11" ht="195" x14ac:dyDescent="0.25">
      <c r="A593" s="2"/>
      <c r="B593" s="8" t="s">
        <v>74</v>
      </c>
      <c r="C593" s="2" t="s">
        <v>20</v>
      </c>
      <c r="D593" s="2" t="s">
        <v>4034</v>
      </c>
      <c r="F593" s="4" t="s">
        <v>4035</v>
      </c>
      <c r="G593" s="4" t="s">
        <v>4036</v>
      </c>
      <c r="I593" s="4" t="s">
        <v>26</v>
      </c>
      <c r="K593" s="5" t="s">
        <v>4037</v>
      </c>
    </row>
    <row r="594" spans="1:11" ht="105" x14ac:dyDescent="0.25">
      <c r="A594" s="2"/>
      <c r="B594" s="8" t="s">
        <v>74</v>
      </c>
      <c r="C594" s="2" t="s">
        <v>20</v>
      </c>
      <c r="D594" s="2" t="s">
        <v>4038</v>
      </c>
      <c r="F594" s="4" t="s">
        <v>4039</v>
      </c>
      <c r="G594" s="4" t="s">
        <v>4040</v>
      </c>
      <c r="I594" s="4" t="s">
        <v>42</v>
      </c>
      <c r="K594" s="5" t="s">
        <v>4041</v>
      </c>
    </row>
    <row r="595" spans="1:11" ht="150" x14ac:dyDescent="0.25">
      <c r="A595" s="8" t="s">
        <v>11</v>
      </c>
      <c r="B595" s="8">
        <v>1</v>
      </c>
      <c r="C595" s="2" t="s">
        <v>11</v>
      </c>
      <c r="D595" s="2" t="s">
        <v>4042</v>
      </c>
      <c r="E595" s="2" t="s">
        <v>4043</v>
      </c>
      <c r="F595" s="4" t="s">
        <v>4044</v>
      </c>
      <c r="G595" s="7" t="s">
        <v>4045</v>
      </c>
      <c r="H595" s="4" t="s">
        <v>4046</v>
      </c>
      <c r="I595" s="4" t="s">
        <v>26</v>
      </c>
      <c r="J595" s="2" t="s">
        <v>4047</v>
      </c>
      <c r="K595" s="5" t="s">
        <v>4048</v>
      </c>
    </row>
    <row r="596" spans="1:11" ht="360" x14ac:dyDescent="0.25">
      <c r="A596" s="2"/>
      <c r="B596" s="8" t="s">
        <v>52</v>
      </c>
      <c r="C596" s="2" t="s">
        <v>20</v>
      </c>
      <c r="D596" s="2" t="s">
        <v>4049</v>
      </c>
      <c r="E596" s="2" t="s">
        <v>4050</v>
      </c>
      <c r="F596" s="4" t="s">
        <v>4051</v>
      </c>
      <c r="G596" s="4" t="s">
        <v>4052</v>
      </c>
      <c r="H596" s="4" t="s">
        <v>4053</v>
      </c>
      <c r="I596" s="4" t="s">
        <v>42</v>
      </c>
      <c r="J596" s="2" t="s">
        <v>4054</v>
      </c>
      <c r="K596" s="5" t="s">
        <v>4055</v>
      </c>
    </row>
    <row r="597" spans="1:11" ht="195" x14ac:dyDescent="0.25">
      <c r="A597" s="2"/>
      <c r="B597" s="8" t="s">
        <v>100</v>
      </c>
      <c r="C597" s="2" t="s">
        <v>20</v>
      </c>
      <c r="D597" s="2" t="s">
        <v>4056</v>
      </c>
      <c r="E597" s="2" t="s">
        <v>4057</v>
      </c>
      <c r="F597" s="4" t="s">
        <v>4058</v>
      </c>
      <c r="G597" s="4" t="s">
        <v>4059</v>
      </c>
      <c r="H597" s="4" t="s">
        <v>4060</v>
      </c>
      <c r="I597" s="4" t="s">
        <v>42</v>
      </c>
      <c r="J597" s="2" t="s">
        <v>4061</v>
      </c>
      <c r="K597" s="5" t="s">
        <v>4062</v>
      </c>
    </row>
    <row r="598" spans="1:11" ht="90" x14ac:dyDescent="0.25">
      <c r="A598" s="2"/>
      <c r="B598" s="8" t="s">
        <v>19</v>
      </c>
      <c r="C598" s="2" t="s">
        <v>20</v>
      </c>
      <c r="D598" s="2" t="s">
        <v>4063</v>
      </c>
      <c r="E598" s="2" t="s">
        <v>4064</v>
      </c>
      <c r="F598" s="4" t="s">
        <v>4065</v>
      </c>
      <c r="G598" s="4" t="s">
        <v>4066</v>
      </c>
      <c r="H598" s="4" t="s">
        <v>4067</v>
      </c>
      <c r="I598" s="4" t="s">
        <v>42</v>
      </c>
      <c r="K598" s="5" t="s">
        <v>4068</v>
      </c>
    </row>
    <row r="599" spans="1:11" ht="240" x14ac:dyDescent="0.25">
      <c r="A599" s="2"/>
      <c r="B599" s="8" t="s">
        <v>74</v>
      </c>
      <c r="C599" s="2" t="s">
        <v>20</v>
      </c>
      <c r="D599" s="2" t="s">
        <v>4069</v>
      </c>
      <c r="F599" s="4" t="s">
        <v>4070</v>
      </c>
      <c r="G599" s="7" t="s">
        <v>4071</v>
      </c>
      <c r="I599" s="4" t="s">
        <v>26</v>
      </c>
      <c r="K599" s="5" t="s">
        <v>4072</v>
      </c>
    </row>
    <row r="600" spans="1:11" ht="210" x14ac:dyDescent="0.25">
      <c r="A600" s="2"/>
      <c r="B600" s="8" t="s">
        <v>19</v>
      </c>
      <c r="C600" s="2" t="s">
        <v>20</v>
      </c>
      <c r="D600" s="2" t="s">
        <v>4073</v>
      </c>
      <c r="E600" s="2" t="s">
        <v>4074</v>
      </c>
      <c r="F600" s="4" t="s">
        <v>4075</v>
      </c>
      <c r="G600" s="4" t="s">
        <v>4076</v>
      </c>
      <c r="H600" s="4" t="s">
        <v>4077</v>
      </c>
      <c r="I600" s="4" t="s">
        <v>26</v>
      </c>
      <c r="J600" s="2" t="s">
        <v>4078</v>
      </c>
      <c r="K600" s="5" t="s">
        <v>4079</v>
      </c>
    </row>
    <row r="601" spans="1:11" ht="255" x14ac:dyDescent="0.25">
      <c r="A601" s="2"/>
      <c r="B601" s="8" t="s">
        <v>19</v>
      </c>
      <c r="C601" s="2" t="s">
        <v>20</v>
      </c>
      <c r="D601" s="2" t="s">
        <v>4080</v>
      </c>
      <c r="E601" s="2" t="s">
        <v>4081</v>
      </c>
      <c r="F601" s="4" t="s">
        <v>4082</v>
      </c>
      <c r="G601" s="4" t="s">
        <v>4083</v>
      </c>
      <c r="H601" s="4" t="s">
        <v>4084</v>
      </c>
      <c r="I601" s="4" t="s">
        <v>42</v>
      </c>
      <c r="K601" s="5" t="s">
        <v>4085</v>
      </c>
    </row>
    <row r="602" spans="1:11" ht="409.5" x14ac:dyDescent="0.25">
      <c r="A602" s="2"/>
      <c r="B602" s="8" t="s">
        <v>100</v>
      </c>
      <c r="C602" s="2" t="s">
        <v>20</v>
      </c>
      <c r="D602" s="2" t="s">
        <v>4086</v>
      </c>
      <c r="E602" s="2" t="s">
        <v>4087</v>
      </c>
      <c r="F602" s="4" t="s">
        <v>4088</v>
      </c>
      <c r="G602" s="4" t="s">
        <v>4089</v>
      </c>
      <c r="H602" s="4" t="s">
        <v>4090</v>
      </c>
      <c r="I602" s="4" t="s">
        <v>26</v>
      </c>
      <c r="J602" s="2" t="s">
        <v>4091</v>
      </c>
      <c r="K602" s="5" t="s">
        <v>4092</v>
      </c>
    </row>
    <row r="603" spans="1:11" ht="210" x14ac:dyDescent="0.25">
      <c r="A603" s="2"/>
      <c r="B603" s="8" t="s">
        <v>19</v>
      </c>
      <c r="C603" s="2" t="s">
        <v>20</v>
      </c>
      <c r="D603" s="2" t="s">
        <v>4093</v>
      </c>
      <c r="E603" s="2" t="s">
        <v>4094</v>
      </c>
      <c r="F603" s="4" t="s">
        <v>4095</v>
      </c>
      <c r="G603" s="4" t="s">
        <v>4096</v>
      </c>
      <c r="H603" s="4" t="s">
        <v>4097</v>
      </c>
      <c r="I603" s="4" t="s">
        <v>42</v>
      </c>
      <c r="J603" s="2" t="s">
        <v>4098</v>
      </c>
      <c r="K603" s="5" t="s">
        <v>4099</v>
      </c>
    </row>
    <row r="604" spans="1:11" ht="195" x14ac:dyDescent="0.25">
      <c r="A604" s="2"/>
      <c r="B604" s="8" t="s">
        <v>19</v>
      </c>
      <c r="C604" s="2" t="s">
        <v>20</v>
      </c>
      <c r="D604" s="2" t="s">
        <v>4100</v>
      </c>
      <c r="E604" s="2" t="s">
        <v>4101</v>
      </c>
      <c r="F604" s="4" t="s">
        <v>4102</v>
      </c>
      <c r="G604" s="4" t="s">
        <v>4103</v>
      </c>
      <c r="H604" s="4" t="s">
        <v>4104</v>
      </c>
      <c r="I604" s="4" t="s">
        <v>42</v>
      </c>
      <c r="J604" s="2" t="s">
        <v>4105</v>
      </c>
      <c r="K604" s="5" t="s">
        <v>4106</v>
      </c>
    </row>
    <row r="605" spans="1:11" ht="409.5" x14ac:dyDescent="0.25">
      <c r="A605" s="2"/>
      <c r="B605" s="8" t="s">
        <v>100</v>
      </c>
      <c r="C605" s="2" t="s">
        <v>20</v>
      </c>
      <c r="D605" s="2" t="s">
        <v>4107</v>
      </c>
      <c r="E605" s="2" t="s">
        <v>4108</v>
      </c>
      <c r="F605" s="4" t="s">
        <v>4109</v>
      </c>
      <c r="G605" s="4" t="s">
        <v>4110</v>
      </c>
      <c r="H605" s="4" t="s">
        <v>4111</v>
      </c>
      <c r="I605" s="4" t="s">
        <v>42</v>
      </c>
      <c r="J605" s="2" t="s">
        <v>4112</v>
      </c>
      <c r="K605" s="5" t="s">
        <v>4113</v>
      </c>
    </row>
    <row r="606" spans="1:11" ht="180" x14ac:dyDescent="0.25">
      <c r="A606" s="8" t="s">
        <v>11</v>
      </c>
      <c r="B606" s="8">
        <v>1</v>
      </c>
      <c r="C606" s="2" t="s">
        <v>11</v>
      </c>
      <c r="D606" s="2" t="s">
        <v>4114</v>
      </c>
      <c r="E606" s="2" t="s">
        <v>4115</v>
      </c>
      <c r="F606" s="4" t="s">
        <v>4116</v>
      </c>
      <c r="G606" s="4" t="s">
        <v>4117</v>
      </c>
      <c r="H606" s="4" t="s">
        <v>4118</v>
      </c>
      <c r="I606" s="4" t="s">
        <v>42</v>
      </c>
      <c r="J606" s="2" t="s">
        <v>4119</v>
      </c>
      <c r="K606" s="5" t="s">
        <v>4120</v>
      </c>
    </row>
    <row r="607" spans="1:11" ht="105" x14ac:dyDescent="0.25">
      <c r="A607" s="2"/>
      <c r="B607" s="8" t="s">
        <v>100</v>
      </c>
      <c r="C607" s="2" t="s">
        <v>20</v>
      </c>
      <c r="D607" s="2" t="s">
        <v>4121</v>
      </c>
      <c r="E607" s="2" t="s">
        <v>4122</v>
      </c>
      <c r="F607" s="4" t="s">
        <v>4123</v>
      </c>
      <c r="G607" s="4" t="s">
        <v>4124</v>
      </c>
      <c r="H607" s="4" t="s">
        <v>4125</v>
      </c>
      <c r="I607" s="4" t="s">
        <v>42</v>
      </c>
      <c r="J607" s="2" t="s">
        <v>4126</v>
      </c>
      <c r="K607" s="5" t="s">
        <v>4127</v>
      </c>
    </row>
    <row r="608" spans="1:11" ht="120" x14ac:dyDescent="0.25">
      <c r="A608" s="8" t="s">
        <v>20</v>
      </c>
      <c r="B608" s="8">
        <v>1</v>
      </c>
      <c r="C608" s="2" t="s">
        <v>11</v>
      </c>
      <c r="D608" s="2" t="s">
        <v>4128</v>
      </c>
      <c r="E608" s="2" t="s">
        <v>4129</v>
      </c>
      <c r="F608" s="4" t="s">
        <v>4130</v>
      </c>
      <c r="G608" s="4" t="s">
        <v>4131</v>
      </c>
      <c r="H608" s="4" t="s">
        <v>4132</v>
      </c>
      <c r="I608" s="4" t="s">
        <v>42</v>
      </c>
      <c r="J608" s="2" t="s">
        <v>4133</v>
      </c>
      <c r="K608" s="5" t="s">
        <v>4134</v>
      </c>
    </row>
    <row r="609" spans="1:11" ht="150" x14ac:dyDescent="0.25">
      <c r="A609" s="2"/>
      <c r="B609" s="8" t="s">
        <v>100</v>
      </c>
      <c r="C609" s="2" t="s">
        <v>20</v>
      </c>
      <c r="D609" s="2" t="s">
        <v>4135</v>
      </c>
      <c r="E609" s="2" t="s">
        <v>4136</v>
      </c>
      <c r="F609" s="4" t="s">
        <v>4137</v>
      </c>
      <c r="G609" s="4" t="s">
        <v>4138</v>
      </c>
      <c r="H609" s="4" t="s">
        <v>4139</v>
      </c>
      <c r="I609" s="4" t="s">
        <v>26</v>
      </c>
      <c r="J609" s="2" t="s">
        <v>4140</v>
      </c>
      <c r="K609" s="5" t="s">
        <v>4141</v>
      </c>
    </row>
    <row r="610" spans="1:11" ht="180" x14ac:dyDescent="0.25">
      <c r="A610" s="2"/>
      <c r="B610" s="8" t="s">
        <v>1398</v>
      </c>
      <c r="C610" s="2" t="s">
        <v>20</v>
      </c>
      <c r="D610" s="2" t="s">
        <v>4142</v>
      </c>
      <c r="E610" s="2" t="s">
        <v>4143</v>
      </c>
      <c r="F610" s="4" t="s">
        <v>4144</v>
      </c>
      <c r="G610" s="4" t="s">
        <v>4145</v>
      </c>
      <c r="H610" s="4" t="s">
        <v>4146</v>
      </c>
      <c r="I610" s="4" t="s">
        <v>26</v>
      </c>
      <c r="J610" s="2" t="s">
        <v>4147</v>
      </c>
      <c r="K610" s="5" t="s">
        <v>4148</v>
      </c>
    </row>
    <row r="611" spans="1:11" ht="180" x14ac:dyDescent="0.25">
      <c r="A611" s="2"/>
      <c r="B611" s="8" t="s">
        <v>19</v>
      </c>
      <c r="C611" s="2" t="s">
        <v>20</v>
      </c>
      <c r="D611" s="2" t="s">
        <v>4149</v>
      </c>
      <c r="E611" s="2" t="s">
        <v>4150</v>
      </c>
      <c r="F611" s="4" t="s">
        <v>4151</v>
      </c>
      <c r="G611" s="4" t="s">
        <v>4152</v>
      </c>
      <c r="H611" s="4" t="s">
        <v>4153</v>
      </c>
      <c r="I611" s="4" t="s">
        <v>42</v>
      </c>
      <c r="J611" s="2" t="s">
        <v>4154</v>
      </c>
      <c r="K611" s="5" t="s">
        <v>4155</v>
      </c>
    </row>
    <row r="612" spans="1:11" ht="135" x14ac:dyDescent="0.25">
      <c r="A612" s="2"/>
      <c r="B612" s="8" t="s">
        <v>74</v>
      </c>
      <c r="C612" s="2" t="s">
        <v>20</v>
      </c>
      <c r="D612" s="2" t="s">
        <v>4156</v>
      </c>
      <c r="F612" s="4" t="s">
        <v>4157</v>
      </c>
      <c r="G612" s="7" t="s">
        <v>4158</v>
      </c>
      <c r="I612" s="4" t="s">
        <v>42</v>
      </c>
      <c r="K612" s="5" t="s">
        <v>4159</v>
      </c>
    </row>
    <row r="613" spans="1:11" ht="180" x14ac:dyDescent="0.25">
      <c r="A613" s="2"/>
      <c r="B613" s="8" t="s">
        <v>52</v>
      </c>
      <c r="C613" s="2" t="s">
        <v>20</v>
      </c>
      <c r="D613" s="2" t="s">
        <v>4160</v>
      </c>
      <c r="E613" s="2" t="s">
        <v>4161</v>
      </c>
      <c r="F613" s="4" t="s">
        <v>4162</v>
      </c>
      <c r="G613" s="4" t="s">
        <v>4163</v>
      </c>
      <c r="H613" s="4" t="s">
        <v>4164</v>
      </c>
      <c r="I613" s="4" t="s">
        <v>26</v>
      </c>
      <c r="J613" s="2" t="s">
        <v>4165</v>
      </c>
      <c r="K613" s="5" t="s">
        <v>4166</v>
      </c>
    </row>
    <row r="614" spans="1:11" ht="225" x14ac:dyDescent="0.25">
      <c r="A614" s="2"/>
      <c r="B614" s="8" t="s">
        <v>52</v>
      </c>
      <c r="C614" s="2" t="s">
        <v>20</v>
      </c>
      <c r="D614" s="2" t="s">
        <v>4167</v>
      </c>
      <c r="E614" s="2" t="s">
        <v>4168</v>
      </c>
      <c r="F614" s="4" t="s">
        <v>4169</v>
      </c>
      <c r="G614" s="4" t="s">
        <v>4170</v>
      </c>
      <c r="H614" s="4" t="s">
        <v>4171</v>
      </c>
      <c r="I614" s="4" t="s">
        <v>26</v>
      </c>
      <c r="J614" s="2" t="s">
        <v>4172</v>
      </c>
      <c r="K614" s="5" t="s">
        <v>4173</v>
      </c>
    </row>
    <row r="615" spans="1:11" ht="165" x14ac:dyDescent="0.25">
      <c r="A615" s="8" t="s">
        <v>11</v>
      </c>
      <c r="B615" s="8">
        <v>1</v>
      </c>
      <c r="C615" s="2" t="s">
        <v>11</v>
      </c>
      <c r="D615" s="2" t="s">
        <v>4174</v>
      </c>
      <c r="E615" s="2" t="s">
        <v>4175</v>
      </c>
      <c r="F615" s="4" t="s">
        <v>4176</v>
      </c>
      <c r="G615" s="4" t="s">
        <v>4177</v>
      </c>
      <c r="H615" s="4" t="s">
        <v>4178</v>
      </c>
      <c r="I615" s="4" t="s">
        <v>26</v>
      </c>
      <c r="K615" s="5" t="s">
        <v>4179</v>
      </c>
    </row>
    <row r="616" spans="1:11" ht="93.75" customHeight="1" x14ac:dyDescent="0.25">
      <c r="A616" s="8" t="s">
        <v>11</v>
      </c>
      <c r="B616" s="8">
        <v>2</v>
      </c>
      <c r="C616" s="8" t="s">
        <v>11</v>
      </c>
      <c r="D616" s="2" t="s">
        <v>4180</v>
      </c>
      <c r="E616" s="2" t="s">
        <v>4181</v>
      </c>
      <c r="F616" s="4" t="s">
        <v>4182</v>
      </c>
      <c r="G616" s="4" t="s">
        <v>4183</v>
      </c>
      <c r="H616" s="4" t="s">
        <v>4184</v>
      </c>
      <c r="I616" s="4" t="s">
        <v>42</v>
      </c>
      <c r="J616" s="2" t="s">
        <v>4185</v>
      </c>
      <c r="K616" s="13" t="s">
        <v>4186</v>
      </c>
    </row>
    <row r="617" spans="1:11" ht="165" x14ac:dyDescent="0.25">
      <c r="A617" s="2"/>
      <c r="B617" s="8" t="s">
        <v>19</v>
      </c>
      <c r="C617" s="2" t="s">
        <v>20</v>
      </c>
      <c r="D617" s="2" t="s">
        <v>4187</v>
      </c>
      <c r="E617" s="2" t="s">
        <v>4188</v>
      </c>
      <c r="F617" s="4" t="s">
        <v>4189</v>
      </c>
      <c r="G617" s="4" t="s">
        <v>4190</v>
      </c>
      <c r="H617" s="4" t="s">
        <v>4191</v>
      </c>
      <c r="I617" s="4" t="s">
        <v>42</v>
      </c>
      <c r="J617" s="2" t="s">
        <v>4192</v>
      </c>
      <c r="K617" s="5" t="s">
        <v>4193</v>
      </c>
    </row>
    <row r="618" spans="1:11" ht="150" x14ac:dyDescent="0.25">
      <c r="A618" s="2"/>
      <c r="B618" s="8" t="s">
        <v>19</v>
      </c>
      <c r="C618" s="2" t="s">
        <v>20</v>
      </c>
      <c r="D618" s="2" t="s">
        <v>4194</v>
      </c>
      <c r="E618" s="2" t="s">
        <v>4195</v>
      </c>
      <c r="F618" s="4" t="s">
        <v>4196</v>
      </c>
      <c r="G618" s="4" t="s">
        <v>4197</v>
      </c>
      <c r="H618" s="4" t="s">
        <v>4198</v>
      </c>
      <c r="I618" s="4" t="s">
        <v>26</v>
      </c>
      <c r="J618" s="2" t="s">
        <v>4199</v>
      </c>
      <c r="K618" s="5" t="s">
        <v>4200</v>
      </c>
    </row>
    <row r="619" spans="1:11" ht="135" x14ac:dyDescent="0.25">
      <c r="A619" s="8" t="s">
        <v>11</v>
      </c>
      <c r="B619" s="8">
        <v>1</v>
      </c>
      <c r="C619" s="2" t="s">
        <v>11</v>
      </c>
      <c r="D619" s="2" t="s">
        <v>4201</v>
      </c>
      <c r="E619" s="2" t="s">
        <v>4202</v>
      </c>
      <c r="F619" s="4" t="s">
        <v>4203</v>
      </c>
      <c r="G619" s="4" t="s">
        <v>4204</v>
      </c>
      <c r="H619" s="4" t="s">
        <v>4205</v>
      </c>
      <c r="I619" s="4" t="s">
        <v>42</v>
      </c>
      <c r="J619" s="2" t="s">
        <v>4206</v>
      </c>
      <c r="K619" s="5" t="s">
        <v>4207</v>
      </c>
    </row>
    <row r="620" spans="1:11" ht="120" x14ac:dyDescent="0.25">
      <c r="A620" s="2"/>
      <c r="B620" s="8" t="s">
        <v>19</v>
      </c>
      <c r="C620" s="2" t="s">
        <v>20</v>
      </c>
      <c r="D620" s="2" t="s">
        <v>4208</v>
      </c>
      <c r="E620" s="2" t="s">
        <v>4209</v>
      </c>
      <c r="F620" s="4" t="s">
        <v>4210</v>
      </c>
      <c r="G620" s="4" t="s">
        <v>4211</v>
      </c>
      <c r="H620" s="4" t="s">
        <v>4212</v>
      </c>
      <c r="I620" s="4" t="s">
        <v>42</v>
      </c>
      <c r="J620" s="2" t="s">
        <v>4213</v>
      </c>
      <c r="K620" s="5" t="s">
        <v>4214</v>
      </c>
    </row>
    <row r="621" spans="1:11" ht="120" x14ac:dyDescent="0.25">
      <c r="A621" s="2"/>
      <c r="B621" s="8" t="s">
        <v>1398</v>
      </c>
      <c r="C621" s="2" t="s">
        <v>20</v>
      </c>
      <c r="D621" s="2" t="s">
        <v>4215</v>
      </c>
      <c r="E621" s="2" t="s">
        <v>4216</v>
      </c>
      <c r="F621" s="4" t="s">
        <v>4217</v>
      </c>
      <c r="G621" s="4" t="s">
        <v>4218</v>
      </c>
      <c r="I621" s="4" t="s">
        <v>702</v>
      </c>
      <c r="J621" s="2" t="s">
        <v>4219</v>
      </c>
      <c r="K621" s="5" t="s">
        <v>4220</v>
      </c>
    </row>
    <row r="622" spans="1:11" ht="120" x14ac:dyDescent="0.25">
      <c r="A622" s="2"/>
      <c r="B622" s="8" t="s">
        <v>19</v>
      </c>
      <c r="C622" s="2" t="s">
        <v>20</v>
      </c>
      <c r="D622" s="2" t="s">
        <v>4221</v>
      </c>
      <c r="E622" s="2" t="s">
        <v>4222</v>
      </c>
      <c r="F622" s="4" t="s">
        <v>4223</v>
      </c>
      <c r="G622" s="4" t="s">
        <v>4224</v>
      </c>
      <c r="H622" s="4" t="s">
        <v>4225</v>
      </c>
      <c r="I622" s="4" t="s">
        <v>42</v>
      </c>
      <c r="J622" s="2" t="s">
        <v>4226</v>
      </c>
      <c r="K622" s="5" t="s">
        <v>4227</v>
      </c>
    </row>
    <row r="623" spans="1:11" ht="180" x14ac:dyDescent="0.25">
      <c r="A623" s="2"/>
      <c r="B623" s="8" t="s">
        <v>100</v>
      </c>
      <c r="C623" s="2" t="s">
        <v>20</v>
      </c>
      <c r="D623" s="2" t="s">
        <v>4228</v>
      </c>
      <c r="E623" s="2" t="s">
        <v>4229</v>
      </c>
      <c r="F623" s="4" t="s">
        <v>4230</v>
      </c>
      <c r="G623" s="4" t="s">
        <v>4231</v>
      </c>
      <c r="H623" s="4" t="s">
        <v>4232</v>
      </c>
      <c r="I623" s="4" t="s">
        <v>42</v>
      </c>
      <c r="J623" s="2" t="s">
        <v>4233</v>
      </c>
      <c r="K623" s="5" t="s">
        <v>4234</v>
      </c>
    </row>
    <row r="624" spans="1:11" ht="180" x14ac:dyDescent="0.25">
      <c r="A624" s="2"/>
      <c r="B624" s="8" t="s">
        <v>19</v>
      </c>
      <c r="C624" s="2" t="s">
        <v>20</v>
      </c>
      <c r="D624" s="2" t="s">
        <v>4235</v>
      </c>
      <c r="E624" s="2" t="s">
        <v>4236</v>
      </c>
      <c r="F624" s="4" t="s">
        <v>4237</v>
      </c>
      <c r="G624" s="4" t="s">
        <v>4238</v>
      </c>
      <c r="H624" s="4" t="s">
        <v>4239</v>
      </c>
      <c r="I624" s="4" t="s">
        <v>42</v>
      </c>
      <c r="J624" s="2" t="s">
        <v>4240</v>
      </c>
      <c r="K624" s="5" t="s">
        <v>4241</v>
      </c>
    </row>
    <row r="625" spans="1:11" ht="180" x14ac:dyDescent="0.25">
      <c r="A625" s="8" t="s">
        <v>11</v>
      </c>
      <c r="B625" s="8">
        <v>3</v>
      </c>
      <c r="C625" s="2" t="s">
        <v>11</v>
      </c>
      <c r="D625" s="2" t="s">
        <v>4242</v>
      </c>
      <c r="E625" s="2" t="s">
        <v>4243</v>
      </c>
      <c r="F625" s="4" t="s">
        <v>4244</v>
      </c>
      <c r="G625" s="4" t="s">
        <v>4245</v>
      </c>
      <c r="H625" s="4" t="s">
        <v>4246</v>
      </c>
      <c r="I625" s="4" t="s">
        <v>26</v>
      </c>
      <c r="J625" s="2" t="s">
        <v>4247</v>
      </c>
      <c r="K625" s="5" t="s">
        <v>4248</v>
      </c>
    </row>
    <row r="626" spans="1:11" ht="225" x14ac:dyDescent="0.25">
      <c r="A626" s="2"/>
      <c r="B626" s="8" t="s">
        <v>19</v>
      </c>
      <c r="C626" s="2" t="s">
        <v>20</v>
      </c>
      <c r="D626" s="2" t="s">
        <v>4249</v>
      </c>
      <c r="E626" s="2" t="s">
        <v>4250</v>
      </c>
      <c r="F626" s="4" t="s">
        <v>4251</v>
      </c>
      <c r="G626" s="4" t="s">
        <v>4252</v>
      </c>
      <c r="H626" s="4" t="s">
        <v>4253</v>
      </c>
      <c r="I626" s="4" t="s">
        <v>26</v>
      </c>
      <c r="J626" s="2" t="s">
        <v>4254</v>
      </c>
      <c r="K626" s="5" t="s">
        <v>4255</v>
      </c>
    </row>
    <row r="627" spans="1:11" ht="180" x14ac:dyDescent="0.25">
      <c r="A627" s="8" t="s">
        <v>11</v>
      </c>
      <c r="B627" s="8">
        <v>1</v>
      </c>
      <c r="C627" s="2" t="s">
        <v>11</v>
      </c>
      <c r="D627" s="2" t="s">
        <v>4256</v>
      </c>
      <c r="E627" s="2" t="s">
        <v>4257</v>
      </c>
      <c r="F627" s="4" t="s">
        <v>4258</v>
      </c>
      <c r="G627" s="4" t="s">
        <v>4259</v>
      </c>
      <c r="H627" s="4" t="s">
        <v>4260</v>
      </c>
      <c r="I627" s="4" t="s">
        <v>42</v>
      </c>
      <c r="J627" s="2" t="s">
        <v>4261</v>
      </c>
      <c r="K627" s="5" t="s">
        <v>4262</v>
      </c>
    </row>
    <row r="628" spans="1:11" ht="120" x14ac:dyDescent="0.25">
      <c r="A628" s="8" t="s">
        <v>11</v>
      </c>
      <c r="B628" s="8">
        <v>1</v>
      </c>
      <c r="C628" s="2" t="s">
        <v>11</v>
      </c>
      <c r="D628" s="2" t="s">
        <v>4263</v>
      </c>
      <c r="E628" s="2" t="s">
        <v>4264</v>
      </c>
      <c r="F628" s="4" t="s">
        <v>4265</v>
      </c>
      <c r="G628" s="4" t="s">
        <v>4266</v>
      </c>
      <c r="H628" s="4" t="s">
        <v>4267</v>
      </c>
      <c r="I628" s="4" t="s">
        <v>42</v>
      </c>
      <c r="J628" s="2" t="s">
        <v>4268</v>
      </c>
      <c r="K628" s="5" t="s">
        <v>4269</v>
      </c>
    </row>
    <row r="629" spans="1:11" ht="120" x14ac:dyDescent="0.25">
      <c r="A629" s="2"/>
      <c r="B629" s="8" t="s">
        <v>1398</v>
      </c>
      <c r="C629" s="2" t="s">
        <v>20</v>
      </c>
      <c r="D629" s="2" t="s">
        <v>4270</v>
      </c>
      <c r="E629" s="2" t="s">
        <v>4271</v>
      </c>
      <c r="F629" s="4" t="s">
        <v>4272</v>
      </c>
      <c r="G629" s="4" t="s">
        <v>4273</v>
      </c>
      <c r="I629" s="4" t="s">
        <v>26</v>
      </c>
      <c r="K629" s="5" t="s">
        <v>4274</v>
      </c>
    </row>
    <row r="630" spans="1:11" ht="285" x14ac:dyDescent="0.25">
      <c r="A630" s="2"/>
      <c r="B630" s="8" t="s">
        <v>19</v>
      </c>
      <c r="C630" s="2" t="s">
        <v>20</v>
      </c>
      <c r="D630" s="2" t="s">
        <v>4275</v>
      </c>
      <c r="E630" s="2" t="s">
        <v>4276</v>
      </c>
      <c r="F630" s="4" t="s">
        <v>4277</v>
      </c>
      <c r="G630" s="4" t="s">
        <v>4278</v>
      </c>
      <c r="H630" s="4" t="s">
        <v>4279</v>
      </c>
      <c r="I630" s="4" t="s">
        <v>42</v>
      </c>
      <c r="K630" s="5" t="s">
        <v>4280</v>
      </c>
    </row>
    <row r="631" spans="1:11" ht="225" x14ac:dyDescent="0.25">
      <c r="A631" s="2"/>
      <c r="B631" s="8" t="s">
        <v>100</v>
      </c>
      <c r="C631" s="2" t="s">
        <v>20</v>
      </c>
      <c r="D631" s="2" t="s">
        <v>4281</v>
      </c>
      <c r="E631" s="2" t="s">
        <v>4282</v>
      </c>
      <c r="F631" s="4" t="s">
        <v>4283</v>
      </c>
      <c r="G631" s="4" t="s">
        <v>4284</v>
      </c>
      <c r="H631" s="4" t="s">
        <v>4285</v>
      </c>
      <c r="I631" s="4" t="s">
        <v>42</v>
      </c>
      <c r="J631" s="2" t="s">
        <v>4286</v>
      </c>
      <c r="K631" s="5" t="s">
        <v>4287</v>
      </c>
    </row>
    <row r="632" spans="1:11" ht="240" x14ac:dyDescent="0.25">
      <c r="A632" s="2"/>
      <c r="B632" s="8" t="s">
        <v>100</v>
      </c>
      <c r="C632" s="2" t="s">
        <v>20</v>
      </c>
      <c r="D632" s="2" t="s">
        <v>4288</v>
      </c>
      <c r="E632" s="2" t="s">
        <v>4289</v>
      </c>
      <c r="F632" s="4" t="s">
        <v>4290</v>
      </c>
      <c r="G632" s="4" t="s">
        <v>4291</v>
      </c>
      <c r="H632" s="4" t="s">
        <v>4292</v>
      </c>
      <c r="I632" s="4" t="s">
        <v>42</v>
      </c>
      <c r="J632" s="2" t="s">
        <v>4293</v>
      </c>
      <c r="K632" s="5" t="s">
        <v>4294</v>
      </c>
    </row>
    <row r="633" spans="1:11" ht="315" x14ac:dyDescent="0.25">
      <c r="A633" s="2"/>
      <c r="B633" s="8" t="s">
        <v>19</v>
      </c>
      <c r="C633" s="2" t="s">
        <v>20</v>
      </c>
      <c r="D633" s="2" t="s">
        <v>4295</v>
      </c>
      <c r="E633" s="2" t="s">
        <v>4296</v>
      </c>
      <c r="F633" s="4" t="s">
        <v>4297</v>
      </c>
      <c r="G633" s="4" t="s">
        <v>4298</v>
      </c>
      <c r="H633" s="4" t="s">
        <v>4299</v>
      </c>
      <c r="I633" s="4" t="s">
        <v>42</v>
      </c>
      <c r="J633" s="2" t="s">
        <v>4300</v>
      </c>
      <c r="K633" s="5" t="s">
        <v>4301</v>
      </c>
    </row>
    <row r="634" spans="1:11" ht="225" x14ac:dyDescent="0.25">
      <c r="A634" s="2"/>
      <c r="B634" s="8" t="s">
        <v>52</v>
      </c>
      <c r="C634" s="2" t="s">
        <v>20</v>
      </c>
      <c r="D634" s="2" t="s">
        <v>4302</v>
      </c>
      <c r="E634" s="2" t="s">
        <v>4303</v>
      </c>
      <c r="F634" s="4" t="s">
        <v>4304</v>
      </c>
      <c r="G634" s="4" t="s">
        <v>4305</v>
      </c>
      <c r="H634" s="4" t="s">
        <v>4306</v>
      </c>
      <c r="I634" s="4" t="s">
        <v>26</v>
      </c>
      <c r="J634" s="2" t="s">
        <v>4307</v>
      </c>
      <c r="K634" s="5" t="s">
        <v>4308</v>
      </c>
    </row>
    <row r="635" spans="1:11" ht="120" x14ac:dyDescent="0.25">
      <c r="A635" s="8" t="s">
        <v>11</v>
      </c>
      <c r="B635" s="8">
        <v>2</v>
      </c>
      <c r="C635" s="8" t="s">
        <v>11</v>
      </c>
      <c r="D635" s="2" t="s">
        <v>4309</v>
      </c>
      <c r="E635" s="2" t="s">
        <v>4310</v>
      </c>
      <c r="F635" s="4" t="s">
        <v>4311</v>
      </c>
      <c r="G635" s="4" t="s">
        <v>4312</v>
      </c>
      <c r="H635" s="4" t="s">
        <v>4313</v>
      </c>
      <c r="I635" s="4" t="s">
        <v>42</v>
      </c>
      <c r="J635" s="2" t="s">
        <v>4314</v>
      </c>
      <c r="K635" s="13" t="s">
        <v>4315</v>
      </c>
    </row>
    <row r="636" spans="1:11" ht="240" x14ac:dyDescent="0.25">
      <c r="A636" s="2"/>
      <c r="B636" s="8" t="s">
        <v>19</v>
      </c>
      <c r="C636" s="2" t="s">
        <v>20</v>
      </c>
      <c r="D636" s="2" t="s">
        <v>4316</v>
      </c>
      <c r="E636" s="2" t="s">
        <v>4317</v>
      </c>
      <c r="F636" s="4" t="s">
        <v>4318</v>
      </c>
      <c r="G636" s="4" t="s">
        <v>4319</v>
      </c>
      <c r="H636" s="4" t="s">
        <v>4320</v>
      </c>
      <c r="I636" s="4" t="s">
        <v>26</v>
      </c>
      <c r="J636" s="2" t="s">
        <v>4321</v>
      </c>
      <c r="K636" s="5" t="s">
        <v>4322</v>
      </c>
    </row>
    <row r="637" spans="1:11" ht="165" x14ac:dyDescent="0.25">
      <c r="A637" s="2"/>
      <c r="B637" s="8" t="s">
        <v>52</v>
      </c>
      <c r="C637" s="2" t="s">
        <v>20</v>
      </c>
      <c r="D637" s="2" t="s">
        <v>4323</v>
      </c>
      <c r="E637" s="2" t="s">
        <v>4324</v>
      </c>
      <c r="F637" s="4" t="s">
        <v>4325</v>
      </c>
      <c r="G637" s="4" t="s">
        <v>4326</v>
      </c>
      <c r="H637" s="4" t="s">
        <v>4327</v>
      </c>
      <c r="I637" s="4" t="s">
        <v>42</v>
      </c>
      <c r="K637" s="5" t="s">
        <v>4328</v>
      </c>
    </row>
    <row r="638" spans="1:11" ht="180" x14ac:dyDescent="0.25">
      <c r="A638" s="2"/>
      <c r="B638" s="8" t="s">
        <v>19</v>
      </c>
      <c r="C638" s="2" t="s">
        <v>20</v>
      </c>
      <c r="D638" s="2" t="s">
        <v>4329</v>
      </c>
      <c r="E638" s="2" t="s">
        <v>4330</v>
      </c>
      <c r="F638" s="4" t="s">
        <v>4331</v>
      </c>
      <c r="G638" s="4" t="s">
        <v>4332</v>
      </c>
      <c r="H638" s="4" t="s">
        <v>4333</v>
      </c>
      <c r="I638" s="4" t="s">
        <v>42</v>
      </c>
      <c r="K638" s="5" t="s">
        <v>4334</v>
      </c>
    </row>
    <row r="639" spans="1:11" ht="270" x14ac:dyDescent="0.25">
      <c r="A639" s="2"/>
      <c r="B639" s="8" t="s">
        <v>74</v>
      </c>
      <c r="C639" s="2" t="s">
        <v>20</v>
      </c>
      <c r="D639" s="2" t="s">
        <v>4335</v>
      </c>
      <c r="F639" s="4" t="s">
        <v>4336</v>
      </c>
      <c r="G639" s="4" t="s">
        <v>4337</v>
      </c>
      <c r="I639" s="4" t="s">
        <v>26</v>
      </c>
      <c r="K639" s="5" t="s">
        <v>4338</v>
      </c>
    </row>
    <row r="640" spans="1:11" ht="120" x14ac:dyDescent="0.25">
      <c r="A640" s="8" t="s">
        <v>11</v>
      </c>
      <c r="B640" s="8">
        <v>2</v>
      </c>
      <c r="C640" s="8" t="s">
        <v>11</v>
      </c>
      <c r="D640" s="2" t="s">
        <v>4339</v>
      </c>
      <c r="E640" s="2" t="s">
        <v>4340</v>
      </c>
      <c r="F640" s="4" t="s">
        <v>4341</v>
      </c>
      <c r="G640" s="4" t="s">
        <v>4342</v>
      </c>
      <c r="H640" s="4" t="s">
        <v>4343</v>
      </c>
      <c r="I640" s="4" t="s">
        <v>42</v>
      </c>
      <c r="J640" s="2" t="s">
        <v>4344</v>
      </c>
      <c r="K640" s="13" t="s">
        <v>4345</v>
      </c>
    </row>
    <row r="641" spans="1:11" ht="165" x14ac:dyDescent="0.25">
      <c r="A641" s="2"/>
      <c r="B641" s="8" t="s">
        <v>52</v>
      </c>
      <c r="C641" s="2" t="s">
        <v>20</v>
      </c>
      <c r="D641" s="2" t="s">
        <v>4346</v>
      </c>
      <c r="E641" s="2" t="s">
        <v>4347</v>
      </c>
      <c r="F641" s="4" t="s">
        <v>4348</v>
      </c>
      <c r="G641" s="4" t="s">
        <v>4349</v>
      </c>
      <c r="H641" s="4" t="s">
        <v>4350</v>
      </c>
      <c r="I641" s="4" t="s">
        <v>42</v>
      </c>
      <c r="J641" s="2" t="s">
        <v>4351</v>
      </c>
      <c r="K641" s="5" t="s">
        <v>4352</v>
      </c>
    </row>
    <row r="642" spans="1:11" ht="90" x14ac:dyDescent="0.25">
      <c r="A642" s="2"/>
      <c r="B642" s="8" t="s">
        <v>19</v>
      </c>
      <c r="C642" s="2" t="s">
        <v>20</v>
      </c>
      <c r="D642" s="2" t="s">
        <v>4353</v>
      </c>
      <c r="E642" s="2" t="s">
        <v>4354</v>
      </c>
      <c r="F642" s="4" t="s">
        <v>4355</v>
      </c>
      <c r="G642" s="4" t="s">
        <v>4356</v>
      </c>
      <c r="H642" s="4" t="s">
        <v>4357</v>
      </c>
      <c r="I642" s="4" t="s">
        <v>42</v>
      </c>
      <c r="J642" s="2" t="s">
        <v>4358</v>
      </c>
      <c r="K642" s="5" t="s">
        <v>4359</v>
      </c>
    </row>
    <row r="643" spans="1:11" ht="135" x14ac:dyDescent="0.25">
      <c r="A643" s="8" t="s">
        <v>11</v>
      </c>
      <c r="B643" s="8">
        <v>2</v>
      </c>
      <c r="C643" s="8" t="s">
        <v>11</v>
      </c>
      <c r="D643" s="2" t="s">
        <v>4360</v>
      </c>
      <c r="E643" s="2" t="s">
        <v>4361</v>
      </c>
      <c r="F643" s="4" t="s">
        <v>4362</v>
      </c>
      <c r="G643" s="4" t="s">
        <v>4363</v>
      </c>
      <c r="H643" s="4" t="s">
        <v>4364</v>
      </c>
      <c r="I643" s="4" t="s">
        <v>42</v>
      </c>
      <c r="J643" s="2" t="s">
        <v>4365</v>
      </c>
      <c r="K643" s="13" t="s">
        <v>4366</v>
      </c>
    </row>
    <row r="644" spans="1:11" ht="409.5" x14ac:dyDescent="0.25">
      <c r="A644" s="2"/>
      <c r="B644" s="8" t="s">
        <v>100</v>
      </c>
      <c r="C644" s="2" t="s">
        <v>20</v>
      </c>
      <c r="D644" s="2" t="s">
        <v>4367</v>
      </c>
      <c r="E644" s="2" t="s">
        <v>4368</v>
      </c>
      <c r="F644" s="4" t="s">
        <v>4369</v>
      </c>
      <c r="G644" s="4" t="s">
        <v>4370</v>
      </c>
      <c r="H644" s="4" t="s">
        <v>4371</v>
      </c>
      <c r="I644" s="4" t="s">
        <v>42</v>
      </c>
      <c r="J644" s="2" t="s">
        <v>4372</v>
      </c>
      <c r="K644" s="5" t="s">
        <v>4373</v>
      </c>
    </row>
    <row r="645" spans="1:11" ht="180" x14ac:dyDescent="0.25">
      <c r="A645" s="2"/>
      <c r="B645" s="8" t="s">
        <v>100</v>
      </c>
      <c r="C645" s="2" t="s">
        <v>20</v>
      </c>
      <c r="D645" s="2" t="s">
        <v>4374</v>
      </c>
      <c r="E645" s="2" t="s">
        <v>4375</v>
      </c>
      <c r="F645" s="4" t="s">
        <v>4376</v>
      </c>
      <c r="G645" s="4" t="s">
        <v>4377</v>
      </c>
      <c r="H645" s="4" t="s">
        <v>4378</v>
      </c>
      <c r="I645" s="4" t="s">
        <v>26</v>
      </c>
      <c r="J645" s="2" t="s">
        <v>4379</v>
      </c>
      <c r="K645" s="5" t="s">
        <v>4380</v>
      </c>
    </row>
    <row r="646" spans="1:11" ht="105" x14ac:dyDescent="0.25">
      <c r="A646" s="2"/>
      <c r="B646" s="8" t="s">
        <v>100</v>
      </c>
      <c r="C646" s="2" t="s">
        <v>20</v>
      </c>
      <c r="D646" s="2" t="s">
        <v>4381</v>
      </c>
      <c r="E646" s="2" t="s">
        <v>4382</v>
      </c>
      <c r="F646" s="4" t="s">
        <v>4383</v>
      </c>
      <c r="G646" s="4" t="s">
        <v>4384</v>
      </c>
      <c r="H646" s="4" t="s">
        <v>4385</v>
      </c>
      <c r="I646" s="4" t="s">
        <v>26</v>
      </c>
      <c r="J646" s="2" t="s">
        <v>4386</v>
      </c>
      <c r="K646" s="5" t="s">
        <v>4387</v>
      </c>
    </row>
    <row r="647" spans="1:11" ht="225" x14ac:dyDescent="0.25">
      <c r="A647" s="8" t="s">
        <v>11</v>
      </c>
      <c r="B647" s="8">
        <v>1</v>
      </c>
      <c r="C647" s="2" t="s">
        <v>11</v>
      </c>
      <c r="D647" s="2" t="s">
        <v>4388</v>
      </c>
      <c r="E647" s="2" t="s">
        <v>4389</v>
      </c>
      <c r="F647" s="4" t="s">
        <v>4390</v>
      </c>
      <c r="G647" s="4" t="s">
        <v>4391</v>
      </c>
      <c r="H647" s="4" t="s">
        <v>4392</v>
      </c>
      <c r="I647" s="4" t="s">
        <v>26</v>
      </c>
      <c r="J647" s="2" t="s">
        <v>4393</v>
      </c>
      <c r="K647" s="5" t="s">
        <v>4394</v>
      </c>
    </row>
    <row r="648" spans="1:11" ht="210" x14ac:dyDescent="0.25">
      <c r="A648" s="2"/>
      <c r="B648" s="8" t="s">
        <v>19</v>
      </c>
      <c r="C648" s="2" t="s">
        <v>20</v>
      </c>
      <c r="D648" s="2" t="s">
        <v>4395</v>
      </c>
      <c r="E648" s="2" t="s">
        <v>4396</v>
      </c>
      <c r="F648" s="4" t="s">
        <v>4397</v>
      </c>
      <c r="G648" s="4" t="s">
        <v>4398</v>
      </c>
      <c r="H648" s="4" t="s">
        <v>4399</v>
      </c>
      <c r="I648" s="4" t="s">
        <v>42</v>
      </c>
      <c r="J648" s="2" t="s">
        <v>4400</v>
      </c>
      <c r="K648" s="5" t="s">
        <v>4401</v>
      </c>
    </row>
    <row r="649" spans="1:11" ht="105" x14ac:dyDescent="0.25">
      <c r="A649" s="2"/>
      <c r="B649" s="8" t="s">
        <v>19</v>
      </c>
      <c r="C649" s="2" t="s">
        <v>20</v>
      </c>
      <c r="D649" s="2" t="s">
        <v>4402</v>
      </c>
      <c r="E649" s="2" t="s">
        <v>4403</v>
      </c>
      <c r="F649" s="4" t="s">
        <v>4404</v>
      </c>
      <c r="G649" s="4" t="s">
        <v>4405</v>
      </c>
      <c r="H649" s="4" t="s">
        <v>4406</v>
      </c>
      <c r="I649" s="4" t="s">
        <v>42</v>
      </c>
      <c r="J649" s="2" t="s">
        <v>4407</v>
      </c>
      <c r="K649" s="5" t="s">
        <v>4408</v>
      </c>
    </row>
    <row r="650" spans="1:11" ht="210" x14ac:dyDescent="0.25">
      <c r="A650" s="2"/>
      <c r="B650" s="8" t="s">
        <v>100</v>
      </c>
      <c r="C650" s="2" t="s">
        <v>20</v>
      </c>
      <c r="D650" s="2" t="s">
        <v>4409</v>
      </c>
      <c r="E650" s="2" t="s">
        <v>4410</v>
      </c>
      <c r="F650" s="4" t="s">
        <v>4411</v>
      </c>
      <c r="G650" s="4" t="s">
        <v>4412</v>
      </c>
      <c r="H650" s="4" t="s">
        <v>4413</v>
      </c>
      <c r="I650" s="4" t="s">
        <v>42</v>
      </c>
      <c r="J650" s="2" t="s">
        <v>4414</v>
      </c>
      <c r="K650" s="5" t="s">
        <v>4415</v>
      </c>
    </row>
    <row r="651" spans="1:11" ht="210" x14ac:dyDescent="0.25">
      <c r="A651" s="2"/>
      <c r="B651" s="8" t="s">
        <v>100</v>
      </c>
      <c r="C651" s="2" t="s">
        <v>20</v>
      </c>
      <c r="D651" s="2" t="s">
        <v>4416</v>
      </c>
      <c r="E651" s="2" t="s">
        <v>4417</v>
      </c>
      <c r="F651" s="4" t="s">
        <v>4418</v>
      </c>
      <c r="G651" s="4" t="s">
        <v>4419</v>
      </c>
      <c r="H651" s="4" t="s">
        <v>4420</v>
      </c>
      <c r="I651" s="4" t="s">
        <v>42</v>
      </c>
      <c r="K651" s="5" t="s">
        <v>4421</v>
      </c>
    </row>
    <row r="652" spans="1:11" ht="225" x14ac:dyDescent="0.25">
      <c r="A652" s="8" t="s">
        <v>11</v>
      </c>
      <c r="B652" s="8">
        <v>1</v>
      </c>
      <c r="C652" s="2" t="s">
        <v>11</v>
      </c>
      <c r="D652" s="2" t="s">
        <v>4422</v>
      </c>
      <c r="E652" s="2" t="s">
        <v>3963</v>
      </c>
      <c r="F652" s="4" t="s">
        <v>3964</v>
      </c>
      <c r="G652" s="4" t="s">
        <v>4423</v>
      </c>
      <c r="H652" s="4" t="s">
        <v>4424</v>
      </c>
      <c r="I652" s="4" t="s">
        <v>42</v>
      </c>
      <c r="J652" s="2" t="s">
        <v>4425</v>
      </c>
      <c r="K652" s="5" t="s">
        <v>4426</v>
      </c>
    </row>
    <row r="653" spans="1:11" ht="240" x14ac:dyDescent="0.25">
      <c r="A653" s="2"/>
      <c r="B653" s="8" t="s">
        <v>74</v>
      </c>
      <c r="C653" s="2" t="s">
        <v>20</v>
      </c>
      <c r="D653" s="2" t="s">
        <v>4427</v>
      </c>
      <c r="F653" s="4" t="s">
        <v>4428</v>
      </c>
      <c r="G653" s="4" t="s">
        <v>4429</v>
      </c>
      <c r="I653" s="4" t="s">
        <v>26</v>
      </c>
      <c r="K653" s="5" t="s">
        <v>4430</v>
      </c>
    </row>
    <row r="654" spans="1:11" ht="120" x14ac:dyDescent="0.25">
      <c r="A654" s="2"/>
      <c r="B654" s="8" t="s">
        <v>19</v>
      </c>
      <c r="C654" s="2" t="s">
        <v>20</v>
      </c>
      <c r="D654" s="2" t="s">
        <v>4431</v>
      </c>
      <c r="E654" s="2" t="s">
        <v>4432</v>
      </c>
      <c r="F654" s="4" t="s">
        <v>4433</v>
      </c>
      <c r="G654" s="4" t="s">
        <v>4434</v>
      </c>
      <c r="H654" s="4" t="s">
        <v>4435</v>
      </c>
      <c r="I654" s="4" t="s">
        <v>42</v>
      </c>
      <c r="J654" s="2" t="s">
        <v>4436</v>
      </c>
      <c r="K654" s="5" t="s">
        <v>4437</v>
      </c>
    </row>
    <row r="655" spans="1:11" ht="210" x14ac:dyDescent="0.25">
      <c r="A655" s="2"/>
      <c r="B655" s="8" t="s">
        <v>19</v>
      </c>
      <c r="C655" s="2" t="s">
        <v>20</v>
      </c>
      <c r="D655" s="2" t="s">
        <v>4438</v>
      </c>
      <c r="E655" s="2" t="s">
        <v>4439</v>
      </c>
      <c r="F655" s="4" t="s">
        <v>4440</v>
      </c>
      <c r="G655" s="4" t="s">
        <v>4441</v>
      </c>
      <c r="H655" s="4" t="s">
        <v>4442</v>
      </c>
      <c r="I655" s="4" t="s">
        <v>42</v>
      </c>
      <c r="J655" s="2" t="s">
        <v>4443</v>
      </c>
      <c r="K655" s="5" t="s">
        <v>4444</v>
      </c>
    </row>
    <row r="656" spans="1:11" ht="210" x14ac:dyDescent="0.25">
      <c r="A656" s="2"/>
      <c r="B656" s="8" t="s">
        <v>100</v>
      </c>
      <c r="C656" s="2" t="s">
        <v>20</v>
      </c>
      <c r="D656" s="2" t="s">
        <v>4445</v>
      </c>
      <c r="E656" s="2" t="s">
        <v>4446</v>
      </c>
      <c r="F656" s="4" t="s">
        <v>4447</v>
      </c>
      <c r="G656" s="4" t="s">
        <v>4448</v>
      </c>
      <c r="H656" s="4" t="s">
        <v>4449</v>
      </c>
      <c r="I656" s="4" t="s">
        <v>42</v>
      </c>
      <c r="J656" s="2" t="s">
        <v>4450</v>
      </c>
      <c r="K656" s="5" t="s">
        <v>4451</v>
      </c>
    </row>
    <row r="657" spans="1:11" ht="135" x14ac:dyDescent="0.25">
      <c r="A657" s="2"/>
      <c r="B657" s="8" t="s">
        <v>100</v>
      </c>
      <c r="C657" s="2" t="s">
        <v>20</v>
      </c>
      <c r="D657" s="2" t="s">
        <v>4452</v>
      </c>
      <c r="E657" s="2" t="s">
        <v>4453</v>
      </c>
      <c r="F657" s="4" t="s">
        <v>4454</v>
      </c>
      <c r="G657" s="4" t="s">
        <v>4455</v>
      </c>
      <c r="H657" s="4" t="s">
        <v>4456</v>
      </c>
      <c r="I657" s="4" t="s">
        <v>26</v>
      </c>
      <c r="J657" s="2" t="s">
        <v>4457</v>
      </c>
      <c r="K657" s="5" t="s">
        <v>4458</v>
      </c>
    </row>
    <row r="658" spans="1:11" ht="240" x14ac:dyDescent="0.25">
      <c r="A658" s="2"/>
      <c r="B658" s="8" t="s">
        <v>29</v>
      </c>
      <c r="C658" s="2" t="s">
        <v>20</v>
      </c>
      <c r="D658" s="2" t="s">
        <v>4459</v>
      </c>
      <c r="E658" s="2" t="s">
        <v>4460</v>
      </c>
      <c r="F658" s="4" t="s">
        <v>4461</v>
      </c>
      <c r="G658" s="4" t="s">
        <v>4462</v>
      </c>
      <c r="H658" s="4" t="s">
        <v>4463</v>
      </c>
      <c r="I658" s="4" t="s">
        <v>42</v>
      </c>
      <c r="J658" s="2" t="s">
        <v>4464</v>
      </c>
      <c r="K658" s="5" t="s">
        <v>4465</v>
      </c>
    </row>
    <row r="659" spans="1:11" ht="225" x14ac:dyDescent="0.25">
      <c r="A659" s="2"/>
      <c r="B659" s="8" t="s">
        <v>100</v>
      </c>
      <c r="C659" s="2" t="s">
        <v>20</v>
      </c>
      <c r="D659" s="2" t="s">
        <v>4466</v>
      </c>
      <c r="E659" s="2" t="s">
        <v>3406</v>
      </c>
      <c r="F659" s="4" t="s">
        <v>4467</v>
      </c>
      <c r="G659" s="4" t="s">
        <v>4468</v>
      </c>
      <c r="H659" s="4" t="s">
        <v>4469</v>
      </c>
      <c r="I659" s="4" t="s">
        <v>26</v>
      </c>
      <c r="J659" s="2" t="s">
        <v>4470</v>
      </c>
      <c r="K659" s="5" t="s">
        <v>4471</v>
      </c>
    </row>
    <row r="660" spans="1:11" ht="285" x14ac:dyDescent="0.25">
      <c r="A660" s="2"/>
      <c r="B660" s="8" t="s">
        <v>52</v>
      </c>
      <c r="C660" s="2" t="s">
        <v>20</v>
      </c>
      <c r="D660" s="2" t="s">
        <v>4472</v>
      </c>
      <c r="E660" s="2" t="s">
        <v>4473</v>
      </c>
      <c r="F660" s="4" t="s">
        <v>4474</v>
      </c>
      <c r="G660" s="4" t="s">
        <v>4475</v>
      </c>
      <c r="H660" s="4" t="s">
        <v>4476</v>
      </c>
      <c r="I660" s="4" t="s">
        <v>42</v>
      </c>
      <c r="K660" s="5" t="s">
        <v>4477</v>
      </c>
    </row>
    <row r="661" spans="1:11" ht="195" x14ac:dyDescent="0.25">
      <c r="A661" s="8" t="s">
        <v>11</v>
      </c>
      <c r="B661" s="8">
        <v>1</v>
      </c>
      <c r="C661" s="2" t="s">
        <v>11</v>
      </c>
      <c r="D661" s="2" t="s">
        <v>4478</v>
      </c>
      <c r="E661" s="2" t="s">
        <v>4479</v>
      </c>
      <c r="F661" s="4" t="s">
        <v>4480</v>
      </c>
      <c r="G661" s="4" t="s">
        <v>4481</v>
      </c>
      <c r="H661" s="4" t="s">
        <v>4482</v>
      </c>
      <c r="I661" s="4" t="s">
        <v>26</v>
      </c>
      <c r="J661" s="2" t="s">
        <v>4483</v>
      </c>
      <c r="K661" s="5" t="s">
        <v>4484</v>
      </c>
    </row>
    <row r="662" spans="1:11" ht="165" x14ac:dyDescent="0.25">
      <c r="A662" s="8" t="s">
        <v>11</v>
      </c>
      <c r="B662" s="8">
        <v>1</v>
      </c>
      <c r="C662" s="2" t="s">
        <v>11</v>
      </c>
      <c r="D662" s="2" t="s">
        <v>4485</v>
      </c>
      <c r="E662" s="2" t="s">
        <v>4486</v>
      </c>
      <c r="F662" s="4" t="s">
        <v>4487</v>
      </c>
      <c r="G662" s="4" t="s">
        <v>4488</v>
      </c>
      <c r="H662" s="4" t="s">
        <v>4489</v>
      </c>
      <c r="I662" s="4" t="s">
        <v>42</v>
      </c>
      <c r="J662" s="2" t="s">
        <v>4490</v>
      </c>
      <c r="K662" s="5" t="s">
        <v>4491</v>
      </c>
    </row>
    <row r="663" spans="1:11" ht="240" x14ac:dyDescent="0.25">
      <c r="A663" s="2"/>
      <c r="B663" s="8" t="s">
        <v>19</v>
      </c>
      <c r="C663" s="2" t="s">
        <v>20</v>
      </c>
      <c r="D663" s="2" t="s">
        <v>4492</v>
      </c>
      <c r="E663" s="2" t="s">
        <v>4493</v>
      </c>
      <c r="F663" s="4" t="s">
        <v>4494</v>
      </c>
      <c r="G663" s="4" t="s">
        <v>4495</v>
      </c>
      <c r="H663" s="4" t="s">
        <v>4496</v>
      </c>
      <c r="I663" s="4" t="s">
        <v>42</v>
      </c>
      <c r="J663" s="2" t="s">
        <v>4497</v>
      </c>
      <c r="K663" s="5" t="s">
        <v>4498</v>
      </c>
    </row>
    <row r="664" spans="1:11" ht="255" x14ac:dyDescent="0.25">
      <c r="A664" s="2"/>
      <c r="B664" s="8" t="s">
        <v>52</v>
      </c>
      <c r="C664" s="2" t="s">
        <v>20</v>
      </c>
      <c r="D664" s="2" t="s">
        <v>4499</v>
      </c>
      <c r="E664" s="2" t="s">
        <v>4500</v>
      </c>
      <c r="F664" s="4" t="s">
        <v>4501</v>
      </c>
      <c r="G664" s="4" t="s">
        <v>4502</v>
      </c>
      <c r="H664" s="4" t="s">
        <v>4503</v>
      </c>
      <c r="I664" s="4" t="s">
        <v>42</v>
      </c>
      <c r="J664" s="2" t="s">
        <v>4504</v>
      </c>
      <c r="K664" s="5" t="s">
        <v>4505</v>
      </c>
    </row>
    <row r="665" spans="1:11" ht="105" x14ac:dyDescent="0.25">
      <c r="A665" s="2"/>
      <c r="B665" s="8" t="s">
        <v>19</v>
      </c>
      <c r="C665" s="2" t="s">
        <v>20</v>
      </c>
      <c r="D665" s="2" t="s">
        <v>4506</v>
      </c>
      <c r="E665" s="2" t="s">
        <v>4507</v>
      </c>
      <c r="F665" s="4" t="s">
        <v>4508</v>
      </c>
      <c r="G665" s="4" t="s">
        <v>4509</v>
      </c>
      <c r="H665" s="4" t="s">
        <v>4510</v>
      </c>
      <c r="I665" s="4" t="s">
        <v>42</v>
      </c>
      <c r="J665" s="2" t="s">
        <v>4511</v>
      </c>
      <c r="K665" s="5" t="s">
        <v>4512</v>
      </c>
    </row>
    <row r="666" spans="1:11" ht="135" x14ac:dyDescent="0.25">
      <c r="A666" s="8" t="s">
        <v>11</v>
      </c>
      <c r="B666" s="8">
        <v>2</v>
      </c>
      <c r="C666" s="8" t="s">
        <v>11</v>
      </c>
      <c r="D666" s="2" t="s">
        <v>4513</v>
      </c>
      <c r="E666" s="2" t="s">
        <v>4514</v>
      </c>
      <c r="F666" s="4" t="s">
        <v>4515</v>
      </c>
      <c r="G666" s="4" t="s">
        <v>4516</v>
      </c>
      <c r="H666" s="4" t="s">
        <v>4517</v>
      </c>
      <c r="I666" s="4" t="s">
        <v>42</v>
      </c>
      <c r="J666" s="2" t="s">
        <v>4518</v>
      </c>
      <c r="K666" s="13" t="s">
        <v>4519</v>
      </c>
    </row>
    <row r="667" spans="1:11" ht="150" x14ac:dyDescent="0.25">
      <c r="A667" s="2"/>
      <c r="B667" s="8" t="s">
        <v>19</v>
      </c>
      <c r="C667" s="2" t="s">
        <v>20</v>
      </c>
      <c r="D667" s="2" t="s">
        <v>4520</v>
      </c>
      <c r="E667" s="2" t="s">
        <v>4521</v>
      </c>
      <c r="F667" s="4" t="s">
        <v>4522</v>
      </c>
      <c r="G667" s="4" t="s">
        <v>4523</v>
      </c>
      <c r="H667" s="4" t="s">
        <v>4524</v>
      </c>
      <c r="I667" s="4" t="s">
        <v>42</v>
      </c>
      <c r="J667" s="2" t="s">
        <v>4525</v>
      </c>
      <c r="K667" s="5" t="s">
        <v>4526</v>
      </c>
    </row>
    <row r="668" spans="1:11" ht="120" x14ac:dyDescent="0.25">
      <c r="A668" s="2"/>
      <c r="B668" s="8" t="s">
        <v>19</v>
      </c>
      <c r="C668" s="2" t="s">
        <v>20</v>
      </c>
      <c r="D668" s="2" t="s">
        <v>4527</v>
      </c>
      <c r="E668" s="2" t="s">
        <v>4528</v>
      </c>
      <c r="F668" s="4" t="s">
        <v>4529</v>
      </c>
      <c r="G668" s="4" t="s">
        <v>4530</v>
      </c>
      <c r="H668" s="4" t="s">
        <v>4531</v>
      </c>
      <c r="I668" s="4" t="s">
        <v>42</v>
      </c>
      <c r="J668" s="2" t="s">
        <v>4532</v>
      </c>
      <c r="K668" s="5" t="s">
        <v>4533</v>
      </c>
    </row>
    <row r="669" spans="1:11" ht="90" x14ac:dyDescent="0.25">
      <c r="A669" s="2"/>
      <c r="B669" s="8" t="s">
        <v>52</v>
      </c>
      <c r="C669" s="2" t="s">
        <v>20</v>
      </c>
      <c r="D669" s="2" t="s">
        <v>4534</v>
      </c>
      <c r="E669" s="2" t="s">
        <v>4535</v>
      </c>
      <c r="F669" s="4" t="s">
        <v>4536</v>
      </c>
      <c r="G669" s="4" t="s">
        <v>4537</v>
      </c>
      <c r="H669" s="4" t="s">
        <v>4538</v>
      </c>
      <c r="I669" s="4" t="s">
        <v>42</v>
      </c>
      <c r="J669" s="2" t="s">
        <v>4539</v>
      </c>
      <c r="K669" s="5" t="s">
        <v>4540</v>
      </c>
    </row>
    <row r="670" spans="1:11" ht="150" x14ac:dyDescent="0.25">
      <c r="A670" s="8" t="s">
        <v>1087</v>
      </c>
      <c r="B670" s="8">
        <v>2</v>
      </c>
      <c r="C670" s="8" t="s">
        <v>11</v>
      </c>
      <c r="D670" s="2" t="s">
        <v>4541</v>
      </c>
      <c r="E670" s="2" t="s">
        <v>4542</v>
      </c>
      <c r="F670" s="4" t="s">
        <v>4543</v>
      </c>
      <c r="G670" s="4" t="s">
        <v>4544</v>
      </c>
      <c r="H670" s="4" t="s">
        <v>4545</v>
      </c>
      <c r="I670" s="4" t="s">
        <v>702</v>
      </c>
      <c r="K670" s="13" t="s">
        <v>4546</v>
      </c>
    </row>
    <row r="671" spans="1:11" ht="135" x14ac:dyDescent="0.25">
      <c r="A671" s="8" t="s">
        <v>426</v>
      </c>
      <c r="B671" s="8">
        <v>1</v>
      </c>
      <c r="C671" s="2" t="s">
        <v>11</v>
      </c>
      <c r="D671" s="2" t="s">
        <v>4547</v>
      </c>
      <c r="E671" s="2" t="s">
        <v>4548</v>
      </c>
      <c r="F671" s="4" t="s">
        <v>4549</v>
      </c>
      <c r="G671" s="4" t="s">
        <v>4550</v>
      </c>
      <c r="H671" s="4" t="s">
        <v>4551</v>
      </c>
      <c r="I671" s="4" t="s">
        <v>42</v>
      </c>
      <c r="J671" s="2" t="s">
        <v>4552</v>
      </c>
      <c r="K671" s="5" t="s">
        <v>4553</v>
      </c>
    </row>
    <row r="672" spans="1:11" ht="360" x14ac:dyDescent="0.25">
      <c r="A672" s="2"/>
      <c r="B672" s="8" t="s">
        <v>19</v>
      </c>
      <c r="C672" s="2" t="s">
        <v>20</v>
      </c>
      <c r="D672" s="2" t="s">
        <v>4554</v>
      </c>
      <c r="E672" s="2" t="s">
        <v>4555</v>
      </c>
      <c r="F672" s="4" t="s">
        <v>4556</v>
      </c>
      <c r="G672" s="4" t="s">
        <v>4557</v>
      </c>
      <c r="H672" s="4" t="s">
        <v>4558</v>
      </c>
      <c r="I672" s="4" t="s">
        <v>42</v>
      </c>
      <c r="K672" s="5" t="s">
        <v>4559</v>
      </c>
    </row>
    <row r="673" spans="1:11" ht="75" x14ac:dyDescent="0.25">
      <c r="A673" s="8" t="s">
        <v>20</v>
      </c>
      <c r="B673" s="8">
        <v>1</v>
      </c>
      <c r="C673" s="2" t="s">
        <v>11</v>
      </c>
      <c r="D673" s="2" t="s">
        <v>4560</v>
      </c>
      <c r="E673" s="2" t="s">
        <v>4561</v>
      </c>
      <c r="F673" s="4" t="s">
        <v>4562</v>
      </c>
      <c r="G673" s="4" t="s">
        <v>4563</v>
      </c>
      <c r="H673" s="4" t="s">
        <v>4564</v>
      </c>
      <c r="I673" s="4" t="s">
        <v>26</v>
      </c>
      <c r="K673" s="5" t="s">
        <v>4565</v>
      </c>
    </row>
    <row r="674" spans="1:11" ht="330" x14ac:dyDescent="0.25">
      <c r="A674" s="2"/>
      <c r="B674" s="8" t="s">
        <v>19</v>
      </c>
      <c r="C674" s="2" t="s">
        <v>20</v>
      </c>
      <c r="D674" s="2" t="s">
        <v>4566</v>
      </c>
      <c r="E674" s="2" t="s">
        <v>4567</v>
      </c>
      <c r="F674" s="4" t="s">
        <v>4568</v>
      </c>
      <c r="G674" s="4" t="s">
        <v>4569</v>
      </c>
      <c r="H674" s="4" t="s">
        <v>4570</v>
      </c>
      <c r="I674" s="4" t="s">
        <v>42</v>
      </c>
      <c r="K674" s="5" t="s">
        <v>4571</v>
      </c>
    </row>
    <row r="675" spans="1:11" ht="180" x14ac:dyDescent="0.25">
      <c r="A675" s="8" t="s">
        <v>11</v>
      </c>
      <c r="B675" s="8">
        <v>1</v>
      </c>
      <c r="C675" s="2" t="s">
        <v>11</v>
      </c>
      <c r="D675" s="2" t="s">
        <v>4572</v>
      </c>
      <c r="E675" s="2" t="s">
        <v>4573</v>
      </c>
      <c r="F675" s="4" t="s">
        <v>4574</v>
      </c>
      <c r="G675" s="4" t="s">
        <v>4575</v>
      </c>
      <c r="H675" s="4" t="s">
        <v>4576</v>
      </c>
      <c r="I675" s="4" t="s">
        <v>42</v>
      </c>
      <c r="J675" s="2" t="s">
        <v>4577</v>
      </c>
      <c r="K675" s="5" t="s">
        <v>4578</v>
      </c>
    </row>
    <row r="676" spans="1:11" ht="375" x14ac:dyDescent="0.25">
      <c r="B676" s="8" t="s">
        <v>74</v>
      </c>
      <c r="C676" s="2" t="s">
        <v>20</v>
      </c>
      <c r="D676" s="2" t="s">
        <v>4579</v>
      </c>
      <c r="F676" s="4" t="s">
        <v>4580</v>
      </c>
      <c r="G676" s="4" t="s">
        <v>4581</v>
      </c>
      <c r="H676" s="4" t="s">
        <v>4582</v>
      </c>
      <c r="I676" s="4" t="s">
        <v>702</v>
      </c>
      <c r="K676" s="5" t="s">
        <v>4583</v>
      </c>
    </row>
    <row r="677" spans="1:11" ht="300" x14ac:dyDescent="0.25">
      <c r="A677" s="2"/>
      <c r="B677" s="8" t="s">
        <v>100</v>
      </c>
      <c r="C677" s="2" t="s">
        <v>20</v>
      </c>
      <c r="D677" s="2" t="s">
        <v>4584</v>
      </c>
      <c r="E677" s="2" t="s">
        <v>4585</v>
      </c>
      <c r="F677" s="4" t="s">
        <v>4586</v>
      </c>
      <c r="G677" s="4" t="s">
        <v>4587</v>
      </c>
      <c r="H677" s="4" t="s">
        <v>4588</v>
      </c>
      <c r="I677" s="4" t="s">
        <v>26</v>
      </c>
      <c r="J677" s="2" t="s">
        <v>4589</v>
      </c>
      <c r="K677" s="5" t="s">
        <v>4590</v>
      </c>
    </row>
    <row r="678" spans="1:11" ht="409.5" x14ac:dyDescent="0.25">
      <c r="A678" s="2"/>
      <c r="B678" s="8" t="s">
        <v>74</v>
      </c>
      <c r="C678" s="2" t="s">
        <v>20</v>
      </c>
      <c r="D678" s="2" t="s">
        <v>4591</v>
      </c>
      <c r="F678" s="4" t="s">
        <v>4592</v>
      </c>
      <c r="G678" s="4" t="s">
        <v>4593</v>
      </c>
      <c r="I678" s="4" t="s">
        <v>26</v>
      </c>
      <c r="K678" s="5" t="s">
        <v>4594</v>
      </c>
    </row>
    <row r="679" spans="1:11" ht="150" x14ac:dyDescent="0.25">
      <c r="A679" s="2"/>
      <c r="B679" s="8" t="s">
        <v>52</v>
      </c>
      <c r="C679" s="2" t="s">
        <v>20</v>
      </c>
      <c r="D679" s="2" t="s">
        <v>4595</v>
      </c>
      <c r="E679" s="2" t="s">
        <v>4596</v>
      </c>
      <c r="F679" s="4" t="s">
        <v>4597</v>
      </c>
      <c r="G679" s="4" t="s">
        <v>4598</v>
      </c>
      <c r="H679" s="4" t="s">
        <v>4599</v>
      </c>
      <c r="I679" s="4" t="s">
        <v>42</v>
      </c>
      <c r="J679" s="2" t="s">
        <v>4600</v>
      </c>
      <c r="K679" s="5" t="s">
        <v>4601</v>
      </c>
    </row>
    <row r="680" spans="1:11" ht="409.5" x14ac:dyDescent="0.25">
      <c r="A680" s="2"/>
      <c r="B680" s="8" t="s">
        <v>52</v>
      </c>
      <c r="C680" s="2" t="s">
        <v>20</v>
      </c>
      <c r="D680" s="2" t="s">
        <v>4602</v>
      </c>
      <c r="E680" s="2" t="s">
        <v>4603</v>
      </c>
      <c r="F680" s="4" t="s">
        <v>4604</v>
      </c>
      <c r="G680" s="4" t="s">
        <v>4605</v>
      </c>
      <c r="H680" s="4" t="s">
        <v>4606</v>
      </c>
      <c r="I680" s="4" t="s">
        <v>42</v>
      </c>
      <c r="J680" s="2" t="s">
        <v>4607</v>
      </c>
      <c r="K680" s="5" t="s">
        <v>4608</v>
      </c>
    </row>
    <row r="681" spans="1:11" ht="225" x14ac:dyDescent="0.25">
      <c r="A681" s="2"/>
      <c r="B681" s="8" t="s">
        <v>19</v>
      </c>
      <c r="C681" s="2" t="s">
        <v>20</v>
      </c>
      <c r="D681" s="2" t="s">
        <v>4609</v>
      </c>
      <c r="E681" s="2" t="s">
        <v>4610</v>
      </c>
      <c r="F681" s="4" t="s">
        <v>4611</v>
      </c>
      <c r="G681" s="4" t="s">
        <v>4612</v>
      </c>
      <c r="H681" s="4" t="s">
        <v>4613</v>
      </c>
      <c r="I681" s="4" t="s">
        <v>26</v>
      </c>
      <c r="J681" s="2" t="s">
        <v>4614</v>
      </c>
      <c r="K681" s="5" t="s">
        <v>4615</v>
      </c>
    </row>
    <row r="682" spans="1:11" ht="150" x14ac:dyDescent="0.25">
      <c r="A682" s="8" t="s">
        <v>11</v>
      </c>
      <c r="B682" s="8">
        <v>2</v>
      </c>
      <c r="C682" s="8" t="s">
        <v>11</v>
      </c>
      <c r="D682" s="2" t="s">
        <v>4616</v>
      </c>
      <c r="E682" s="2" t="s">
        <v>4617</v>
      </c>
      <c r="F682" s="4" t="s">
        <v>4618</v>
      </c>
      <c r="G682" s="4" t="s">
        <v>4619</v>
      </c>
      <c r="H682" s="4" t="s">
        <v>4620</v>
      </c>
      <c r="I682" s="4" t="s">
        <v>42</v>
      </c>
      <c r="J682" s="2" t="s">
        <v>4621</v>
      </c>
      <c r="K682" s="13" t="s">
        <v>4622</v>
      </c>
    </row>
    <row r="683" spans="1:11" ht="195" x14ac:dyDescent="0.25">
      <c r="A683" s="2"/>
      <c r="B683" s="8" t="s">
        <v>19</v>
      </c>
      <c r="C683" s="2" t="s">
        <v>20</v>
      </c>
      <c r="D683" s="2" t="s">
        <v>4623</v>
      </c>
      <c r="E683" s="2" t="s">
        <v>4624</v>
      </c>
      <c r="F683" s="4" t="s">
        <v>4625</v>
      </c>
      <c r="G683" s="4" t="s">
        <v>4626</v>
      </c>
      <c r="H683" s="4" t="s">
        <v>4627</v>
      </c>
      <c r="I683" s="4" t="s">
        <v>702</v>
      </c>
      <c r="J683" s="2" t="s">
        <v>4628</v>
      </c>
      <c r="K683" s="5" t="s">
        <v>4629</v>
      </c>
    </row>
    <row r="684" spans="1:11" ht="180" x14ac:dyDescent="0.25">
      <c r="A684" s="2"/>
      <c r="B684" s="8" t="s">
        <v>19</v>
      </c>
      <c r="C684" s="2" t="s">
        <v>20</v>
      </c>
      <c r="D684" s="2" t="s">
        <v>4630</v>
      </c>
      <c r="E684" s="2" t="s">
        <v>4631</v>
      </c>
      <c r="F684" s="4" t="s">
        <v>4632</v>
      </c>
      <c r="G684" s="4" t="s">
        <v>4633</v>
      </c>
      <c r="H684" s="4" t="s">
        <v>4634</v>
      </c>
      <c r="I684" s="4" t="s">
        <v>42</v>
      </c>
      <c r="J684" s="2" t="s">
        <v>4635</v>
      </c>
      <c r="K684" s="5" t="s">
        <v>4636</v>
      </c>
    </row>
    <row r="685" spans="1:11" ht="135" x14ac:dyDescent="0.25">
      <c r="A685" s="2"/>
      <c r="B685" s="8" t="s">
        <v>100</v>
      </c>
      <c r="C685" s="2" t="s">
        <v>20</v>
      </c>
      <c r="D685" s="2" t="s">
        <v>4637</v>
      </c>
      <c r="E685" s="2" t="s">
        <v>4638</v>
      </c>
      <c r="F685" s="4" t="s">
        <v>4639</v>
      </c>
      <c r="G685" s="4" t="s">
        <v>4640</v>
      </c>
      <c r="I685" s="4" t="s">
        <v>26</v>
      </c>
      <c r="K685" s="5" t="s">
        <v>4641</v>
      </c>
    </row>
    <row r="686" spans="1:11" ht="135" x14ac:dyDescent="0.25">
      <c r="A686" s="2"/>
      <c r="B686" s="8" t="s">
        <v>100</v>
      </c>
      <c r="C686" s="2" t="s">
        <v>20</v>
      </c>
      <c r="D686" s="2" t="s">
        <v>4642</v>
      </c>
      <c r="E686" s="2" t="s">
        <v>4638</v>
      </c>
      <c r="F686" s="4" t="s">
        <v>4643</v>
      </c>
      <c r="G686" s="4" t="s">
        <v>4644</v>
      </c>
      <c r="I686" s="4" t="s">
        <v>26</v>
      </c>
      <c r="K686" s="5" t="s">
        <v>4645</v>
      </c>
    </row>
    <row r="687" spans="1:11" ht="225" x14ac:dyDescent="0.25">
      <c r="A687" s="2"/>
      <c r="B687" s="8" t="s">
        <v>100</v>
      </c>
      <c r="C687" s="2" t="s">
        <v>20</v>
      </c>
      <c r="D687" s="2" t="s">
        <v>4646</v>
      </c>
      <c r="E687" s="2" t="s">
        <v>4647</v>
      </c>
      <c r="F687" s="4" t="s">
        <v>4648</v>
      </c>
      <c r="G687" s="4" t="s">
        <v>4649</v>
      </c>
      <c r="H687" s="4" t="s">
        <v>4650</v>
      </c>
      <c r="I687" s="4" t="s">
        <v>42</v>
      </c>
      <c r="J687" s="2" t="s">
        <v>4651</v>
      </c>
      <c r="K687" s="5" t="s">
        <v>4652</v>
      </c>
    </row>
    <row r="688" spans="1:11" ht="150" x14ac:dyDescent="0.25">
      <c r="A688" s="8" t="s">
        <v>11</v>
      </c>
      <c r="B688" s="8">
        <v>1</v>
      </c>
      <c r="C688" s="2" t="s">
        <v>11</v>
      </c>
      <c r="D688" s="2" t="s">
        <v>4653</v>
      </c>
      <c r="E688" s="2" t="s">
        <v>4654</v>
      </c>
      <c r="F688" s="4" t="s">
        <v>4655</v>
      </c>
      <c r="G688" s="4" t="s">
        <v>4656</v>
      </c>
      <c r="H688" s="4" t="s">
        <v>4657</v>
      </c>
      <c r="I688" s="4" t="s">
        <v>42</v>
      </c>
      <c r="J688" s="2" t="s">
        <v>4658</v>
      </c>
      <c r="K688" s="5" t="s">
        <v>4659</v>
      </c>
    </row>
    <row r="689" spans="1:11" ht="120" x14ac:dyDescent="0.25">
      <c r="A689" s="2"/>
      <c r="B689" s="8" t="s">
        <v>100</v>
      </c>
      <c r="C689" s="2" t="s">
        <v>20</v>
      </c>
      <c r="D689" s="2" t="s">
        <v>4660</v>
      </c>
      <c r="E689" s="2" t="s">
        <v>4661</v>
      </c>
      <c r="F689" s="4" t="s">
        <v>4662</v>
      </c>
      <c r="G689" s="4" t="s">
        <v>4663</v>
      </c>
      <c r="I689" s="4" t="s">
        <v>26</v>
      </c>
      <c r="K689" s="5" t="s">
        <v>4664</v>
      </c>
    </row>
    <row r="690" spans="1:11" ht="300" x14ac:dyDescent="0.25">
      <c r="A690" s="2"/>
      <c r="B690" s="8" t="s">
        <v>100</v>
      </c>
      <c r="C690" s="2" t="s">
        <v>20</v>
      </c>
      <c r="D690" s="2" t="s">
        <v>4665</v>
      </c>
      <c r="E690" s="2" t="s">
        <v>4666</v>
      </c>
      <c r="F690" s="4" t="s">
        <v>4667</v>
      </c>
      <c r="G690" s="4" t="s">
        <v>4668</v>
      </c>
      <c r="H690" s="4" t="s">
        <v>4669</v>
      </c>
      <c r="I690" s="4" t="s">
        <v>42</v>
      </c>
      <c r="K690" s="5" t="s">
        <v>4670</v>
      </c>
    </row>
    <row r="691" spans="1:11" ht="180" x14ac:dyDescent="0.25">
      <c r="A691" s="2"/>
      <c r="B691" s="8" t="s">
        <v>1398</v>
      </c>
      <c r="C691" s="2" t="s">
        <v>20</v>
      </c>
      <c r="D691" s="2" t="s">
        <v>4671</v>
      </c>
      <c r="E691" s="2" t="s">
        <v>4672</v>
      </c>
      <c r="F691" s="4" t="s">
        <v>4673</v>
      </c>
      <c r="G691" s="4" t="s">
        <v>4674</v>
      </c>
      <c r="H691" s="4" t="s">
        <v>4675</v>
      </c>
      <c r="I691" s="4" t="s">
        <v>42</v>
      </c>
      <c r="K691" s="5" t="s">
        <v>4676</v>
      </c>
    </row>
    <row r="692" spans="1:11" ht="180" x14ac:dyDescent="0.25">
      <c r="A692" s="2"/>
      <c r="B692" s="8" t="s">
        <v>19</v>
      </c>
      <c r="C692" s="2" t="s">
        <v>20</v>
      </c>
      <c r="D692" s="2" t="s">
        <v>4677</v>
      </c>
      <c r="E692" s="2" t="s">
        <v>4678</v>
      </c>
      <c r="F692" s="4" t="s">
        <v>4679</v>
      </c>
      <c r="G692" s="4" t="s">
        <v>4680</v>
      </c>
      <c r="H692" s="4" t="s">
        <v>4681</v>
      </c>
      <c r="I692" s="4" t="s">
        <v>42</v>
      </c>
      <c r="J692" s="2" t="s">
        <v>4682</v>
      </c>
      <c r="K692" s="5" t="s">
        <v>4683</v>
      </c>
    </row>
    <row r="693" spans="1:11" ht="60" x14ac:dyDescent="0.25">
      <c r="A693" s="8" t="s">
        <v>20</v>
      </c>
      <c r="B693" s="8">
        <v>1</v>
      </c>
      <c r="C693" s="2" t="s">
        <v>11</v>
      </c>
      <c r="D693" s="2" t="s">
        <v>4684</v>
      </c>
      <c r="E693" s="2" t="s">
        <v>4685</v>
      </c>
      <c r="F693" s="4" t="s">
        <v>4686</v>
      </c>
      <c r="G693" s="4" t="s">
        <v>4687</v>
      </c>
      <c r="H693" s="4" t="s">
        <v>4688</v>
      </c>
      <c r="I693" s="4" t="s">
        <v>26</v>
      </c>
      <c r="K693" s="5" t="s">
        <v>4689</v>
      </c>
    </row>
    <row r="694" spans="1:11" ht="409.5" x14ac:dyDescent="0.25">
      <c r="A694" s="2"/>
      <c r="B694" s="8" t="s">
        <v>74</v>
      </c>
      <c r="C694" s="2" t="s">
        <v>20</v>
      </c>
      <c r="D694" s="2" t="s">
        <v>4690</v>
      </c>
      <c r="F694" s="4" t="s">
        <v>4691</v>
      </c>
      <c r="G694" s="4" t="s">
        <v>4692</v>
      </c>
      <c r="I694" s="4" t="s">
        <v>42</v>
      </c>
      <c r="K694" s="5" t="s">
        <v>4693</v>
      </c>
    </row>
    <row r="695" spans="1:11" ht="210" x14ac:dyDescent="0.25">
      <c r="A695" s="2"/>
      <c r="B695" s="8" t="s">
        <v>19</v>
      </c>
      <c r="C695" s="2" t="s">
        <v>20</v>
      </c>
      <c r="D695" s="2" t="s">
        <v>4694</v>
      </c>
      <c r="E695" s="2" t="s">
        <v>4695</v>
      </c>
      <c r="F695" s="4" t="s">
        <v>4696</v>
      </c>
      <c r="G695" s="4" t="s">
        <v>4697</v>
      </c>
      <c r="I695" s="4" t="s">
        <v>702</v>
      </c>
      <c r="J695" s="2" t="s">
        <v>4698</v>
      </c>
      <c r="K695" s="5" t="s">
        <v>4699</v>
      </c>
    </row>
    <row r="696" spans="1:11" ht="315" x14ac:dyDescent="0.25">
      <c r="A696" s="2"/>
      <c r="B696" s="8" t="s">
        <v>19</v>
      </c>
      <c r="C696" s="2" t="s">
        <v>20</v>
      </c>
      <c r="D696" s="2" t="s">
        <v>4700</v>
      </c>
      <c r="E696" s="2" t="s">
        <v>4701</v>
      </c>
      <c r="F696" s="4" t="s">
        <v>4702</v>
      </c>
      <c r="G696" s="4" t="s">
        <v>4703</v>
      </c>
      <c r="H696" s="4" t="s">
        <v>4704</v>
      </c>
      <c r="I696" s="4" t="s">
        <v>42</v>
      </c>
      <c r="K696" s="5" t="s">
        <v>4705</v>
      </c>
    </row>
    <row r="697" spans="1:11" ht="285" x14ac:dyDescent="0.25">
      <c r="A697" s="2"/>
      <c r="B697" s="8" t="s">
        <v>100</v>
      </c>
      <c r="C697" s="2" t="s">
        <v>20</v>
      </c>
      <c r="D697" s="2" t="s">
        <v>4706</v>
      </c>
      <c r="E697" s="2" t="s">
        <v>4707</v>
      </c>
      <c r="F697" s="4" t="s">
        <v>4708</v>
      </c>
      <c r="G697" s="4" t="s">
        <v>4709</v>
      </c>
      <c r="H697" s="4" t="s">
        <v>4710</v>
      </c>
      <c r="I697" s="4" t="s">
        <v>42</v>
      </c>
      <c r="J697" s="2" t="s">
        <v>4711</v>
      </c>
      <c r="K697" s="5" t="s">
        <v>4712</v>
      </c>
    </row>
    <row r="698" spans="1:11" ht="120" x14ac:dyDescent="0.25">
      <c r="A698" s="8" t="s">
        <v>20</v>
      </c>
      <c r="B698" s="8">
        <v>1</v>
      </c>
      <c r="C698" s="2" t="s">
        <v>11</v>
      </c>
      <c r="D698" s="2" t="s">
        <v>4713</v>
      </c>
      <c r="E698" s="2" t="s">
        <v>4714</v>
      </c>
      <c r="F698" s="4" t="s">
        <v>4715</v>
      </c>
      <c r="G698" s="4" t="s">
        <v>4716</v>
      </c>
      <c r="H698" s="4" t="s">
        <v>4717</v>
      </c>
      <c r="I698" s="4" t="s">
        <v>26</v>
      </c>
      <c r="K698" s="5" t="s">
        <v>4718</v>
      </c>
    </row>
    <row r="699" spans="1:11" ht="210" x14ac:dyDescent="0.25">
      <c r="A699" s="2"/>
      <c r="B699" s="8" t="s">
        <v>19</v>
      </c>
      <c r="C699" s="2" t="s">
        <v>20</v>
      </c>
      <c r="D699" s="2" t="s">
        <v>4719</v>
      </c>
      <c r="E699" s="2" t="s">
        <v>4720</v>
      </c>
      <c r="F699" s="4" t="s">
        <v>4721</v>
      </c>
      <c r="G699" s="4" t="s">
        <v>4722</v>
      </c>
      <c r="H699" s="4" t="s">
        <v>4723</v>
      </c>
      <c r="I699" s="4" t="s">
        <v>42</v>
      </c>
      <c r="K699" s="5" t="s">
        <v>4724</v>
      </c>
    </row>
    <row r="700" spans="1:11" ht="135" x14ac:dyDescent="0.25">
      <c r="A700" s="2"/>
      <c r="B700" s="8" t="s">
        <v>19</v>
      </c>
      <c r="C700" s="2" t="s">
        <v>20</v>
      </c>
      <c r="D700" s="2" t="s">
        <v>4725</v>
      </c>
      <c r="E700" s="2" t="s">
        <v>4726</v>
      </c>
      <c r="F700" s="4" t="s">
        <v>4727</v>
      </c>
      <c r="G700" s="4" t="s">
        <v>4728</v>
      </c>
      <c r="H700" s="4" t="s">
        <v>4729</v>
      </c>
      <c r="I700" s="4" t="s">
        <v>42</v>
      </c>
      <c r="K700" s="5" t="s">
        <v>4730</v>
      </c>
    </row>
    <row r="701" spans="1:11" ht="210" x14ac:dyDescent="0.25">
      <c r="A701" s="2"/>
      <c r="B701" s="8" t="s">
        <v>100</v>
      </c>
      <c r="C701" s="2" t="s">
        <v>20</v>
      </c>
      <c r="D701" s="2" t="s">
        <v>4731</v>
      </c>
      <c r="E701" s="2" t="s">
        <v>4732</v>
      </c>
      <c r="F701" s="4" t="s">
        <v>4733</v>
      </c>
      <c r="G701" s="4" t="s">
        <v>4734</v>
      </c>
      <c r="H701" s="4" t="s">
        <v>4735</v>
      </c>
      <c r="I701" s="4" t="s">
        <v>42</v>
      </c>
      <c r="K701" s="5" t="s">
        <v>4736</v>
      </c>
    </row>
    <row r="702" spans="1:11" ht="270" x14ac:dyDescent="0.25">
      <c r="A702" s="2"/>
      <c r="B702" s="8" t="s">
        <v>100</v>
      </c>
      <c r="C702" s="2" t="s">
        <v>20</v>
      </c>
      <c r="D702" s="2" t="s">
        <v>4737</v>
      </c>
      <c r="E702" s="2" t="s">
        <v>4738</v>
      </c>
      <c r="F702" s="4" t="s">
        <v>4739</v>
      </c>
      <c r="G702" s="4" t="s">
        <v>4740</v>
      </c>
      <c r="H702" s="4" t="s">
        <v>4741</v>
      </c>
      <c r="I702" s="4" t="s">
        <v>42</v>
      </c>
      <c r="J702" s="2" t="s">
        <v>4742</v>
      </c>
      <c r="K702" s="5" t="s">
        <v>4743</v>
      </c>
    </row>
    <row r="703" spans="1:11" ht="315" x14ac:dyDescent="0.25">
      <c r="A703" s="8" t="s">
        <v>1087</v>
      </c>
      <c r="B703" s="8">
        <v>2</v>
      </c>
      <c r="C703" s="8" t="s">
        <v>11</v>
      </c>
      <c r="D703" s="2" t="s">
        <v>4744</v>
      </c>
      <c r="E703" s="2" t="s">
        <v>4745</v>
      </c>
      <c r="F703" s="4" t="s">
        <v>4746</v>
      </c>
      <c r="G703" s="4" t="s">
        <v>4747</v>
      </c>
      <c r="I703" s="4" t="s">
        <v>34</v>
      </c>
      <c r="J703" s="2" t="s">
        <v>4748</v>
      </c>
      <c r="K703" s="13" t="s">
        <v>4749</v>
      </c>
    </row>
    <row r="704" spans="1:11" ht="195" x14ac:dyDescent="0.25">
      <c r="A704" s="8" t="s">
        <v>11</v>
      </c>
      <c r="B704" s="8">
        <v>2</v>
      </c>
      <c r="C704" s="8" t="s">
        <v>11</v>
      </c>
      <c r="D704" s="2" t="s">
        <v>4750</v>
      </c>
      <c r="E704" s="2" t="s">
        <v>4751</v>
      </c>
      <c r="F704" s="4" t="s">
        <v>4752</v>
      </c>
      <c r="G704" s="4" t="s">
        <v>4753</v>
      </c>
      <c r="H704" s="4" t="s">
        <v>4754</v>
      </c>
      <c r="I704" s="4" t="s">
        <v>42</v>
      </c>
      <c r="K704" s="13" t="s">
        <v>4755</v>
      </c>
    </row>
    <row r="705" spans="1:11" ht="255" x14ac:dyDescent="0.25">
      <c r="A705" s="8" t="s">
        <v>11</v>
      </c>
      <c r="B705" s="8">
        <v>1</v>
      </c>
      <c r="C705" s="2" t="s">
        <v>11</v>
      </c>
      <c r="D705" s="2" t="s">
        <v>4756</v>
      </c>
      <c r="E705" s="4" t="s">
        <v>4757</v>
      </c>
      <c r="F705" s="4" t="s">
        <v>4758</v>
      </c>
      <c r="G705" s="4" t="s">
        <v>4759</v>
      </c>
      <c r="H705" s="4" t="s">
        <v>4760</v>
      </c>
      <c r="I705" s="4" t="s">
        <v>42</v>
      </c>
      <c r="J705" s="2" t="s">
        <v>4761</v>
      </c>
      <c r="K705" s="5" t="s">
        <v>4762</v>
      </c>
    </row>
    <row r="706" spans="1:11" ht="210" x14ac:dyDescent="0.25">
      <c r="A706" s="4"/>
      <c r="B706" s="8" t="s">
        <v>19</v>
      </c>
      <c r="C706" s="2" t="s">
        <v>20</v>
      </c>
      <c r="D706" s="2" t="s">
        <v>4763</v>
      </c>
      <c r="E706" s="4" t="s">
        <v>4764</v>
      </c>
      <c r="F706" s="4" t="s">
        <v>4765</v>
      </c>
      <c r="G706" s="4" t="s">
        <v>4766</v>
      </c>
      <c r="I706" s="4" t="s">
        <v>42</v>
      </c>
      <c r="J706" s="10" t="s">
        <v>4767</v>
      </c>
    </row>
    <row r="707" spans="1:11" ht="30" x14ac:dyDescent="0.25">
      <c r="A707" s="4"/>
      <c r="B707" s="9" t="s">
        <v>100</v>
      </c>
      <c r="C707" s="4" t="s">
        <v>20</v>
      </c>
      <c r="D707" s="2" t="s">
        <v>4768</v>
      </c>
      <c r="E707" s="4" t="s">
        <v>4769</v>
      </c>
      <c r="F707" s="4" t="s">
        <v>4770</v>
      </c>
      <c r="J707" s="4"/>
    </row>
    <row r="708" spans="1:11" x14ac:dyDescent="0.25">
      <c r="A708" s="4"/>
      <c r="B708" s="9" t="s">
        <v>100</v>
      </c>
      <c r="C708" s="4" t="s">
        <v>20</v>
      </c>
      <c r="D708" s="2" t="s">
        <v>4771</v>
      </c>
      <c r="E708" s="4" t="s">
        <v>4772</v>
      </c>
      <c r="F708" s="4" t="s">
        <v>4773</v>
      </c>
      <c r="J708" s="4"/>
    </row>
    <row r="709" spans="1:11" ht="30" x14ac:dyDescent="0.25">
      <c r="A709" s="4"/>
      <c r="B709" s="9" t="s">
        <v>100</v>
      </c>
      <c r="C709" s="4" t="s">
        <v>20</v>
      </c>
      <c r="D709" s="2" t="s">
        <v>4774</v>
      </c>
      <c r="E709" s="4" t="s">
        <v>4775</v>
      </c>
      <c r="F709" s="4" t="s">
        <v>4776</v>
      </c>
      <c r="J709" s="4"/>
    </row>
    <row r="710" spans="1:11" ht="165" x14ac:dyDescent="0.25">
      <c r="A710" s="2"/>
      <c r="B710" s="8" t="s">
        <v>100</v>
      </c>
      <c r="C710" s="2" t="s">
        <v>20</v>
      </c>
      <c r="D710" s="2" t="s">
        <v>4777</v>
      </c>
      <c r="E710" s="2" t="s">
        <v>4778</v>
      </c>
      <c r="F710" s="4" t="s">
        <v>4779</v>
      </c>
      <c r="G710" s="4" t="s">
        <v>4780</v>
      </c>
      <c r="H710" s="4" t="s">
        <v>4781</v>
      </c>
      <c r="I710" s="4" t="s">
        <v>26</v>
      </c>
      <c r="J710" s="2" t="s">
        <v>4782</v>
      </c>
      <c r="K710" s="5" t="s">
        <v>4783</v>
      </c>
    </row>
    <row r="711" spans="1:11" ht="225" x14ac:dyDescent="0.25">
      <c r="A711" s="2"/>
      <c r="B711" s="8" t="s">
        <v>52</v>
      </c>
      <c r="C711" s="2" t="s">
        <v>20</v>
      </c>
      <c r="D711" s="2" t="s">
        <v>4784</v>
      </c>
      <c r="E711" s="2" t="s">
        <v>4785</v>
      </c>
      <c r="F711" s="4" t="s">
        <v>4786</v>
      </c>
      <c r="G711" s="4" t="s">
        <v>4787</v>
      </c>
      <c r="H711" s="4" t="s">
        <v>4788</v>
      </c>
      <c r="I711" s="4" t="s">
        <v>26</v>
      </c>
      <c r="J711" s="2" t="s">
        <v>4789</v>
      </c>
      <c r="K711" s="5" t="s">
        <v>4790</v>
      </c>
    </row>
    <row r="712" spans="1:11" ht="225" x14ac:dyDescent="0.25">
      <c r="A712" s="8" t="s">
        <v>20</v>
      </c>
      <c r="B712" s="8">
        <v>1</v>
      </c>
      <c r="C712" s="2" t="s">
        <v>11</v>
      </c>
      <c r="D712" s="2" t="s">
        <v>4791</v>
      </c>
      <c r="E712" s="2" t="s">
        <v>4792</v>
      </c>
      <c r="F712" s="4" t="s">
        <v>4793</v>
      </c>
      <c r="G712" s="4" t="s">
        <v>4794</v>
      </c>
      <c r="H712" s="4" t="s">
        <v>4795</v>
      </c>
      <c r="I712" s="4" t="s">
        <v>42</v>
      </c>
      <c r="J712" s="2" t="s">
        <v>4796</v>
      </c>
      <c r="K712" s="5" t="s">
        <v>4797</v>
      </c>
    </row>
    <row r="713" spans="1:11" ht="270" x14ac:dyDescent="0.25">
      <c r="A713" s="2"/>
      <c r="B713" s="8" t="s">
        <v>1398</v>
      </c>
      <c r="C713" s="2" t="s">
        <v>20</v>
      </c>
      <c r="D713" s="2" t="s">
        <v>4798</v>
      </c>
      <c r="E713" s="2" t="s">
        <v>4799</v>
      </c>
      <c r="F713" s="4" t="s">
        <v>4800</v>
      </c>
      <c r="G713" s="4" t="s">
        <v>4801</v>
      </c>
      <c r="H713" s="4" t="s">
        <v>4802</v>
      </c>
      <c r="I713" s="4" t="s">
        <v>42</v>
      </c>
      <c r="J713" s="2" t="s">
        <v>4803</v>
      </c>
      <c r="K713" s="5" t="s">
        <v>4804</v>
      </c>
    </row>
    <row r="714" spans="1:11" ht="165" x14ac:dyDescent="0.25">
      <c r="A714" s="2"/>
      <c r="B714" s="8" t="s">
        <v>19</v>
      </c>
      <c r="C714" s="2" t="s">
        <v>20</v>
      </c>
      <c r="D714" s="2" t="s">
        <v>4805</v>
      </c>
      <c r="E714" s="2" t="s">
        <v>4806</v>
      </c>
      <c r="F714" s="4" t="s">
        <v>4807</v>
      </c>
      <c r="G714" s="4" t="s">
        <v>4808</v>
      </c>
      <c r="H714" s="4" t="s">
        <v>4809</v>
      </c>
      <c r="I714" s="4" t="s">
        <v>42</v>
      </c>
      <c r="J714" s="2" t="s">
        <v>4810</v>
      </c>
      <c r="K714" s="5" t="s">
        <v>4811</v>
      </c>
    </row>
    <row r="715" spans="1:11" ht="195" x14ac:dyDescent="0.25">
      <c r="A715" s="8" t="s">
        <v>11</v>
      </c>
      <c r="B715" s="8">
        <v>3</v>
      </c>
      <c r="C715" s="2" t="s">
        <v>11</v>
      </c>
      <c r="D715" s="2" t="s">
        <v>4812</v>
      </c>
      <c r="E715" s="2" t="s">
        <v>4813</v>
      </c>
      <c r="F715" s="4" t="s">
        <v>4814</v>
      </c>
      <c r="G715" s="4" t="s">
        <v>4815</v>
      </c>
      <c r="H715" s="4" t="s">
        <v>4816</v>
      </c>
      <c r="I715" s="4" t="s">
        <v>26</v>
      </c>
      <c r="J715" s="2" t="s">
        <v>4817</v>
      </c>
      <c r="K715" s="5" t="s">
        <v>4818</v>
      </c>
    </row>
    <row r="716" spans="1:11" ht="195" x14ac:dyDescent="0.25">
      <c r="A716" s="8" t="s">
        <v>11</v>
      </c>
      <c r="B716" s="8">
        <v>2</v>
      </c>
      <c r="C716" s="8" t="s">
        <v>11</v>
      </c>
      <c r="D716" s="2" t="s">
        <v>4819</v>
      </c>
      <c r="E716" s="2" t="s">
        <v>4820</v>
      </c>
      <c r="F716" s="4" t="s">
        <v>4821</v>
      </c>
      <c r="G716" s="4" t="s">
        <v>4822</v>
      </c>
      <c r="H716" s="4" t="s">
        <v>4823</v>
      </c>
      <c r="I716" s="4" t="s">
        <v>26</v>
      </c>
      <c r="J716" s="2" t="s">
        <v>4824</v>
      </c>
      <c r="K716" s="13" t="s">
        <v>4825</v>
      </c>
    </row>
    <row r="717" spans="1:11" ht="240" x14ac:dyDescent="0.25">
      <c r="A717" s="8" t="s">
        <v>11</v>
      </c>
      <c r="B717" s="8">
        <v>2</v>
      </c>
      <c r="C717" s="8" t="s">
        <v>11</v>
      </c>
      <c r="D717" s="2" t="s">
        <v>4826</v>
      </c>
      <c r="E717" s="2" t="s">
        <v>4827</v>
      </c>
      <c r="F717" s="4" t="s">
        <v>4828</v>
      </c>
      <c r="G717" s="4" t="s">
        <v>4829</v>
      </c>
      <c r="I717" s="4" t="s">
        <v>702</v>
      </c>
      <c r="K717" s="13" t="s">
        <v>4830</v>
      </c>
    </row>
    <row r="718" spans="1:11" ht="180" x14ac:dyDescent="0.25">
      <c r="A718" s="8" t="s">
        <v>11</v>
      </c>
      <c r="B718" s="8">
        <v>1</v>
      </c>
      <c r="C718" s="2" t="s">
        <v>11</v>
      </c>
      <c r="D718" s="2" t="s">
        <v>4831</v>
      </c>
      <c r="E718" s="2" t="s">
        <v>4832</v>
      </c>
      <c r="F718" s="4" t="s">
        <v>4833</v>
      </c>
      <c r="G718" s="4" t="s">
        <v>4834</v>
      </c>
      <c r="H718" s="4" t="s">
        <v>4835</v>
      </c>
      <c r="I718" s="4" t="s">
        <v>26</v>
      </c>
      <c r="J718" s="2" t="s">
        <v>4836</v>
      </c>
      <c r="K718" s="5" t="s">
        <v>4837</v>
      </c>
    </row>
    <row r="719" spans="1:11" ht="150" x14ac:dyDescent="0.25">
      <c r="A719" s="8" t="s">
        <v>11</v>
      </c>
      <c r="B719" s="8">
        <v>1</v>
      </c>
      <c r="C719" s="2" t="s">
        <v>11</v>
      </c>
      <c r="D719" s="2" t="s">
        <v>4838</v>
      </c>
      <c r="E719" s="2" t="s">
        <v>4839</v>
      </c>
      <c r="F719" s="4" t="s">
        <v>4840</v>
      </c>
      <c r="G719" s="4" t="s">
        <v>4841</v>
      </c>
      <c r="H719" s="4" t="s">
        <v>4842</v>
      </c>
      <c r="I719" s="4" t="s">
        <v>26</v>
      </c>
      <c r="J719" s="2" t="s">
        <v>4843</v>
      </c>
      <c r="K719" s="5" t="s">
        <v>4844</v>
      </c>
    </row>
    <row r="720" spans="1:11" ht="210" x14ac:dyDescent="0.25">
      <c r="A720" s="2"/>
      <c r="B720" s="8" t="s">
        <v>19</v>
      </c>
      <c r="C720" s="2" t="s">
        <v>20</v>
      </c>
      <c r="D720" s="2" t="s">
        <v>4845</v>
      </c>
      <c r="E720" s="2" t="s">
        <v>4846</v>
      </c>
      <c r="F720" s="4" t="s">
        <v>4847</v>
      </c>
      <c r="G720" s="4" t="s">
        <v>4848</v>
      </c>
      <c r="H720" s="4" t="s">
        <v>4849</v>
      </c>
      <c r="I720" s="4" t="s">
        <v>42</v>
      </c>
      <c r="J720" s="2" t="s">
        <v>4850</v>
      </c>
      <c r="K720" s="5" t="s">
        <v>4851</v>
      </c>
    </row>
    <row r="721" spans="1:11" ht="165" x14ac:dyDescent="0.25">
      <c r="A721" s="8" t="s">
        <v>11</v>
      </c>
      <c r="B721" s="8">
        <v>3</v>
      </c>
      <c r="C721" s="2" t="s">
        <v>11</v>
      </c>
      <c r="D721" s="2" t="s">
        <v>4852</v>
      </c>
      <c r="E721" s="2" t="s">
        <v>4853</v>
      </c>
      <c r="F721" s="4" t="s">
        <v>4854</v>
      </c>
      <c r="G721" s="4" t="s">
        <v>4855</v>
      </c>
      <c r="H721" s="4" t="s">
        <v>4856</v>
      </c>
      <c r="I721" s="4" t="s">
        <v>42</v>
      </c>
      <c r="J721" s="2" t="s">
        <v>4857</v>
      </c>
      <c r="K721" s="13" t="s">
        <v>4858</v>
      </c>
    </row>
    <row r="722" spans="1:11" ht="165" x14ac:dyDescent="0.25">
      <c r="A722" s="2"/>
      <c r="B722" s="8" t="s">
        <v>19</v>
      </c>
      <c r="C722" s="2" t="s">
        <v>20</v>
      </c>
      <c r="D722" s="2" t="s">
        <v>4859</v>
      </c>
      <c r="E722" s="2" t="s">
        <v>4860</v>
      </c>
      <c r="F722" s="4" t="s">
        <v>4861</v>
      </c>
      <c r="G722" s="4" t="s">
        <v>4862</v>
      </c>
      <c r="H722" s="4" t="s">
        <v>4863</v>
      </c>
      <c r="I722" s="4" t="s">
        <v>42</v>
      </c>
      <c r="J722" s="2" t="s">
        <v>4864</v>
      </c>
      <c r="K722" s="5" t="s">
        <v>4865</v>
      </c>
    </row>
    <row r="723" spans="1:11" ht="150" x14ac:dyDescent="0.25">
      <c r="A723" s="8" t="s">
        <v>426</v>
      </c>
      <c r="B723" s="8">
        <v>2</v>
      </c>
      <c r="C723" s="8" t="s">
        <v>11</v>
      </c>
      <c r="D723" s="2" t="s">
        <v>4866</v>
      </c>
      <c r="E723" s="2" t="s">
        <v>4867</v>
      </c>
      <c r="F723" s="4" t="s">
        <v>4868</v>
      </c>
      <c r="G723" s="4" t="s">
        <v>4869</v>
      </c>
      <c r="H723" s="4" t="s">
        <v>4870</v>
      </c>
      <c r="I723" s="4" t="s">
        <v>42</v>
      </c>
      <c r="J723" s="2" t="s">
        <v>4871</v>
      </c>
      <c r="K723" s="13" t="s">
        <v>4872</v>
      </c>
    </row>
    <row r="724" spans="1:11" ht="165" x14ac:dyDescent="0.25">
      <c r="A724" s="2"/>
      <c r="B724" s="8" t="s">
        <v>52</v>
      </c>
      <c r="C724" s="2" t="s">
        <v>20</v>
      </c>
      <c r="D724" s="2" t="s">
        <v>4873</v>
      </c>
      <c r="E724" s="2" t="s">
        <v>4874</v>
      </c>
      <c r="F724" s="4" t="s">
        <v>4875</v>
      </c>
      <c r="G724" s="4" t="s">
        <v>4876</v>
      </c>
      <c r="H724" s="4" t="s">
        <v>4877</v>
      </c>
      <c r="I724" s="4" t="s">
        <v>42</v>
      </c>
      <c r="J724" s="2" t="s">
        <v>4878</v>
      </c>
      <c r="K724" s="5" t="s">
        <v>4879</v>
      </c>
    </row>
    <row r="725" spans="1:11" ht="195" x14ac:dyDescent="0.25">
      <c r="A725" s="8" t="s">
        <v>11</v>
      </c>
      <c r="B725" s="8">
        <v>1</v>
      </c>
      <c r="C725" s="2" t="s">
        <v>11</v>
      </c>
      <c r="D725" s="2" t="s">
        <v>4880</v>
      </c>
      <c r="E725" s="2" t="s">
        <v>4881</v>
      </c>
      <c r="F725" s="4" t="s">
        <v>4882</v>
      </c>
      <c r="G725" s="4" t="s">
        <v>4883</v>
      </c>
      <c r="H725" s="4" t="s">
        <v>4884</v>
      </c>
      <c r="I725" s="4" t="s">
        <v>26</v>
      </c>
      <c r="J725" s="2" t="s">
        <v>4885</v>
      </c>
      <c r="K725" s="5" t="s">
        <v>4886</v>
      </c>
    </row>
    <row r="726" spans="1:11" ht="225" x14ac:dyDescent="0.25">
      <c r="A726" s="2"/>
      <c r="B726" s="8" t="s">
        <v>19</v>
      </c>
      <c r="C726" s="2" t="s">
        <v>20</v>
      </c>
      <c r="D726" s="2" t="s">
        <v>4887</v>
      </c>
      <c r="E726" s="2" t="s">
        <v>4888</v>
      </c>
      <c r="F726" s="4" t="s">
        <v>4889</v>
      </c>
      <c r="G726" s="4" t="s">
        <v>4890</v>
      </c>
      <c r="H726" s="4" t="s">
        <v>4891</v>
      </c>
      <c r="I726" s="4" t="s">
        <v>26</v>
      </c>
      <c r="J726" s="2" t="s">
        <v>4892</v>
      </c>
      <c r="K726" s="5" t="s">
        <v>4893</v>
      </c>
    </row>
    <row r="727" spans="1:11" ht="210" x14ac:dyDescent="0.25">
      <c r="A727" s="2"/>
      <c r="B727" s="8" t="s">
        <v>19</v>
      </c>
      <c r="C727" s="2" t="s">
        <v>20</v>
      </c>
      <c r="D727" s="2" t="s">
        <v>4894</v>
      </c>
      <c r="E727" s="2" t="s">
        <v>4895</v>
      </c>
      <c r="F727" s="4" t="s">
        <v>4896</v>
      </c>
      <c r="G727" s="4" t="s">
        <v>4897</v>
      </c>
      <c r="H727" s="4" t="s">
        <v>4898</v>
      </c>
      <c r="I727" s="4" t="s">
        <v>26</v>
      </c>
      <c r="J727" s="2" t="s">
        <v>4899</v>
      </c>
      <c r="K727" s="5" t="s">
        <v>4900</v>
      </c>
    </row>
    <row r="728" spans="1:11" ht="195" x14ac:dyDescent="0.25">
      <c r="A728" s="8" t="s">
        <v>11</v>
      </c>
      <c r="B728" s="8">
        <v>1</v>
      </c>
      <c r="C728" s="2" t="s">
        <v>11</v>
      </c>
      <c r="D728" s="2" t="s">
        <v>4901</v>
      </c>
      <c r="E728" s="2" t="s">
        <v>4902</v>
      </c>
      <c r="F728" s="4" t="s">
        <v>4903</v>
      </c>
      <c r="G728" s="4" t="s">
        <v>4904</v>
      </c>
      <c r="H728" s="4" t="s">
        <v>4905</v>
      </c>
      <c r="I728" s="4" t="s">
        <v>42</v>
      </c>
      <c r="J728" s="2" t="s">
        <v>4906</v>
      </c>
      <c r="K728" s="5" t="s">
        <v>4907</v>
      </c>
    </row>
    <row r="729" spans="1:11" ht="165" x14ac:dyDescent="0.25">
      <c r="A729" s="2"/>
      <c r="B729" s="8" t="s">
        <v>100</v>
      </c>
      <c r="C729" s="2" t="s">
        <v>20</v>
      </c>
      <c r="D729" s="2" t="s">
        <v>4908</v>
      </c>
      <c r="E729" s="2" t="s">
        <v>4909</v>
      </c>
      <c r="F729" s="4" t="s">
        <v>4910</v>
      </c>
      <c r="G729" s="4" t="s">
        <v>4911</v>
      </c>
      <c r="H729" s="4" t="s">
        <v>4912</v>
      </c>
      <c r="I729" s="4" t="s">
        <v>42</v>
      </c>
      <c r="J729" s="2" t="s">
        <v>4913</v>
      </c>
      <c r="K729" s="5" t="s">
        <v>4914</v>
      </c>
    </row>
    <row r="730" spans="1:11" ht="165" x14ac:dyDescent="0.25">
      <c r="A730" s="2"/>
      <c r="B730" s="8" t="s">
        <v>29</v>
      </c>
      <c r="C730" s="2" t="s">
        <v>20</v>
      </c>
      <c r="D730" s="2" t="s">
        <v>4915</v>
      </c>
      <c r="E730" s="2" t="s">
        <v>4916</v>
      </c>
      <c r="F730" s="4" t="s">
        <v>4917</v>
      </c>
      <c r="G730" s="4" t="s">
        <v>4918</v>
      </c>
      <c r="H730" s="4" t="s">
        <v>4919</v>
      </c>
      <c r="I730" s="4" t="s">
        <v>26</v>
      </c>
      <c r="J730" s="2" t="s">
        <v>4920</v>
      </c>
      <c r="K730" s="5" t="s">
        <v>4921</v>
      </c>
    </row>
    <row r="731" spans="1:11" ht="210" x14ac:dyDescent="0.25">
      <c r="A731" s="2"/>
      <c r="B731" s="8" t="s">
        <v>19</v>
      </c>
      <c r="C731" s="2" t="s">
        <v>20</v>
      </c>
      <c r="D731" s="2" t="s">
        <v>4922</v>
      </c>
      <c r="E731" s="2" t="s">
        <v>4923</v>
      </c>
      <c r="F731" s="4" t="s">
        <v>4924</v>
      </c>
      <c r="G731" s="4" t="s">
        <v>4925</v>
      </c>
      <c r="H731" s="4" t="s">
        <v>4926</v>
      </c>
      <c r="I731" s="4" t="s">
        <v>42</v>
      </c>
      <c r="J731" s="2" t="s">
        <v>4927</v>
      </c>
      <c r="K731" s="5" t="s">
        <v>4928</v>
      </c>
    </row>
    <row r="732" spans="1:11" ht="270" x14ac:dyDescent="0.25">
      <c r="A732" s="2"/>
      <c r="B732" s="8" t="s">
        <v>19</v>
      </c>
      <c r="C732" s="2" t="s">
        <v>20</v>
      </c>
      <c r="D732" s="2" t="s">
        <v>4929</v>
      </c>
      <c r="E732" s="2" t="s">
        <v>4930</v>
      </c>
      <c r="F732" s="4" t="s">
        <v>4931</v>
      </c>
      <c r="G732" s="4" t="s">
        <v>4932</v>
      </c>
      <c r="H732" s="4" t="s">
        <v>4933</v>
      </c>
      <c r="I732" s="4" t="s">
        <v>26</v>
      </c>
      <c r="J732" s="2" t="s">
        <v>4934</v>
      </c>
      <c r="K732" s="5" t="s">
        <v>4935</v>
      </c>
    </row>
    <row r="733" spans="1:11" ht="210" x14ac:dyDescent="0.25">
      <c r="A733" s="2"/>
      <c r="B733" s="8" t="s">
        <v>52</v>
      </c>
      <c r="C733" s="2" t="s">
        <v>20</v>
      </c>
      <c r="D733" s="2" t="s">
        <v>4936</v>
      </c>
      <c r="E733" s="2" t="s">
        <v>4937</v>
      </c>
      <c r="F733" s="4" t="s">
        <v>4938</v>
      </c>
      <c r="G733" s="4" t="s">
        <v>4939</v>
      </c>
      <c r="H733" s="4" t="s">
        <v>4940</v>
      </c>
      <c r="I733" s="4" t="s">
        <v>26</v>
      </c>
      <c r="J733" s="2" t="s">
        <v>4941</v>
      </c>
      <c r="K733" s="5" t="s">
        <v>4942</v>
      </c>
    </row>
    <row r="734" spans="1:11" s="4" customFormat="1" ht="165" x14ac:dyDescent="0.25">
      <c r="A734" s="2"/>
      <c r="B734" s="8" t="s">
        <v>19</v>
      </c>
      <c r="C734" s="2" t="s">
        <v>20</v>
      </c>
      <c r="D734" s="2" t="s">
        <v>4943</v>
      </c>
      <c r="E734" s="2" t="s">
        <v>4944</v>
      </c>
      <c r="F734" s="4" t="s">
        <v>4945</v>
      </c>
      <c r="G734" s="4" t="s">
        <v>4946</v>
      </c>
      <c r="H734" s="4" t="s">
        <v>4947</v>
      </c>
      <c r="I734" s="4" t="s">
        <v>42</v>
      </c>
      <c r="J734" s="2" t="s">
        <v>4948</v>
      </c>
      <c r="K734" s="5" t="s">
        <v>4949</v>
      </c>
    </row>
    <row r="735" spans="1:11" s="4" customFormat="1" ht="165" x14ac:dyDescent="0.25">
      <c r="A735" s="2"/>
      <c r="B735" s="8" t="s">
        <v>19</v>
      </c>
      <c r="C735" s="2" t="s">
        <v>20</v>
      </c>
      <c r="D735" s="2" t="s">
        <v>4950</v>
      </c>
      <c r="E735" s="2" t="s">
        <v>4951</v>
      </c>
      <c r="F735" s="4" t="s">
        <v>4952</v>
      </c>
      <c r="G735" s="4" t="s">
        <v>4953</v>
      </c>
      <c r="H735" s="4" t="s">
        <v>4954</v>
      </c>
      <c r="I735" s="4" t="s">
        <v>26</v>
      </c>
      <c r="J735" s="2" t="s">
        <v>4955</v>
      </c>
      <c r="K735" s="5" t="s">
        <v>4956</v>
      </c>
    </row>
    <row r="736" spans="1:11" s="4" customFormat="1" ht="180" x14ac:dyDescent="0.25">
      <c r="A736" s="8" t="s">
        <v>11</v>
      </c>
      <c r="B736" s="8">
        <v>1</v>
      </c>
      <c r="C736" s="2" t="s">
        <v>11</v>
      </c>
      <c r="D736" s="2" t="s">
        <v>4957</v>
      </c>
      <c r="E736" s="2" t="s">
        <v>4958</v>
      </c>
      <c r="F736" s="4" t="s">
        <v>4959</v>
      </c>
      <c r="G736" s="4" t="s">
        <v>4960</v>
      </c>
      <c r="H736" s="4" t="s">
        <v>4961</v>
      </c>
      <c r="I736" s="4" t="s">
        <v>26</v>
      </c>
      <c r="J736" s="2" t="s">
        <v>4962</v>
      </c>
      <c r="K736" s="5" t="s">
        <v>4963</v>
      </c>
    </row>
    <row r="737" spans="1:11" s="4" customFormat="1" ht="240" x14ac:dyDescent="0.25">
      <c r="A737" s="2"/>
      <c r="B737" s="8" t="s">
        <v>19</v>
      </c>
      <c r="C737" s="2" t="s">
        <v>20</v>
      </c>
      <c r="D737" s="2" t="s">
        <v>4964</v>
      </c>
      <c r="E737" s="2" t="s">
        <v>4965</v>
      </c>
      <c r="F737" s="4" t="s">
        <v>4966</v>
      </c>
      <c r="G737" s="4" t="s">
        <v>4967</v>
      </c>
      <c r="H737" s="4" t="s">
        <v>4968</v>
      </c>
      <c r="I737" s="4" t="s">
        <v>26</v>
      </c>
      <c r="J737" s="2" t="s">
        <v>4969</v>
      </c>
      <c r="K737" s="5" t="s">
        <v>4970</v>
      </c>
    </row>
  </sheetData>
  <autoFilter ref="A1:K737" xr:uid="{00000000-0001-0000-0000-000000000000}"/>
  <sortState xmlns:xlrd2="http://schemas.microsoft.com/office/spreadsheetml/2017/richdata2" ref="A2:K737">
    <sortCondition descending="1" ref="D1:D737"/>
  </sortState>
  <phoneticPr fontId="7" type="noConversion"/>
  <hyperlinks>
    <hyperlink ref="K2" r:id="rId1" xr:uid="{00000000-0004-0000-0000-000000000000}"/>
    <hyperlink ref="K113" r:id="rId2" xr:uid="{00000000-0004-0000-0000-000001000000}"/>
    <hyperlink ref="K224" r:id="rId3" xr:uid="{00000000-0004-0000-0000-000002000000}"/>
    <hyperlink ref="K335" r:id="rId4" xr:uid="{00000000-0004-0000-0000-000003000000}"/>
    <hyperlink ref="K446" r:id="rId5" xr:uid="{00000000-0004-0000-0000-000004000000}"/>
    <hyperlink ref="K557" r:id="rId6" xr:uid="{00000000-0004-0000-0000-000005000000}"/>
    <hyperlink ref="K669" r:id="rId7" xr:uid="{00000000-0004-0000-0000-000006000000}"/>
    <hyperlink ref="K716" r:id="rId8" xr:uid="{00000000-0004-0000-0000-000007000000}"/>
    <hyperlink ref="K727" r:id="rId9" xr:uid="{00000000-0004-0000-0000-000008000000}"/>
    <hyperlink ref="K3" r:id="rId10" xr:uid="{00000000-0004-0000-0000-000009000000}"/>
    <hyperlink ref="K14" r:id="rId11" xr:uid="{00000000-0004-0000-0000-00000A000000}"/>
    <hyperlink ref="K25" r:id="rId12" xr:uid="{00000000-0004-0000-0000-00000B000000}"/>
    <hyperlink ref="K36" r:id="rId13" xr:uid="{00000000-0004-0000-0000-00000C000000}"/>
    <hyperlink ref="K47" r:id="rId14" xr:uid="{00000000-0004-0000-0000-00000D000000}"/>
    <hyperlink ref="K58" r:id="rId15" xr:uid="{00000000-0004-0000-0000-00000E000000}"/>
    <hyperlink ref="K69" r:id="rId16" xr:uid="{00000000-0004-0000-0000-00000F000000}"/>
    <hyperlink ref="K80" r:id="rId17" xr:uid="{00000000-0004-0000-0000-000010000000}"/>
    <hyperlink ref="K91" r:id="rId18" xr:uid="{00000000-0004-0000-0000-000011000000}"/>
    <hyperlink ref="K102" r:id="rId19" xr:uid="{00000000-0004-0000-0000-000012000000}"/>
    <hyperlink ref="K114" r:id="rId20" xr:uid="{00000000-0004-0000-0000-000013000000}"/>
    <hyperlink ref="K125" r:id="rId21" xr:uid="{00000000-0004-0000-0000-000014000000}"/>
    <hyperlink ref="K136" r:id="rId22" xr:uid="{00000000-0004-0000-0000-000015000000}"/>
    <hyperlink ref="K147" r:id="rId23" xr:uid="{00000000-0004-0000-0000-000016000000}"/>
    <hyperlink ref="K158" r:id="rId24" xr:uid="{00000000-0004-0000-0000-000017000000}"/>
    <hyperlink ref="K169" r:id="rId25" xr:uid="{00000000-0004-0000-0000-000018000000}"/>
    <hyperlink ref="K180" r:id="rId26" xr:uid="{00000000-0004-0000-0000-000019000000}"/>
    <hyperlink ref="K191" r:id="rId27" xr:uid="{00000000-0004-0000-0000-00001A000000}"/>
    <hyperlink ref="K202" r:id="rId28" xr:uid="{00000000-0004-0000-0000-00001B000000}"/>
    <hyperlink ref="K213" r:id="rId29" xr:uid="{00000000-0004-0000-0000-00001C000000}"/>
    <hyperlink ref="K225" r:id="rId30" xr:uid="{00000000-0004-0000-0000-00001D000000}"/>
    <hyperlink ref="K236" r:id="rId31" xr:uid="{00000000-0004-0000-0000-00001E000000}"/>
    <hyperlink ref="K247" r:id="rId32" xr:uid="{00000000-0004-0000-0000-00001F000000}"/>
    <hyperlink ref="K258" r:id="rId33" xr:uid="{00000000-0004-0000-0000-000020000000}"/>
    <hyperlink ref="K269" r:id="rId34" xr:uid="{00000000-0004-0000-0000-000021000000}"/>
    <hyperlink ref="K280" r:id="rId35" xr:uid="{00000000-0004-0000-0000-000022000000}"/>
    <hyperlink ref="K291" r:id="rId36" xr:uid="{00000000-0004-0000-0000-000023000000}"/>
    <hyperlink ref="K302" r:id="rId37" xr:uid="{00000000-0004-0000-0000-000024000000}"/>
    <hyperlink ref="K313" r:id="rId38" xr:uid="{00000000-0004-0000-0000-000025000000}"/>
    <hyperlink ref="K324" r:id="rId39" xr:uid="{00000000-0004-0000-0000-000026000000}"/>
    <hyperlink ref="K336" r:id="rId40" xr:uid="{00000000-0004-0000-0000-000027000000}"/>
    <hyperlink ref="K347" r:id="rId41" xr:uid="{00000000-0004-0000-0000-000028000000}"/>
    <hyperlink ref="K358" r:id="rId42" xr:uid="{00000000-0004-0000-0000-000029000000}"/>
    <hyperlink ref="K369" r:id="rId43" xr:uid="{00000000-0004-0000-0000-00002A000000}"/>
    <hyperlink ref="K380" r:id="rId44" xr:uid="{00000000-0004-0000-0000-00002B000000}"/>
    <hyperlink ref="K391" r:id="rId45" xr:uid="{00000000-0004-0000-0000-00002C000000}"/>
    <hyperlink ref="K402" r:id="rId46" xr:uid="{00000000-0004-0000-0000-00002D000000}"/>
    <hyperlink ref="K413" r:id="rId47" xr:uid="{00000000-0004-0000-0000-00002E000000}"/>
    <hyperlink ref="K424" r:id="rId48" xr:uid="{00000000-0004-0000-0000-00002F000000}"/>
    <hyperlink ref="K435" r:id="rId49" xr:uid="{00000000-0004-0000-0000-000030000000}"/>
    <hyperlink ref="K447" r:id="rId50" xr:uid="{00000000-0004-0000-0000-000031000000}"/>
    <hyperlink ref="K458" r:id="rId51" xr:uid="{00000000-0004-0000-0000-000032000000}"/>
    <hyperlink ref="K469" r:id="rId52" xr:uid="{00000000-0004-0000-0000-000033000000}"/>
    <hyperlink ref="K480" r:id="rId53" xr:uid="{00000000-0004-0000-0000-000034000000}"/>
    <hyperlink ref="K491" r:id="rId54" xr:uid="{00000000-0004-0000-0000-000035000000}"/>
    <hyperlink ref="K502" r:id="rId55" xr:uid="{00000000-0004-0000-0000-000036000000}"/>
    <hyperlink ref="K513" r:id="rId56" xr:uid="{00000000-0004-0000-0000-000037000000}"/>
    <hyperlink ref="K524" r:id="rId57" xr:uid="{00000000-0004-0000-0000-000038000000}"/>
    <hyperlink ref="K535" r:id="rId58" xr:uid="{00000000-0004-0000-0000-000039000000}"/>
    <hyperlink ref="K546" r:id="rId59" xr:uid="{00000000-0004-0000-0000-00003A000000}"/>
    <hyperlink ref="K558" r:id="rId60" xr:uid="{00000000-0004-0000-0000-00003B000000}"/>
    <hyperlink ref="K569" r:id="rId61" xr:uid="{00000000-0004-0000-0000-00003C000000}"/>
    <hyperlink ref="K581" r:id="rId62" xr:uid="{00000000-0004-0000-0000-00003D000000}"/>
    <hyperlink ref="K592" r:id="rId63" xr:uid="{00000000-0004-0000-0000-00003E000000}"/>
    <hyperlink ref="K603" r:id="rId64" xr:uid="{00000000-0004-0000-0000-00003F000000}"/>
    <hyperlink ref="K614" r:id="rId65" xr:uid="{00000000-0004-0000-0000-000040000000}"/>
    <hyperlink ref="K625" r:id="rId66" xr:uid="{00000000-0004-0000-0000-000041000000}"/>
    <hyperlink ref="K636" r:id="rId67" xr:uid="{00000000-0004-0000-0000-000042000000}"/>
    <hyperlink ref="K647" r:id="rId68" xr:uid="{00000000-0004-0000-0000-000043000000}"/>
    <hyperlink ref="K658" r:id="rId69" xr:uid="{00000000-0004-0000-0000-000044000000}"/>
    <hyperlink ref="K670" r:id="rId70" xr:uid="{00000000-0004-0000-0000-000045000000}"/>
    <hyperlink ref="K681" r:id="rId71" xr:uid="{00000000-0004-0000-0000-000046000000}"/>
    <hyperlink ref="K692" r:id="rId72" xr:uid="{00000000-0004-0000-0000-000047000000}"/>
    <hyperlink ref="K703" r:id="rId73" xr:uid="{00000000-0004-0000-0000-000048000000}"/>
    <hyperlink ref="K710" r:id="rId74" xr:uid="{00000000-0004-0000-0000-000049000000}"/>
    <hyperlink ref="K711" r:id="rId75" xr:uid="{00000000-0004-0000-0000-00004A000000}"/>
    <hyperlink ref="K712" r:id="rId76" xr:uid="{00000000-0004-0000-0000-00004B000000}"/>
    <hyperlink ref="K713" r:id="rId77" xr:uid="{00000000-0004-0000-0000-00004C000000}"/>
    <hyperlink ref="K714" r:id="rId78" xr:uid="{00000000-0004-0000-0000-00004D000000}"/>
    <hyperlink ref="K715" r:id="rId79" xr:uid="{00000000-0004-0000-0000-00004E000000}"/>
    <hyperlink ref="K717" r:id="rId80" xr:uid="{00000000-0004-0000-0000-00004F000000}"/>
    <hyperlink ref="K718" r:id="rId81" xr:uid="{00000000-0004-0000-0000-000050000000}"/>
    <hyperlink ref="K719" r:id="rId82" xr:uid="{00000000-0004-0000-0000-000051000000}"/>
    <hyperlink ref="K720" r:id="rId83" xr:uid="{00000000-0004-0000-0000-000052000000}"/>
    <hyperlink ref="K721" r:id="rId84" xr:uid="{00000000-0004-0000-0000-000053000000}"/>
    <hyperlink ref="K722" r:id="rId85" xr:uid="{00000000-0004-0000-0000-000054000000}"/>
    <hyperlink ref="K723" r:id="rId86" xr:uid="{00000000-0004-0000-0000-000055000000}"/>
    <hyperlink ref="K724" r:id="rId87" xr:uid="{00000000-0004-0000-0000-000056000000}"/>
    <hyperlink ref="K725" r:id="rId88" xr:uid="{00000000-0004-0000-0000-000057000000}"/>
    <hyperlink ref="K726" r:id="rId89" xr:uid="{00000000-0004-0000-0000-000058000000}"/>
    <hyperlink ref="K728" r:id="rId90" xr:uid="{00000000-0004-0000-0000-000059000000}"/>
    <hyperlink ref="K729" r:id="rId91" xr:uid="{00000000-0004-0000-0000-00005A000000}"/>
    <hyperlink ref="K730" r:id="rId92" xr:uid="{00000000-0004-0000-0000-00005B000000}"/>
    <hyperlink ref="K731" r:id="rId93" xr:uid="{00000000-0004-0000-0000-00005C000000}"/>
    <hyperlink ref="K732" r:id="rId94" xr:uid="{00000000-0004-0000-0000-00005D000000}"/>
    <hyperlink ref="K733" r:id="rId95" xr:uid="{00000000-0004-0000-0000-00005E000000}"/>
    <hyperlink ref="K734" r:id="rId96" xr:uid="{00000000-0004-0000-0000-00005F000000}"/>
    <hyperlink ref="K735" r:id="rId97" xr:uid="{00000000-0004-0000-0000-000060000000}"/>
    <hyperlink ref="K736" r:id="rId98" xr:uid="{00000000-0004-0000-0000-000061000000}"/>
    <hyperlink ref="K737" r:id="rId99" xr:uid="{00000000-0004-0000-0000-000062000000}"/>
    <hyperlink ref="K4" r:id="rId100" xr:uid="{00000000-0004-0000-0000-000063000000}"/>
    <hyperlink ref="K5" r:id="rId101" xr:uid="{00000000-0004-0000-0000-000064000000}"/>
    <hyperlink ref="K6" r:id="rId102" xr:uid="{00000000-0004-0000-0000-000065000000}"/>
    <hyperlink ref="K7" r:id="rId103" xr:uid="{00000000-0004-0000-0000-000066000000}"/>
    <hyperlink ref="K8" r:id="rId104" xr:uid="{00000000-0004-0000-0000-000067000000}"/>
    <hyperlink ref="K9" r:id="rId105" xr:uid="{00000000-0004-0000-0000-000068000000}"/>
    <hyperlink ref="K10" r:id="rId106" xr:uid="{00000000-0004-0000-0000-000069000000}"/>
    <hyperlink ref="K11" r:id="rId107" xr:uid="{00000000-0004-0000-0000-00006A000000}"/>
    <hyperlink ref="K12" r:id="rId108" xr:uid="{00000000-0004-0000-0000-00006B000000}"/>
    <hyperlink ref="K13" r:id="rId109" xr:uid="{00000000-0004-0000-0000-00006C000000}"/>
    <hyperlink ref="K15" r:id="rId110" xr:uid="{00000000-0004-0000-0000-00006D000000}"/>
    <hyperlink ref="K16" r:id="rId111" xr:uid="{00000000-0004-0000-0000-00006E000000}"/>
    <hyperlink ref="K17" r:id="rId112" xr:uid="{00000000-0004-0000-0000-00006F000000}"/>
    <hyperlink ref="K18" r:id="rId113" xr:uid="{00000000-0004-0000-0000-000070000000}"/>
    <hyperlink ref="K19" r:id="rId114" xr:uid="{00000000-0004-0000-0000-000071000000}"/>
    <hyperlink ref="K20" r:id="rId115" xr:uid="{00000000-0004-0000-0000-000072000000}"/>
    <hyperlink ref="K21" r:id="rId116" xr:uid="{00000000-0004-0000-0000-000073000000}"/>
    <hyperlink ref="K22" r:id="rId117" xr:uid="{00000000-0004-0000-0000-000074000000}"/>
    <hyperlink ref="K23" r:id="rId118" xr:uid="{00000000-0004-0000-0000-000075000000}"/>
    <hyperlink ref="K24" r:id="rId119" xr:uid="{00000000-0004-0000-0000-000076000000}"/>
    <hyperlink ref="K26" r:id="rId120" xr:uid="{00000000-0004-0000-0000-000077000000}"/>
    <hyperlink ref="K27" r:id="rId121" xr:uid="{00000000-0004-0000-0000-000078000000}"/>
    <hyperlink ref="K28" r:id="rId122" xr:uid="{00000000-0004-0000-0000-000079000000}"/>
    <hyperlink ref="K29" r:id="rId123" xr:uid="{00000000-0004-0000-0000-00007A000000}"/>
    <hyperlink ref="K30" r:id="rId124" xr:uid="{00000000-0004-0000-0000-00007B000000}"/>
    <hyperlink ref="K31" r:id="rId125" xr:uid="{00000000-0004-0000-0000-00007C000000}"/>
    <hyperlink ref="K32" r:id="rId126" xr:uid="{00000000-0004-0000-0000-00007D000000}"/>
    <hyperlink ref="K33" r:id="rId127" xr:uid="{00000000-0004-0000-0000-00007E000000}"/>
    <hyperlink ref="K34" r:id="rId128" xr:uid="{00000000-0004-0000-0000-00007F000000}"/>
    <hyperlink ref="K35" r:id="rId129" xr:uid="{00000000-0004-0000-0000-000080000000}"/>
    <hyperlink ref="K37" r:id="rId130" xr:uid="{00000000-0004-0000-0000-000081000000}"/>
    <hyperlink ref="K38" r:id="rId131" xr:uid="{00000000-0004-0000-0000-000082000000}"/>
    <hyperlink ref="K39" r:id="rId132" xr:uid="{00000000-0004-0000-0000-000083000000}"/>
    <hyperlink ref="K40" r:id="rId133" xr:uid="{00000000-0004-0000-0000-000084000000}"/>
    <hyperlink ref="K41" r:id="rId134" xr:uid="{00000000-0004-0000-0000-000085000000}"/>
    <hyperlink ref="K42" r:id="rId135" xr:uid="{00000000-0004-0000-0000-000086000000}"/>
    <hyperlink ref="K43" r:id="rId136" xr:uid="{00000000-0004-0000-0000-000087000000}"/>
    <hyperlink ref="K44" r:id="rId137" xr:uid="{00000000-0004-0000-0000-000088000000}"/>
    <hyperlink ref="K45" r:id="rId138" xr:uid="{00000000-0004-0000-0000-000089000000}"/>
    <hyperlink ref="K46" r:id="rId139" xr:uid="{00000000-0004-0000-0000-00008A000000}"/>
    <hyperlink ref="K48" r:id="rId140" xr:uid="{00000000-0004-0000-0000-00008B000000}"/>
    <hyperlink ref="K49" r:id="rId141" xr:uid="{00000000-0004-0000-0000-00008C000000}"/>
    <hyperlink ref="K50" r:id="rId142" xr:uid="{00000000-0004-0000-0000-00008D000000}"/>
    <hyperlink ref="K51" r:id="rId143" xr:uid="{00000000-0004-0000-0000-00008E000000}"/>
    <hyperlink ref="K52" r:id="rId144" xr:uid="{00000000-0004-0000-0000-00008F000000}"/>
    <hyperlink ref="K53" r:id="rId145" xr:uid="{00000000-0004-0000-0000-000090000000}"/>
    <hyperlink ref="K54" r:id="rId146" xr:uid="{00000000-0004-0000-0000-000091000000}"/>
    <hyperlink ref="K55" r:id="rId147" xr:uid="{00000000-0004-0000-0000-000092000000}"/>
    <hyperlink ref="K56" r:id="rId148" xr:uid="{00000000-0004-0000-0000-000093000000}"/>
    <hyperlink ref="K57" r:id="rId149" xr:uid="{00000000-0004-0000-0000-000094000000}"/>
    <hyperlink ref="K59" r:id="rId150" xr:uid="{00000000-0004-0000-0000-000095000000}"/>
    <hyperlink ref="K60" r:id="rId151" xr:uid="{00000000-0004-0000-0000-000096000000}"/>
    <hyperlink ref="K61" r:id="rId152" xr:uid="{00000000-0004-0000-0000-000097000000}"/>
    <hyperlink ref="K62" r:id="rId153" xr:uid="{00000000-0004-0000-0000-000098000000}"/>
    <hyperlink ref="K63" r:id="rId154" xr:uid="{00000000-0004-0000-0000-000099000000}"/>
    <hyperlink ref="K64" r:id="rId155" xr:uid="{00000000-0004-0000-0000-00009A000000}"/>
    <hyperlink ref="K65" r:id="rId156" xr:uid="{00000000-0004-0000-0000-00009B000000}"/>
    <hyperlink ref="K66" r:id="rId157" xr:uid="{00000000-0004-0000-0000-00009C000000}"/>
    <hyperlink ref="K67" r:id="rId158" xr:uid="{00000000-0004-0000-0000-00009D000000}"/>
    <hyperlink ref="K68" r:id="rId159" xr:uid="{00000000-0004-0000-0000-00009E000000}"/>
    <hyperlink ref="K70" r:id="rId160" xr:uid="{00000000-0004-0000-0000-00009F000000}"/>
    <hyperlink ref="K71" r:id="rId161" xr:uid="{00000000-0004-0000-0000-0000A0000000}"/>
    <hyperlink ref="K72" r:id="rId162" xr:uid="{00000000-0004-0000-0000-0000A1000000}"/>
    <hyperlink ref="K73" r:id="rId163" xr:uid="{00000000-0004-0000-0000-0000A2000000}"/>
    <hyperlink ref="K74" r:id="rId164" xr:uid="{00000000-0004-0000-0000-0000A3000000}"/>
    <hyperlink ref="K75" r:id="rId165" xr:uid="{00000000-0004-0000-0000-0000A4000000}"/>
    <hyperlink ref="K76" r:id="rId166" xr:uid="{00000000-0004-0000-0000-0000A5000000}"/>
    <hyperlink ref="K77" r:id="rId167" xr:uid="{00000000-0004-0000-0000-0000A6000000}"/>
    <hyperlink ref="K78" r:id="rId168" xr:uid="{00000000-0004-0000-0000-0000A7000000}"/>
    <hyperlink ref="K79" r:id="rId169" xr:uid="{00000000-0004-0000-0000-0000A8000000}"/>
    <hyperlink ref="K81" r:id="rId170" xr:uid="{00000000-0004-0000-0000-0000A9000000}"/>
    <hyperlink ref="K82" r:id="rId171" xr:uid="{00000000-0004-0000-0000-0000AA000000}"/>
    <hyperlink ref="K83" r:id="rId172" xr:uid="{00000000-0004-0000-0000-0000AB000000}"/>
    <hyperlink ref="K84" r:id="rId173" xr:uid="{00000000-0004-0000-0000-0000AC000000}"/>
    <hyperlink ref="K85" r:id="rId174" xr:uid="{00000000-0004-0000-0000-0000AD000000}"/>
    <hyperlink ref="K86" r:id="rId175" xr:uid="{00000000-0004-0000-0000-0000AE000000}"/>
    <hyperlink ref="K87" r:id="rId176" xr:uid="{00000000-0004-0000-0000-0000AF000000}"/>
    <hyperlink ref="K88" r:id="rId177" xr:uid="{00000000-0004-0000-0000-0000B0000000}"/>
    <hyperlink ref="K89" r:id="rId178" xr:uid="{00000000-0004-0000-0000-0000B1000000}"/>
    <hyperlink ref="K90" r:id="rId179" xr:uid="{00000000-0004-0000-0000-0000B2000000}"/>
    <hyperlink ref="K92" r:id="rId180" xr:uid="{00000000-0004-0000-0000-0000B3000000}"/>
    <hyperlink ref="K93" r:id="rId181" xr:uid="{00000000-0004-0000-0000-0000B4000000}"/>
    <hyperlink ref="K94" r:id="rId182" xr:uid="{00000000-0004-0000-0000-0000B5000000}"/>
    <hyperlink ref="K95" r:id="rId183" xr:uid="{00000000-0004-0000-0000-0000B6000000}"/>
    <hyperlink ref="K96" r:id="rId184" xr:uid="{00000000-0004-0000-0000-0000B7000000}"/>
    <hyperlink ref="K97" r:id="rId185" xr:uid="{00000000-0004-0000-0000-0000B8000000}"/>
    <hyperlink ref="K98" r:id="rId186" xr:uid="{00000000-0004-0000-0000-0000B9000000}"/>
    <hyperlink ref="K99" r:id="rId187" xr:uid="{00000000-0004-0000-0000-0000BA000000}"/>
    <hyperlink ref="K100" r:id="rId188" xr:uid="{00000000-0004-0000-0000-0000BB000000}"/>
    <hyperlink ref="K101" r:id="rId189" xr:uid="{00000000-0004-0000-0000-0000BC000000}"/>
    <hyperlink ref="K103" r:id="rId190" xr:uid="{00000000-0004-0000-0000-0000BD000000}"/>
    <hyperlink ref="K104" r:id="rId191" xr:uid="{00000000-0004-0000-0000-0000BE000000}"/>
    <hyperlink ref="K105" r:id="rId192" xr:uid="{00000000-0004-0000-0000-0000BF000000}"/>
    <hyperlink ref="K106" r:id="rId193" xr:uid="{00000000-0004-0000-0000-0000C0000000}"/>
    <hyperlink ref="K107" r:id="rId194" xr:uid="{00000000-0004-0000-0000-0000C1000000}"/>
    <hyperlink ref="K108" r:id="rId195" xr:uid="{00000000-0004-0000-0000-0000C2000000}"/>
    <hyperlink ref="K109" r:id="rId196" xr:uid="{00000000-0004-0000-0000-0000C3000000}"/>
    <hyperlink ref="K110" r:id="rId197" xr:uid="{00000000-0004-0000-0000-0000C4000000}"/>
    <hyperlink ref="K111" r:id="rId198" xr:uid="{00000000-0004-0000-0000-0000C5000000}"/>
    <hyperlink ref="K112" r:id="rId199" xr:uid="{00000000-0004-0000-0000-0000C6000000}"/>
    <hyperlink ref="K115" r:id="rId200" xr:uid="{00000000-0004-0000-0000-0000C7000000}"/>
    <hyperlink ref="K116" r:id="rId201" xr:uid="{00000000-0004-0000-0000-0000C8000000}"/>
    <hyperlink ref="K117" r:id="rId202" xr:uid="{00000000-0004-0000-0000-0000C9000000}"/>
    <hyperlink ref="K118" r:id="rId203" xr:uid="{00000000-0004-0000-0000-0000CA000000}"/>
    <hyperlink ref="K119" r:id="rId204" xr:uid="{00000000-0004-0000-0000-0000CB000000}"/>
    <hyperlink ref="K120" r:id="rId205" xr:uid="{00000000-0004-0000-0000-0000CC000000}"/>
    <hyperlink ref="K121" r:id="rId206" xr:uid="{00000000-0004-0000-0000-0000CD000000}"/>
    <hyperlink ref="K122" r:id="rId207" xr:uid="{00000000-0004-0000-0000-0000CE000000}"/>
    <hyperlink ref="K123" r:id="rId208" xr:uid="{00000000-0004-0000-0000-0000CF000000}"/>
    <hyperlink ref="K124" r:id="rId209" xr:uid="{00000000-0004-0000-0000-0000D0000000}"/>
    <hyperlink ref="K126" r:id="rId210" xr:uid="{00000000-0004-0000-0000-0000D1000000}"/>
    <hyperlink ref="K127" r:id="rId211" xr:uid="{00000000-0004-0000-0000-0000D2000000}"/>
    <hyperlink ref="K128" r:id="rId212" xr:uid="{00000000-0004-0000-0000-0000D3000000}"/>
    <hyperlink ref="K129" r:id="rId213" xr:uid="{00000000-0004-0000-0000-0000D4000000}"/>
    <hyperlink ref="K130" r:id="rId214" xr:uid="{00000000-0004-0000-0000-0000D5000000}"/>
    <hyperlink ref="K131" r:id="rId215" xr:uid="{00000000-0004-0000-0000-0000D6000000}"/>
    <hyperlink ref="K132" r:id="rId216" xr:uid="{00000000-0004-0000-0000-0000D7000000}"/>
    <hyperlink ref="K133" r:id="rId217" xr:uid="{00000000-0004-0000-0000-0000D8000000}"/>
    <hyperlink ref="K134" r:id="rId218" xr:uid="{00000000-0004-0000-0000-0000D9000000}"/>
    <hyperlink ref="K135" r:id="rId219" xr:uid="{00000000-0004-0000-0000-0000DA000000}"/>
    <hyperlink ref="K137" r:id="rId220" xr:uid="{00000000-0004-0000-0000-0000DB000000}"/>
    <hyperlink ref="K138" r:id="rId221" xr:uid="{00000000-0004-0000-0000-0000DC000000}"/>
    <hyperlink ref="K139" r:id="rId222" xr:uid="{00000000-0004-0000-0000-0000DD000000}"/>
    <hyperlink ref="K140" r:id="rId223" xr:uid="{00000000-0004-0000-0000-0000DE000000}"/>
    <hyperlink ref="K141" r:id="rId224" xr:uid="{00000000-0004-0000-0000-0000DF000000}"/>
    <hyperlink ref="K142" r:id="rId225" xr:uid="{00000000-0004-0000-0000-0000E0000000}"/>
    <hyperlink ref="K143" r:id="rId226" xr:uid="{00000000-0004-0000-0000-0000E1000000}"/>
    <hyperlink ref="K144" r:id="rId227" xr:uid="{00000000-0004-0000-0000-0000E2000000}"/>
    <hyperlink ref="K145" r:id="rId228" xr:uid="{00000000-0004-0000-0000-0000E3000000}"/>
    <hyperlink ref="K146" r:id="rId229" xr:uid="{00000000-0004-0000-0000-0000E4000000}"/>
    <hyperlink ref="K148" r:id="rId230" xr:uid="{00000000-0004-0000-0000-0000E5000000}"/>
    <hyperlink ref="K149" r:id="rId231" xr:uid="{00000000-0004-0000-0000-0000E6000000}"/>
    <hyperlink ref="K150" r:id="rId232" xr:uid="{00000000-0004-0000-0000-0000E7000000}"/>
    <hyperlink ref="K151" r:id="rId233" xr:uid="{00000000-0004-0000-0000-0000E8000000}"/>
    <hyperlink ref="K152" r:id="rId234" xr:uid="{00000000-0004-0000-0000-0000E9000000}"/>
    <hyperlink ref="K153" r:id="rId235" xr:uid="{00000000-0004-0000-0000-0000EA000000}"/>
    <hyperlink ref="K154" r:id="rId236" xr:uid="{00000000-0004-0000-0000-0000EB000000}"/>
    <hyperlink ref="K155" r:id="rId237" xr:uid="{00000000-0004-0000-0000-0000EC000000}"/>
    <hyperlink ref="K156" r:id="rId238" xr:uid="{00000000-0004-0000-0000-0000ED000000}"/>
    <hyperlink ref="K157" r:id="rId239" xr:uid="{00000000-0004-0000-0000-0000EE000000}"/>
    <hyperlink ref="K159" r:id="rId240" xr:uid="{00000000-0004-0000-0000-0000EF000000}"/>
    <hyperlink ref="K160" r:id="rId241" xr:uid="{00000000-0004-0000-0000-0000F0000000}"/>
    <hyperlink ref="K161" r:id="rId242" xr:uid="{00000000-0004-0000-0000-0000F1000000}"/>
    <hyperlink ref="K162" r:id="rId243" xr:uid="{00000000-0004-0000-0000-0000F2000000}"/>
    <hyperlink ref="K163" r:id="rId244" xr:uid="{00000000-0004-0000-0000-0000F3000000}"/>
    <hyperlink ref="K164" r:id="rId245" xr:uid="{00000000-0004-0000-0000-0000F4000000}"/>
    <hyperlink ref="K165" r:id="rId246" xr:uid="{00000000-0004-0000-0000-0000F5000000}"/>
    <hyperlink ref="K166" r:id="rId247" xr:uid="{00000000-0004-0000-0000-0000F6000000}"/>
    <hyperlink ref="K167" r:id="rId248" xr:uid="{00000000-0004-0000-0000-0000F7000000}"/>
    <hyperlink ref="K168" r:id="rId249" xr:uid="{00000000-0004-0000-0000-0000F8000000}"/>
    <hyperlink ref="K170" r:id="rId250" xr:uid="{00000000-0004-0000-0000-0000F9000000}"/>
    <hyperlink ref="K171" r:id="rId251" xr:uid="{00000000-0004-0000-0000-0000FA000000}"/>
    <hyperlink ref="K172" r:id="rId252" xr:uid="{00000000-0004-0000-0000-0000FB000000}"/>
    <hyperlink ref="K173" r:id="rId253" xr:uid="{00000000-0004-0000-0000-0000FC000000}"/>
    <hyperlink ref="K174" r:id="rId254" xr:uid="{00000000-0004-0000-0000-0000FD000000}"/>
    <hyperlink ref="K175" r:id="rId255" xr:uid="{00000000-0004-0000-0000-0000FE000000}"/>
    <hyperlink ref="K176" r:id="rId256" xr:uid="{00000000-0004-0000-0000-0000FF000000}"/>
    <hyperlink ref="K177" r:id="rId257" xr:uid="{00000000-0004-0000-0000-000000010000}"/>
    <hyperlink ref="K178" r:id="rId258" xr:uid="{00000000-0004-0000-0000-000001010000}"/>
    <hyperlink ref="K179" r:id="rId259" xr:uid="{00000000-0004-0000-0000-000002010000}"/>
    <hyperlink ref="K181" r:id="rId260" xr:uid="{00000000-0004-0000-0000-000003010000}"/>
    <hyperlink ref="K182" r:id="rId261" xr:uid="{00000000-0004-0000-0000-000004010000}"/>
    <hyperlink ref="K183" r:id="rId262" xr:uid="{00000000-0004-0000-0000-000005010000}"/>
    <hyperlink ref="K184" r:id="rId263" xr:uid="{00000000-0004-0000-0000-000006010000}"/>
    <hyperlink ref="K185" r:id="rId264" xr:uid="{00000000-0004-0000-0000-000007010000}"/>
    <hyperlink ref="K186" r:id="rId265" xr:uid="{00000000-0004-0000-0000-000008010000}"/>
    <hyperlink ref="K187" r:id="rId266" xr:uid="{00000000-0004-0000-0000-000009010000}"/>
    <hyperlink ref="K188" r:id="rId267" xr:uid="{00000000-0004-0000-0000-00000A010000}"/>
    <hyperlink ref="K189" r:id="rId268" xr:uid="{00000000-0004-0000-0000-00000B010000}"/>
    <hyperlink ref="K190" r:id="rId269" xr:uid="{00000000-0004-0000-0000-00000C010000}"/>
    <hyperlink ref="K192" r:id="rId270" xr:uid="{00000000-0004-0000-0000-00000D010000}"/>
    <hyperlink ref="K193" r:id="rId271" xr:uid="{00000000-0004-0000-0000-00000E010000}"/>
    <hyperlink ref="K194" r:id="rId272" xr:uid="{00000000-0004-0000-0000-00000F010000}"/>
    <hyperlink ref="K195" r:id="rId273" xr:uid="{00000000-0004-0000-0000-000010010000}"/>
    <hyperlink ref="K196" r:id="rId274" xr:uid="{00000000-0004-0000-0000-000011010000}"/>
    <hyperlink ref="K197" r:id="rId275" xr:uid="{00000000-0004-0000-0000-000012010000}"/>
    <hyperlink ref="K198" r:id="rId276" xr:uid="{00000000-0004-0000-0000-000013010000}"/>
    <hyperlink ref="K199" r:id="rId277" xr:uid="{00000000-0004-0000-0000-000014010000}"/>
    <hyperlink ref="K200" r:id="rId278" xr:uid="{00000000-0004-0000-0000-000015010000}"/>
    <hyperlink ref="K201" r:id="rId279" xr:uid="{00000000-0004-0000-0000-000016010000}"/>
    <hyperlink ref="K203" r:id="rId280" xr:uid="{00000000-0004-0000-0000-000017010000}"/>
    <hyperlink ref="K204" r:id="rId281" xr:uid="{00000000-0004-0000-0000-000018010000}"/>
    <hyperlink ref="K205" r:id="rId282" xr:uid="{00000000-0004-0000-0000-000019010000}"/>
    <hyperlink ref="K206" r:id="rId283" xr:uid="{00000000-0004-0000-0000-00001A010000}"/>
    <hyperlink ref="K207" r:id="rId284" xr:uid="{00000000-0004-0000-0000-00001B010000}"/>
    <hyperlink ref="K208" r:id="rId285" xr:uid="{00000000-0004-0000-0000-00001C010000}"/>
    <hyperlink ref="K209" r:id="rId286" xr:uid="{00000000-0004-0000-0000-00001D010000}"/>
    <hyperlink ref="K210" r:id="rId287" xr:uid="{00000000-0004-0000-0000-00001E010000}"/>
    <hyperlink ref="K211" r:id="rId288" xr:uid="{00000000-0004-0000-0000-00001F010000}"/>
    <hyperlink ref="K212" r:id="rId289" xr:uid="{00000000-0004-0000-0000-000020010000}"/>
    <hyperlink ref="K214" r:id="rId290" xr:uid="{00000000-0004-0000-0000-000021010000}"/>
    <hyperlink ref="K215" r:id="rId291" xr:uid="{00000000-0004-0000-0000-000022010000}"/>
    <hyperlink ref="K216" r:id="rId292" xr:uid="{00000000-0004-0000-0000-000023010000}"/>
    <hyperlink ref="K217" r:id="rId293" xr:uid="{00000000-0004-0000-0000-000024010000}"/>
    <hyperlink ref="K218" r:id="rId294" xr:uid="{00000000-0004-0000-0000-000025010000}"/>
    <hyperlink ref="K219" r:id="rId295" xr:uid="{00000000-0004-0000-0000-000026010000}"/>
    <hyperlink ref="K220" r:id="rId296" xr:uid="{00000000-0004-0000-0000-000027010000}"/>
    <hyperlink ref="K221" r:id="rId297" xr:uid="{00000000-0004-0000-0000-000028010000}"/>
    <hyperlink ref="K222" r:id="rId298" xr:uid="{00000000-0004-0000-0000-000029010000}"/>
    <hyperlink ref="K223" r:id="rId299" xr:uid="{00000000-0004-0000-0000-00002A010000}"/>
    <hyperlink ref="K226" r:id="rId300" xr:uid="{00000000-0004-0000-0000-00002B010000}"/>
    <hyperlink ref="K227" r:id="rId301" xr:uid="{00000000-0004-0000-0000-00002C010000}"/>
    <hyperlink ref="K228" r:id="rId302" xr:uid="{00000000-0004-0000-0000-00002D010000}"/>
    <hyperlink ref="K229" r:id="rId303" xr:uid="{00000000-0004-0000-0000-00002E010000}"/>
    <hyperlink ref="K230" r:id="rId304" xr:uid="{00000000-0004-0000-0000-00002F010000}"/>
    <hyperlink ref="K231" r:id="rId305" xr:uid="{00000000-0004-0000-0000-000030010000}"/>
    <hyperlink ref="K232" r:id="rId306" xr:uid="{00000000-0004-0000-0000-000031010000}"/>
    <hyperlink ref="K233" r:id="rId307" xr:uid="{00000000-0004-0000-0000-000032010000}"/>
    <hyperlink ref="K234" r:id="rId308" xr:uid="{00000000-0004-0000-0000-000033010000}"/>
    <hyperlink ref="K235" r:id="rId309" xr:uid="{00000000-0004-0000-0000-000034010000}"/>
    <hyperlink ref="K237" r:id="rId310" xr:uid="{00000000-0004-0000-0000-000035010000}"/>
    <hyperlink ref="K238" r:id="rId311" xr:uid="{00000000-0004-0000-0000-000036010000}"/>
    <hyperlink ref="K239" r:id="rId312" xr:uid="{00000000-0004-0000-0000-000037010000}"/>
    <hyperlink ref="K240" r:id="rId313" xr:uid="{00000000-0004-0000-0000-000038010000}"/>
    <hyperlink ref="K241" r:id="rId314" xr:uid="{00000000-0004-0000-0000-000039010000}"/>
    <hyperlink ref="K242" r:id="rId315" xr:uid="{00000000-0004-0000-0000-00003A010000}"/>
    <hyperlink ref="K243" r:id="rId316" xr:uid="{00000000-0004-0000-0000-00003B010000}"/>
    <hyperlink ref="K244" r:id="rId317" xr:uid="{00000000-0004-0000-0000-00003C010000}"/>
    <hyperlink ref="K245" r:id="rId318" xr:uid="{00000000-0004-0000-0000-00003D010000}"/>
    <hyperlink ref="K246" r:id="rId319" xr:uid="{00000000-0004-0000-0000-00003E010000}"/>
    <hyperlink ref="K248" r:id="rId320" xr:uid="{00000000-0004-0000-0000-00003F010000}"/>
    <hyperlink ref="K249" r:id="rId321" xr:uid="{00000000-0004-0000-0000-000040010000}"/>
    <hyperlink ref="K250" r:id="rId322" xr:uid="{00000000-0004-0000-0000-000041010000}"/>
    <hyperlink ref="K251" r:id="rId323" xr:uid="{00000000-0004-0000-0000-000042010000}"/>
    <hyperlink ref="K252" r:id="rId324" xr:uid="{00000000-0004-0000-0000-000043010000}"/>
    <hyperlink ref="K253" r:id="rId325" xr:uid="{00000000-0004-0000-0000-000044010000}"/>
    <hyperlink ref="K254" r:id="rId326" xr:uid="{00000000-0004-0000-0000-000045010000}"/>
    <hyperlink ref="K255" r:id="rId327" xr:uid="{00000000-0004-0000-0000-000046010000}"/>
    <hyperlink ref="K256" r:id="rId328" xr:uid="{00000000-0004-0000-0000-000047010000}"/>
    <hyperlink ref="K257" r:id="rId329" xr:uid="{00000000-0004-0000-0000-000048010000}"/>
    <hyperlink ref="K259" r:id="rId330" xr:uid="{00000000-0004-0000-0000-000049010000}"/>
    <hyperlink ref="K260" r:id="rId331" xr:uid="{00000000-0004-0000-0000-00004A010000}"/>
    <hyperlink ref="K261" r:id="rId332" xr:uid="{00000000-0004-0000-0000-00004B010000}"/>
    <hyperlink ref="K262" r:id="rId333" xr:uid="{00000000-0004-0000-0000-00004C010000}"/>
    <hyperlink ref="K263" r:id="rId334" xr:uid="{00000000-0004-0000-0000-00004D010000}"/>
    <hyperlink ref="K264" r:id="rId335" xr:uid="{00000000-0004-0000-0000-00004E010000}"/>
    <hyperlink ref="K265" r:id="rId336" xr:uid="{00000000-0004-0000-0000-00004F010000}"/>
    <hyperlink ref="K266" r:id="rId337" xr:uid="{00000000-0004-0000-0000-000050010000}"/>
    <hyperlink ref="K267" r:id="rId338" xr:uid="{00000000-0004-0000-0000-000051010000}"/>
    <hyperlink ref="K268" r:id="rId339" xr:uid="{00000000-0004-0000-0000-000052010000}"/>
    <hyperlink ref="K270" r:id="rId340" xr:uid="{00000000-0004-0000-0000-000053010000}"/>
    <hyperlink ref="K271" r:id="rId341" xr:uid="{00000000-0004-0000-0000-000054010000}"/>
    <hyperlink ref="K272" r:id="rId342" xr:uid="{00000000-0004-0000-0000-000055010000}"/>
    <hyperlink ref="K273" r:id="rId343" xr:uid="{00000000-0004-0000-0000-000056010000}"/>
    <hyperlink ref="K274" r:id="rId344" xr:uid="{00000000-0004-0000-0000-000057010000}"/>
    <hyperlink ref="K275" r:id="rId345" xr:uid="{00000000-0004-0000-0000-000058010000}"/>
    <hyperlink ref="K276" r:id="rId346" xr:uid="{00000000-0004-0000-0000-000059010000}"/>
    <hyperlink ref="K277" r:id="rId347" xr:uid="{00000000-0004-0000-0000-00005A010000}"/>
    <hyperlink ref="K278" r:id="rId348" xr:uid="{00000000-0004-0000-0000-00005B010000}"/>
    <hyperlink ref="K279" r:id="rId349" xr:uid="{00000000-0004-0000-0000-00005C010000}"/>
    <hyperlink ref="K281" r:id="rId350" xr:uid="{00000000-0004-0000-0000-00005D010000}"/>
    <hyperlink ref="K282" r:id="rId351" xr:uid="{00000000-0004-0000-0000-00005E010000}"/>
    <hyperlink ref="K283" r:id="rId352" xr:uid="{00000000-0004-0000-0000-00005F010000}"/>
    <hyperlink ref="K284" r:id="rId353" xr:uid="{00000000-0004-0000-0000-000060010000}"/>
    <hyperlink ref="K285" r:id="rId354" xr:uid="{00000000-0004-0000-0000-000061010000}"/>
    <hyperlink ref="K286" r:id="rId355" xr:uid="{00000000-0004-0000-0000-000062010000}"/>
    <hyperlink ref="K287" r:id="rId356" xr:uid="{00000000-0004-0000-0000-000063010000}"/>
    <hyperlink ref="K288" r:id="rId357" xr:uid="{00000000-0004-0000-0000-000064010000}"/>
    <hyperlink ref="K289" r:id="rId358" xr:uid="{00000000-0004-0000-0000-000065010000}"/>
    <hyperlink ref="K290" r:id="rId359" xr:uid="{00000000-0004-0000-0000-000066010000}"/>
    <hyperlink ref="K292" r:id="rId360" xr:uid="{00000000-0004-0000-0000-000067010000}"/>
    <hyperlink ref="K293" r:id="rId361" xr:uid="{00000000-0004-0000-0000-000068010000}"/>
    <hyperlink ref="K294" r:id="rId362" xr:uid="{00000000-0004-0000-0000-000069010000}"/>
    <hyperlink ref="K295" r:id="rId363" xr:uid="{00000000-0004-0000-0000-00006A010000}"/>
    <hyperlink ref="K296" r:id="rId364" xr:uid="{00000000-0004-0000-0000-00006B010000}"/>
    <hyperlink ref="K297" r:id="rId365" xr:uid="{00000000-0004-0000-0000-00006C010000}"/>
    <hyperlink ref="K298" r:id="rId366" xr:uid="{00000000-0004-0000-0000-00006D010000}"/>
    <hyperlink ref="K299" r:id="rId367" xr:uid="{00000000-0004-0000-0000-00006E010000}"/>
    <hyperlink ref="K300" r:id="rId368" xr:uid="{00000000-0004-0000-0000-00006F010000}"/>
    <hyperlink ref="K301" r:id="rId369" xr:uid="{00000000-0004-0000-0000-000070010000}"/>
    <hyperlink ref="K303" r:id="rId370" xr:uid="{00000000-0004-0000-0000-000071010000}"/>
    <hyperlink ref="K304" r:id="rId371" xr:uid="{00000000-0004-0000-0000-000072010000}"/>
    <hyperlink ref="K305" r:id="rId372" xr:uid="{00000000-0004-0000-0000-000073010000}"/>
    <hyperlink ref="K306" r:id="rId373" xr:uid="{00000000-0004-0000-0000-000074010000}"/>
    <hyperlink ref="K307" r:id="rId374" xr:uid="{00000000-0004-0000-0000-000075010000}"/>
    <hyperlink ref="K308" r:id="rId375" xr:uid="{00000000-0004-0000-0000-000076010000}"/>
    <hyperlink ref="K309" r:id="rId376" xr:uid="{00000000-0004-0000-0000-000077010000}"/>
    <hyperlink ref="K310" r:id="rId377" xr:uid="{00000000-0004-0000-0000-000078010000}"/>
    <hyperlink ref="K311" r:id="rId378" xr:uid="{00000000-0004-0000-0000-000079010000}"/>
    <hyperlink ref="K312" r:id="rId379" xr:uid="{00000000-0004-0000-0000-00007A010000}"/>
    <hyperlink ref="K314" r:id="rId380" xr:uid="{00000000-0004-0000-0000-00007B010000}"/>
    <hyperlink ref="K315" r:id="rId381" xr:uid="{00000000-0004-0000-0000-00007C010000}"/>
    <hyperlink ref="K316" r:id="rId382" xr:uid="{00000000-0004-0000-0000-00007D010000}"/>
    <hyperlink ref="K317" r:id="rId383" xr:uid="{00000000-0004-0000-0000-00007E010000}"/>
    <hyperlink ref="K318" r:id="rId384" xr:uid="{00000000-0004-0000-0000-00007F010000}"/>
    <hyperlink ref="K319" r:id="rId385" xr:uid="{00000000-0004-0000-0000-000080010000}"/>
    <hyperlink ref="K320" r:id="rId386" xr:uid="{00000000-0004-0000-0000-000081010000}"/>
    <hyperlink ref="K321" r:id="rId387" xr:uid="{00000000-0004-0000-0000-000082010000}"/>
    <hyperlink ref="K322" r:id="rId388" xr:uid="{00000000-0004-0000-0000-000083010000}"/>
    <hyperlink ref="K323" r:id="rId389" xr:uid="{00000000-0004-0000-0000-000084010000}"/>
    <hyperlink ref="K325" r:id="rId390" xr:uid="{00000000-0004-0000-0000-000085010000}"/>
    <hyperlink ref="K326" r:id="rId391" xr:uid="{00000000-0004-0000-0000-000086010000}"/>
    <hyperlink ref="K327" r:id="rId392" xr:uid="{00000000-0004-0000-0000-000087010000}"/>
    <hyperlink ref="K328" r:id="rId393" xr:uid="{00000000-0004-0000-0000-000088010000}"/>
    <hyperlink ref="K329" r:id="rId394" xr:uid="{00000000-0004-0000-0000-000089010000}"/>
    <hyperlink ref="K330" r:id="rId395" xr:uid="{00000000-0004-0000-0000-00008A010000}"/>
    <hyperlink ref="K331" r:id="rId396" xr:uid="{00000000-0004-0000-0000-00008B010000}"/>
    <hyperlink ref="K332" r:id="rId397" xr:uid="{00000000-0004-0000-0000-00008C010000}"/>
    <hyperlink ref="K333" r:id="rId398" xr:uid="{00000000-0004-0000-0000-00008D010000}"/>
    <hyperlink ref="K334" r:id="rId399" xr:uid="{00000000-0004-0000-0000-00008E010000}"/>
    <hyperlink ref="K337" r:id="rId400" xr:uid="{00000000-0004-0000-0000-00008F010000}"/>
    <hyperlink ref="K338" r:id="rId401" xr:uid="{00000000-0004-0000-0000-000090010000}"/>
    <hyperlink ref="K339" r:id="rId402" xr:uid="{00000000-0004-0000-0000-000091010000}"/>
    <hyperlink ref="K340" r:id="rId403" xr:uid="{00000000-0004-0000-0000-000092010000}"/>
    <hyperlink ref="K341" r:id="rId404" xr:uid="{00000000-0004-0000-0000-000093010000}"/>
    <hyperlink ref="K342" r:id="rId405" xr:uid="{00000000-0004-0000-0000-000094010000}"/>
    <hyperlink ref="K343" r:id="rId406" xr:uid="{00000000-0004-0000-0000-000095010000}"/>
    <hyperlink ref="K344" r:id="rId407" xr:uid="{00000000-0004-0000-0000-000096010000}"/>
    <hyperlink ref="K345" r:id="rId408" xr:uid="{00000000-0004-0000-0000-000097010000}"/>
    <hyperlink ref="K346" r:id="rId409" xr:uid="{00000000-0004-0000-0000-000098010000}"/>
    <hyperlink ref="K348" r:id="rId410" xr:uid="{00000000-0004-0000-0000-000099010000}"/>
    <hyperlink ref="K349" r:id="rId411" xr:uid="{00000000-0004-0000-0000-00009A010000}"/>
    <hyperlink ref="K350" r:id="rId412" xr:uid="{00000000-0004-0000-0000-00009B010000}"/>
    <hyperlink ref="K351" r:id="rId413" xr:uid="{00000000-0004-0000-0000-00009C010000}"/>
    <hyperlink ref="K352" r:id="rId414" xr:uid="{00000000-0004-0000-0000-00009D010000}"/>
    <hyperlink ref="K353" r:id="rId415" xr:uid="{00000000-0004-0000-0000-00009E010000}"/>
    <hyperlink ref="K354" r:id="rId416" xr:uid="{00000000-0004-0000-0000-00009F010000}"/>
    <hyperlink ref="K355" r:id="rId417" xr:uid="{00000000-0004-0000-0000-0000A0010000}"/>
    <hyperlink ref="K356" r:id="rId418" xr:uid="{00000000-0004-0000-0000-0000A1010000}"/>
    <hyperlink ref="K357" r:id="rId419" xr:uid="{00000000-0004-0000-0000-0000A2010000}"/>
    <hyperlink ref="K359" r:id="rId420" xr:uid="{00000000-0004-0000-0000-0000A3010000}"/>
    <hyperlink ref="K360" r:id="rId421" xr:uid="{00000000-0004-0000-0000-0000A4010000}"/>
    <hyperlink ref="K361" r:id="rId422" xr:uid="{00000000-0004-0000-0000-0000A5010000}"/>
    <hyperlink ref="K362" r:id="rId423" xr:uid="{00000000-0004-0000-0000-0000A6010000}"/>
    <hyperlink ref="K363" r:id="rId424" xr:uid="{00000000-0004-0000-0000-0000A7010000}"/>
    <hyperlink ref="K364" r:id="rId425" xr:uid="{00000000-0004-0000-0000-0000A8010000}"/>
    <hyperlink ref="K365" r:id="rId426" xr:uid="{00000000-0004-0000-0000-0000A9010000}"/>
    <hyperlink ref="K366" r:id="rId427" xr:uid="{00000000-0004-0000-0000-0000AA010000}"/>
    <hyperlink ref="K367" r:id="rId428" xr:uid="{00000000-0004-0000-0000-0000AB010000}"/>
    <hyperlink ref="K368" r:id="rId429" xr:uid="{00000000-0004-0000-0000-0000AC010000}"/>
    <hyperlink ref="K370" r:id="rId430" xr:uid="{00000000-0004-0000-0000-0000AD010000}"/>
    <hyperlink ref="K371" r:id="rId431" xr:uid="{00000000-0004-0000-0000-0000AE010000}"/>
    <hyperlink ref="K372" r:id="rId432" xr:uid="{00000000-0004-0000-0000-0000AF010000}"/>
    <hyperlink ref="K373" r:id="rId433" xr:uid="{00000000-0004-0000-0000-0000B0010000}"/>
    <hyperlink ref="K374" r:id="rId434" xr:uid="{00000000-0004-0000-0000-0000B1010000}"/>
    <hyperlink ref="K375" r:id="rId435" xr:uid="{00000000-0004-0000-0000-0000B2010000}"/>
    <hyperlink ref="K376" r:id="rId436" xr:uid="{00000000-0004-0000-0000-0000B3010000}"/>
    <hyperlink ref="K377" r:id="rId437" xr:uid="{00000000-0004-0000-0000-0000B4010000}"/>
    <hyperlink ref="K378" r:id="rId438" xr:uid="{00000000-0004-0000-0000-0000B5010000}"/>
    <hyperlink ref="K379" r:id="rId439" xr:uid="{00000000-0004-0000-0000-0000B6010000}"/>
    <hyperlink ref="K381" r:id="rId440" xr:uid="{00000000-0004-0000-0000-0000B7010000}"/>
    <hyperlink ref="K382" r:id="rId441" xr:uid="{00000000-0004-0000-0000-0000B8010000}"/>
    <hyperlink ref="K383" r:id="rId442" xr:uid="{00000000-0004-0000-0000-0000B9010000}"/>
    <hyperlink ref="K384" r:id="rId443" xr:uid="{00000000-0004-0000-0000-0000BA010000}"/>
    <hyperlink ref="K385" r:id="rId444" xr:uid="{00000000-0004-0000-0000-0000BB010000}"/>
    <hyperlink ref="K386" r:id="rId445" xr:uid="{00000000-0004-0000-0000-0000BC010000}"/>
    <hyperlink ref="K387" r:id="rId446" xr:uid="{00000000-0004-0000-0000-0000BD010000}"/>
    <hyperlink ref="K388" r:id="rId447" xr:uid="{00000000-0004-0000-0000-0000BE010000}"/>
    <hyperlink ref="K389" r:id="rId448" xr:uid="{00000000-0004-0000-0000-0000BF010000}"/>
    <hyperlink ref="K390" r:id="rId449" xr:uid="{00000000-0004-0000-0000-0000C0010000}"/>
    <hyperlink ref="K392" r:id="rId450" xr:uid="{00000000-0004-0000-0000-0000C1010000}"/>
    <hyperlink ref="K393" r:id="rId451" xr:uid="{00000000-0004-0000-0000-0000C2010000}"/>
    <hyperlink ref="K394" r:id="rId452" xr:uid="{00000000-0004-0000-0000-0000C3010000}"/>
    <hyperlink ref="K395" r:id="rId453" xr:uid="{00000000-0004-0000-0000-0000C4010000}"/>
    <hyperlink ref="K396" r:id="rId454" xr:uid="{00000000-0004-0000-0000-0000C5010000}"/>
    <hyperlink ref="K397" r:id="rId455" xr:uid="{00000000-0004-0000-0000-0000C6010000}"/>
    <hyperlink ref="K398" r:id="rId456" xr:uid="{00000000-0004-0000-0000-0000C7010000}"/>
    <hyperlink ref="K399" r:id="rId457" xr:uid="{00000000-0004-0000-0000-0000C8010000}"/>
    <hyperlink ref="K400" r:id="rId458" xr:uid="{00000000-0004-0000-0000-0000C9010000}"/>
    <hyperlink ref="K401" r:id="rId459" xr:uid="{00000000-0004-0000-0000-0000CA010000}"/>
    <hyperlink ref="K403" r:id="rId460" xr:uid="{00000000-0004-0000-0000-0000CB010000}"/>
    <hyperlink ref="K404" r:id="rId461" xr:uid="{00000000-0004-0000-0000-0000CC010000}"/>
    <hyperlink ref="K405" r:id="rId462" xr:uid="{00000000-0004-0000-0000-0000CD010000}"/>
    <hyperlink ref="K406" r:id="rId463" xr:uid="{00000000-0004-0000-0000-0000CE010000}"/>
    <hyperlink ref="K407" r:id="rId464" xr:uid="{00000000-0004-0000-0000-0000CF010000}"/>
    <hyperlink ref="K408" r:id="rId465" xr:uid="{00000000-0004-0000-0000-0000D0010000}"/>
    <hyperlink ref="K409" r:id="rId466" xr:uid="{00000000-0004-0000-0000-0000D1010000}"/>
    <hyperlink ref="K410" r:id="rId467" xr:uid="{00000000-0004-0000-0000-0000D2010000}"/>
    <hyperlink ref="K411" r:id="rId468" xr:uid="{00000000-0004-0000-0000-0000D3010000}"/>
    <hyperlink ref="K412" r:id="rId469" xr:uid="{00000000-0004-0000-0000-0000D4010000}"/>
    <hyperlink ref="K414" r:id="rId470" xr:uid="{00000000-0004-0000-0000-0000D5010000}"/>
    <hyperlink ref="K415" r:id="rId471" xr:uid="{00000000-0004-0000-0000-0000D6010000}"/>
    <hyperlink ref="K416" r:id="rId472" xr:uid="{00000000-0004-0000-0000-0000D7010000}"/>
    <hyperlink ref="K417" r:id="rId473" xr:uid="{00000000-0004-0000-0000-0000D8010000}"/>
    <hyperlink ref="K418" r:id="rId474" xr:uid="{00000000-0004-0000-0000-0000D9010000}"/>
    <hyperlink ref="K419" r:id="rId475" xr:uid="{00000000-0004-0000-0000-0000DA010000}"/>
    <hyperlink ref="K420" r:id="rId476" xr:uid="{00000000-0004-0000-0000-0000DB010000}"/>
    <hyperlink ref="K421" r:id="rId477" xr:uid="{00000000-0004-0000-0000-0000DC010000}"/>
    <hyperlink ref="K422" r:id="rId478" xr:uid="{00000000-0004-0000-0000-0000DD010000}"/>
    <hyperlink ref="K423" r:id="rId479" xr:uid="{00000000-0004-0000-0000-0000DE010000}"/>
    <hyperlink ref="K425" r:id="rId480" xr:uid="{00000000-0004-0000-0000-0000DF010000}"/>
    <hyperlink ref="K426" r:id="rId481" xr:uid="{00000000-0004-0000-0000-0000E0010000}"/>
    <hyperlink ref="K427" r:id="rId482" xr:uid="{00000000-0004-0000-0000-0000E1010000}"/>
    <hyperlink ref="K428" r:id="rId483" xr:uid="{00000000-0004-0000-0000-0000E2010000}"/>
    <hyperlink ref="K429" r:id="rId484" xr:uid="{00000000-0004-0000-0000-0000E3010000}"/>
    <hyperlink ref="K430" r:id="rId485" xr:uid="{00000000-0004-0000-0000-0000E4010000}"/>
    <hyperlink ref="K431" r:id="rId486" xr:uid="{00000000-0004-0000-0000-0000E5010000}"/>
    <hyperlink ref="K432" r:id="rId487" xr:uid="{00000000-0004-0000-0000-0000E6010000}"/>
    <hyperlink ref="K433" r:id="rId488" xr:uid="{00000000-0004-0000-0000-0000E7010000}"/>
    <hyperlink ref="K434" r:id="rId489" xr:uid="{00000000-0004-0000-0000-0000E8010000}"/>
    <hyperlink ref="K436" r:id="rId490" xr:uid="{00000000-0004-0000-0000-0000E9010000}"/>
    <hyperlink ref="K437" r:id="rId491" xr:uid="{00000000-0004-0000-0000-0000EA010000}"/>
    <hyperlink ref="K438" r:id="rId492" xr:uid="{00000000-0004-0000-0000-0000EB010000}"/>
    <hyperlink ref="K439" r:id="rId493" xr:uid="{00000000-0004-0000-0000-0000EC010000}"/>
    <hyperlink ref="K440" r:id="rId494" xr:uid="{00000000-0004-0000-0000-0000ED010000}"/>
    <hyperlink ref="K441" r:id="rId495" xr:uid="{00000000-0004-0000-0000-0000EE010000}"/>
    <hyperlink ref="K442" r:id="rId496" xr:uid="{00000000-0004-0000-0000-0000EF010000}"/>
    <hyperlink ref="K443" r:id="rId497" xr:uid="{00000000-0004-0000-0000-0000F0010000}"/>
    <hyperlink ref="K444" r:id="rId498" xr:uid="{00000000-0004-0000-0000-0000F1010000}"/>
    <hyperlink ref="K445" r:id="rId499" xr:uid="{00000000-0004-0000-0000-0000F2010000}"/>
    <hyperlink ref="K448" r:id="rId500" xr:uid="{00000000-0004-0000-0000-0000F3010000}"/>
    <hyperlink ref="K449" r:id="rId501" xr:uid="{00000000-0004-0000-0000-0000F4010000}"/>
    <hyperlink ref="K450" r:id="rId502" xr:uid="{00000000-0004-0000-0000-0000F5010000}"/>
    <hyperlink ref="K451" r:id="rId503" xr:uid="{00000000-0004-0000-0000-0000F6010000}"/>
    <hyperlink ref="K452" r:id="rId504" xr:uid="{00000000-0004-0000-0000-0000F7010000}"/>
    <hyperlink ref="K453" r:id="rId505" xr:uid="{00000000-0004-0000-0000-0000F8010000}"/>
    <hyperlink ref="K454" r:id="rId506" xr:uid="{00000000-0004-0000-0000-0000F9010000}"/>
    <hyperlink ref="K455" r:id="rId507" xr:uid="{00000000-0004-0000-0000-0000FA010000}"/>
    <hyperlink ref="K456" r:id="rId508" xr:uid="{00000000-0004-0000-0000-0000FB010000}"/>
    <hyperlink ref="K457" r:id="rId509" xr:uid="{00000000-0004-0000-0000-0000FC010000}"/>
    <hyperlink ref="K459" r:id="rId510" xr:uid="{00000000-0004-0000-0000-0000FD010000}"/>
    <hyperlink ref="K460" r:id="rId511" xr:uid="{00000000-0004-0000-0000-0000FE010000}"/>
    <hyperlink ref="K461" r:id="rId512" xr:uid="{00000000-0004-0000-0000-0000FF010000}"/>
    <hyperlink ref="K462" r:id="rId513" xr:uid="{00000000-0004-0000-0000-000000020000}"/>
    <hyperlink ref="K463" r:id="rId514" xr:uid="{00000000-0004-0000-0000-000001020000}"/>
    <hyperlink ref="K464" r:id="rId515" xr:uid="{00000000-0004-0000-0000-000002020000}"/>
    <hyperlink ref="K465" r:id="rId516" xr:uid="{00000000-0004-0000-0000-000003020000}"/>
    <hyperlink ref="K466" r:id="rId517" xr:uid="{00000000-0004-0000-0000-000004020000}"/>
    <hyperlink ref="K467" r:id="rId518" xr:uid="{00000000-0004-0000-0000-000005020000}"/>
    <hyperlink ref="K468" r:id="rId519" xr:uid="{00000000-0004-0000-0000-000006020000}"/>
    <hyperlink ref="K470" r:id="rId520" xr:uid="{00000000-0004-0000-0000-000007020000}"/>
    <hyperlink ref="K471" r:id="rId521" xr:uid="{00000000-0004-0000-0000-000008020000}"/>
    <hyperlink ref="K472" r:id="rId522" xr:uid="{00000000-0004-0000-0000-000009020000}"/>
    <hyperlink ref="K473" r:id="rId523" xr:uid="{00000000-0004-0000-0000-00000A020000}"/>
    <hyperlink ref="K474" r:id="rId524" xr:uid="{00000000-0004-0000-0000-00000B020000}"/>
    <hyperlink ref="K475" r:id="rId525" xr:uid="{00000000-0004-0000-0000-00000C020000}"/>
    <hyperlink ref="K476" r:id="rId526" xr:uid="{00000000-0004-0000-0000-00000D020000}"/>
    <hyperlink ref="K477" r:id="rId527" xr:uid="{00000000-0004-0000-0000-00000E020000}"/>
    <hyperlink ref="K478" r:id="rId528" xr:uid="{00000000-0004-0000-0000-00000F020000}"/>
    <hyperlink ref="K479" r:id="rId529" xr:uid="{00000000-0004-0000-0000-000010020000}"/>
    <hyperlink ref="K481" r:id="rId530" xr:uid="{00000000-0004-0000-0000-000011020000}"/>
    <hyperlink ref="K482" r:id="rId531" xr:uid="{00000000-0004-0000-0000-000012020000}"/>
    <hyperlink ref="K483" r:id="rId532" xr:uid="{00000000-0004-0000-0000-000013020000}"/>
    <hyperlink ref="K484" r:id="rId533" xr:uid="{00000000-0004-0000-0000-000014020000}"/>
    <hyperlink ref="K485" r:id="rId534" xr:uid="{00000000-0004-0000-0000-000015020000}"/>
    <hyperlink ref="K486" r:id="rId535" xr:uid="{00000000-0004-0000-0000-000016020000}"/>
    <hyperlink ref="K487" r:id="rId536" xr:uid="{00000000-0004-0000-0000-000017020000}"/>
    <hyperlink ref="K488" r:id="rId537" xr:uid="{00000000-0004-0000-0000-000018020000}"/>
    <hyperlink ref="K489" r:id="rId538" xr:uid="{00000000-0004-0000-0000-000019020000}"/>
    <hyperlink ref="K490" r:id="rId539" xr:uid="{00000000-0004-0000-0000-00001A020000}"/>
    <hyperlink ref="K492" r:id="rId540" xr:uid="{00000000-0004-0000-0000-00001B020000}"/>
    <hyperlink ref="K493" r:id="rId541" xr:uid="{00000000-0004-0000-0000-00001C020000}"/>
    <hyperlink ref="K494" r:id="rId542" xr:uid="{00000000-0004-0000-0000-00001D020000}"/>
    <hyperlink ref="K495" r:id="rId543" xr:uid="{00000000-0004-0000-0000-00001E020000}"/>
    <hyperlink ref="K496" r:id="rId544" xr:uid="{00000000-0004-0000-0000-00001F020000}"/>
    <hyperlink ref="K497" r:id="rId545" xr:uid="{00000000-0004-0000-0000-000020020000}"/>
    <hyperlink ref="K498" r:id="rId546" xr:uid="{00000000-0004-0000-0000-000021020000}"/>
    <hyperlink ref="K499" r:id="rId547" xr:uid="{00000000-0004-0000-0000-000022020000}"/>
    <hyperlink ref="K500" r:id="rId548" xr:uid="{00000000-0004-0000-0000-000023020000}"/>
    <hyperlink ref="K501" r:id="rId549" xr:uid="{00000000-0004-0000-0000-000024020000}"/>
    <hyperlink ref="K503" r:id="rId550" xr:uid="{00000000-0004-0000-0000-000025020000}"/>
    <hyperlink ref="K504" r:id="rId551" xr:uid="{00000000-0004-0000-0000-000026020000}"/>
    <hyperlink ref="K505" r:id="rId552" xr:uid="{00000000-0004-0000-0000-000027020000}"/>
    <hyperlink ref="K506" r:id="rId553" xr:uid="{00000000-0004-0000-0000-000028020000}"/>
    <hyperlink ref="K507" r:id="rId554" xr:uid="{00000000-0004-0000-0000-000029020000}"/>
    <hyperlink ref="K508" r:id="rId555" xr:uid="{00000000-0004-0000-0000-00002A020000}"/>
    <hyperlink ref="K509" r:id="rId556" xr:uid="{00000000-0004-0000-0000-00002B020000}"/>
    <hyperlink ref="K510" r:id="rId557" xr:uid="{00000000-0004-0000-0000-00002C020000}"/>
    <hyperlink ref="K511" r:id="rId558" xr:uid="{00000000-0004-0000-0000-00002D020000}"/>
    <hyperlink ref="K512" r:id="rId559" xr:uid="{00000000-0004-0000-0000-00002E020000}"/>
    <hyperlink ref="K514" r:id="rId560" xr:uid="{00000000-0004-0000-0000-00002F020000}"/>
    <hyperlink ref="K515" r:id="rId561" xr:uid="{00000000-0004-0000-0000-000030020000}"/>
    <hyperlink ref="K516" r:id="rId562" xr:uid="{00000000-0004-0000-0000-000031020000}"/>
    <hyperlink ref="K517" r:id="rId563" xr:uid="{00000000-0004-0000-0000-000032020000}"/>
    <hyperlink ref="K518" r:id="rId564" xr:uid="{00000000-0004-0000-0000-000033020000}"/>
    <hyperlink ref="K519" r:id="rId565" xr:uid="{00000000-0004-0000-0000-000034020000}"/>
    <hyperlink ref="K520" r:id="rId566" xr:uid="{00000000-0004-0000-0000-000035020000}"/>
    <hyperlink ref="K521" r:id="rId567" xr:uid="{00000000-0004-0000-0000-000036020000}"/>
    <hyperlink ref="K522" r:id="rId568" xr:uid="{00000000-0004-0000-0000-000037020000}"/>
    <hyperlink ref="K523" r:id="rId569" xr:uid="{00000000-0004-0000-0000-000038020000}"/>
    <hyperlink ref="K525" r:id="rId570" xr:uid="{00000000-0004-0000-0000-000039020000}"/>
    <hyperlink ref="K526" r:id="rId571" xr:uid="{00000000-0004-0000-0000-00003A020000}"/>
    <hyperlink ref="K527" r:id="rId572" xr:uid="{00000000-0004-0000-0000-00003B020000}"/>
    <hyperlink ref="K528" r:id="rId573" xr:uid="{00000000-0004-0000-0000-00003C020000}"/>
    <hyperlink ref="K529" r:id="rId574" xr:uid="{00000000-0004-0000-0000-00003D020000}"/>
    <hyperlink ref="K530" r:id="rId575" xr:uid="{00000000-0004-0000-0000-00003E020000}"/>
    <hyperlink ref="K531" r:id="rId576" xr:uid="{00000000-0004-0000-0000-00003F020000}"/>
    <hyperlink ref="K532" r:id="rId577" xr:uid="{00000000-0004-0000-0000-000040020000}"/>
    <hyperlink ref="K533" r:id="rId578" xr:uid="{00000000-0004-0000-0000-000041020000}"/>
    <hyperlink ref="K534" r:id="rId579" xr:uid="{00000000-0004-0000-0000-000042020000}"/>
    <hyperlink ref="K536" r:id="rId580" xr:uid="{00000000-0004-0000-0000-000043020000}"/>
    <hyperlink ref="K537" r:id="rId581" xr:uid="{00000000-0004-0000-0000-000044020000}"/>
    <hyperlink ref="K538" r:id="rId582" xr:uid="{00000000-0004-0000-0000-000045020000}"/>
    <hyperlink ref="K539" r:id="rId583" xr:uid="{00000000-0004-0000-0000-000046020000}"/>
    <hyperlink ref="K540" r:id="rId584" xr:uid="{00000000-0004-0000-0000-000047020000}"/>
    <hyperlink ref="K541" r:id="rId585" xr:uid="{00000000-0004-0000-0000-000048020000}"/>
    <hyperlink ref="K542" r:id="rId586" xr:uid="{00000000-0004-0000-0000-000049020000}"/>
    <hyperlink ref="K543" r:id="rId587" xr:uid="{00000000-0004-0000-0000-00004A020000}"/>
    <hyperlink ref="K544" r:id="rId588" xr:uid="{00000000-0004-0000-0000-00004B020000}"/>
    <hyperlink ref="K545" r:id="rId589" xr:uid="{00000000-0004-0000-0000-00004C020000}"/>
    <hyperlink ref="K547" r:id="rId590" xr:uid="{00000000-0004-0000-0000-00004D020000}"/>
    <hyperlink ref="K548" r:id="rId591" xr:uid="{00000000-0004-0000-0000-00004E020000}"/>
    <hyperlink ref="K549" r:id="rId592" xr:uid="{00000000-0004-0000-0000-00004F020000}"/>
    <hyperlink ref="K550" r:id="rId593" xr:uid="{00000000-0004-0000-0000-000050020000}"/>
    <hyperlink ref="K551" r:id="rId594" xr:uid="{00000000-0004-0000-0000-000051020000}"/>
    <hyperlink ref="K552" r:id="rId595" xr:uid="{00000000-0004-0000-0000-000052020000}"/>
    <hyperlink ref="K553" r:id="rId596" xr:uid="{00000000-0004-0000-0000-000053020000}"/>
    <hyperlink ref="K554" r:id="rId597" xr:uid="{00000000-0004-0000-0000-000054020000}"/>
    <hyperlink ref="K555" r:id="rId598" xr:uid="{00000000-0004-0000-0000-000055020000}"/>
    <hyperlink ref="K556" r:id="rId599" xr:uid="{00000000-0004-0000-0000-000056020000}"/>
    <hyperlink ref="K559" r:id="rId600" xr:uid="{00000000-0004-0000-0000-000057020000}"/>
    <hyperlink ref="K560" r:id="rId601" xr:uid="{00000000-0004-0000-0000-000058020000}"/>
    <hyperlink ref="K561" r:id="rId602" xr:uid="{00000000-0004-0000-0000-000059020000}"/>
    <hyperlink ref="K562" r:id="rId603" xr:uid="{00000000-0004-0000-0000-00005A020000}"/>
    <hyperlink ref="K563" r:id="rId604" xr:uid="{00000000-0004-0000-0000-00005B020000}"/>
    <hyperlink ref="K564" r:id="rId605" xr:uid="{00000000-0004-0000-0000-00005C020000}"/>
    <hyperlink ref="K565" r:id="rId606" xr:uid="{00000000-0004-0000-0000-00005D020000}"/>
    <hyperlink ref="K566" r:id="rId607" xr:uid="{00000000-0004-0000-0000-00005E020000}"/>
    <hyperlink ref="K567" r:id="rId608" xr:uid="{00000000-0004-0000-0000-00005F020000}"/>
    <hyperlink ref="K568" r:id="rId609" xr:uid="{00000000-0004-0000-0000-000060020000}"/>
    <hyperlink ref="K570" r:id="rId610" xr:uid="{00000000-0004-0000-0000-000061020000}"/>
    <hyperlink ref="K571" r:id="rId611" xr:uid="{00000000-0004-0000-0000-000062020000}"/>
    <hyperlink ref="K572" r:id="rId612" xr:uid="{00000000-0004-0000-0000-000063020000}"/>
    <hyperlink ref="K573" r:id="rId613" xr:uid="{00000000-0004-0000-0000-000064020000}"/>
    <hyperlink ref="K575" r:id="rId614" xr:uid="{00000000-0004-0000-0000-000065020000}"/>
    <hyperlink ref="K576" r:id="rId615" xr:uid="{00000000-0004-0000-0000-000066020000}"/>
    <hyperlink ref="K577" r:id="rId616" xr:uid="{00000000-0004-0000-0000-000067020000}"/>
    <hyperlink ref="K578" r:id="rId617" xr:uid="{00000000-0004-0000-0000-000068020000}"/>
    <hyperlink ref="K579" r:id="rId618" xr:uid="{00000000-0004-0000-0000-000069020000}"/>
    <hyperlink ref="K580" r:id="rId619" xr:uid="{00000000-0004-0000-0000-00006A020000}"/>
    <hyperlink ref="K582" r:id="rId620" xr:uid="{00000000-0004-0000-0000-00006B020000}"/>
    <hyperlink ref="K583" r:id="rId621" xr:uid="{00000000-0004-0000-0000-00006C020000}"/>
    <hyperlink ref="K584" r:id="rId622" xr:uid="{00000000-0004-0000-0000-00006D020000}"/>
    <hyperlink ref="K585" r:id="rId623" xr:uid="{00000000-0004-0000-0000-00006E020000}"/>
    <hyperlink ref="K586" r:id="rId624" xr:uid="{00000000-0004-0000-0000-00006F020000}"/>
    <hyperlink ref="K587" r:id="rId625" xr:uid="{00000000-0004-0000-0000-000070020000}"/>
    <hyperlink ref="K588" r:id="rId626" xr:uid="{00000000-0004-0000-0000-000071020000}"/>
    <hyperlink ref="K589" r:id="rId627" xr:uid="{00000000-0004-0000-0000-000072020000}"/>
    <hyperlink ref="K590" r:id="rId628" xr:uid="{00000000-0004-0000-0000-000073020000}"/>
    <hyperlink ref="K591" r:id="rId629" xr:uid="{00000000-0004-0000-0000-000074020000}"/>
    <hyperlink ref="K593" r:id="rId630" xr:uid="{00000000-0004-0000-0000-000075020000}"/>
    <hyperlink ref="K594" r:id="rId631" xr:uid="{00000000-0004-0000-0000-000076020000}"/>
    <hyperlink ref="K595" r:id="rId632" xr:uid="{00000000-0004-0000-0000-000077020000}"/>
    <hyperlink ref="K596" r:id="rId633" xr:uid="{00000000-0004-0000-0000-000078020000}"/>
    <hyperlink ref="K597" r:id="rId634" xr:uid="{00000000-0004-0000-0000-000079020000}"/>
    <hyperlink ref="K598" r:id="rId635" xr:uid="{00000000-0004-0000-0000-00007A020000}"/>
    <hyperlink ref="K599" r:id="rId636" xr:uid="{00000000-0004-0000-0000-00007B020000}"/>
    <hyperlink ref="K600" r:id="rId637" xr:uid="{00000000-0004-0000-0000-00007C020000}"/>
    <hyperlink ref="K601" r:id="rId638" xr:uid="{00000000-0004-0000-0000-00007D020000}"/>
    <hyperlink ref="K602" r:id="rId639" xr:uid="{00000000-0004-0000-0000-00007E020000}"/>
    <hyperlink ref="K604" r:id="rId640" xr:uid="{00000000-0004-0000-0000-00007F020000}"/>
    <hyperlink ref="K605" r:id="rId641" xr:uid="{00000000-0004-0000-0000-000080020000}"/>
    <hyperlink ref="K606" r:id="rId642" xr:uid="{00000000-0004-0000-0000-000081020000}"/>
    <hyperlink ref="K607" r:id="rId643" xr:uid="{00000000-0004-0000-0000-000082020000}"/>
    <hyperlink ref="K608" r:id="rId644" xr:uid="{00000000-0004-0000-0000-000083020000}"/>
    <hyperlink ref="K609" r:id="rId645" xr:uid="{00000000-0004-0000-0000-000084020000}"/>
    <hyperlink ref="K610" r:id="rId646" xr:uid="{00000000-0004-0000-0000-000085020000}"/>
    <hyperlink ref="K611" r:id="rId647" xr:uid="{00000000-0004-0000-0000-000086020000}"/>
    <hyperlink ref="K612" r:id="rId648" xr:uid="{00000000-0004-0000-0000-000087020000}"/>
    <hyperlink ref="K613" r:id="rId649" xr:uid="{00000000-0004-0000-0000-000088020000}"/>
    <hyperlink ref="K615" r:id="rId650" xr:uid="{00000000-0004-0000-0000-000089020000}"/>
    <hyperlink ref="K616" r:id="rId651" xr:uid="{00000000-0004-0000-0000-00008A020000}"/>
    <hyperlink ref="K617" r:id="rId652" xr:uid="{00000000-0004-0000-0000-00008B020000}"/>
    <hyperlink ref="K618" r:id="rId653" xr:uid="{00000000-0004-0000-0000-00008C020000}"/>
    <hyperlink ref="K619" r:id="rId654" xr:uid="{00000000-0004-0000-0000-00008D020000}"/>
    <hyperlink ref="K620" r:id="rId655" xr:uid="{00000000-0004-0000-0000-00008E020000}"/>
    <hyperlink ref="K621" r:id="rId656" xr:uid="{00000000-0004-0000-0000-00008F020000}"/>
    <hyperlink ref="K622" r:id="rId657" xr:uid="{00000000-0004-0000-0000-000090020000}"/>
    <hyperlink ref="K623" r:id="rId658" xr:uid="{00000000-0004-0000-0000-000091020000}"/>
    <hyperlink ref="K624" r:id="rId659" xr:uid="{00000000-0004-0000-0000-000092020000}"/>
    <hyperlink ref="K626" r:id="rId660" xr:uid="{00000000-0004-0000-0000-000093020000}"/>
    <hyperlink ref="K627" r:id="rId661" xr:uid="{00000000-0004-0000-0000-000094020000}"/>
    <hyperlink ref="K628" r:id="rId662" xr:uid="{00000000-0004-0000-0000-000095020000}"/>
    <hyperlink ref="K629" r:id="rId663" xr:uid="{00000000-0004-0000-0000-000096020000}"/>
    <hyperlink ref="K630" r:id="rId664" xr:uid="{00000000-0004-0000-0000-000097020000}"/>
    <hyperlink ref="K631" r:id="rId665" xr:uid="{00000000-0004-0000-0000-000098020000}"/>
    <hyperlink ref="K632" r:id="rId666" xr:uid="{00000000-0004-0000-0000-000099020000}"/>
    <hyperlink ref="K633" r:id="rId667" xr:uid="{00000000-0004-0000-0000-00009A020000}"/>
    <hyperlink ref="K634" r:id="rId668" xr:uid="{00000000-0004-0000-0000-00009B020000}"/>
    <hyperlink ref="K635" r:id="rId669" xr:uid="{00000000-0004-0000-0000-00009C020000}"/>
    <hyperlink ref="K637" r:id="rId670" xr:uid="{00000000-0004-0000-0000-00009D020000}"/>
    <hyperlink ref="K638" r:id="rId671" xr:uid="{00000000-0004-0000-0000-00009E020000}"/>
    <hyperlink ref="K639" r:id="rId672" xr:uid="{00000000-0004-0000-0000-00009F020000}"/>
    <hyperlink ref="K640" r:id="rId673" xr:uid="{00000000-0004-0000-0000-0000A0020000}"/>
    <hyperlink ref="K641" r:id="rId674" xr:uid="{00000000-0004-0000-0000-0000A1020000}"/>
    <hyperlink ref="K642" r:id="rId675" xr:uid="{00000000-0004-0000-0000-0000A2020000}"/>
    <hyperlink ref="K643" r:id="rId676" xr:uid="{00000000-0004-0000-0000-0000A3020000}"/>
    <hyperlink ref="K644" r:id="rId677" xr:uid="{00000000-0004-0000-0000-0000A4020000}"/>
    <hyperlink ref="K645" r:id="rId678" xr:uid="{00000000-0004-0000-0000-0000A5020000}"/>
    <hyperlink ref="K646" r:id="rId679" xr:uid="{00000000-0004-0000-0000-0000A6020000}"/>
    <hyperlink ref="K648" r:id="rId680" xr:uid="{00000000-0004-0000-0000-0000A7020000}"/>
    <hyperlink ref="K649" r:id="rId681" xr:uid="{00000000-0004-0000-0000-0000A8020000}"/>
    <hyperlink ref="K650" r:id="rId682" xr:uid="{00000000-0004-0000-0000-0000A9020000}"/>
    <hyperlink ref="K651" r:id="rId683" xr:uid="{00000000-0004-0000-0000-0000AA020000}"/>
    <hyperlink ref="K652" r:id="rId684" xr:uid="{00000000-0004-0000-0000-0000AB020000}"/>
    <hyperlink ref="K653" r:id="rId685" xr:uid="{00000000-0004-0000-0000-0000AC020000}"/>
    <hyperlink ref="K654" r:id="rId686" xr:uid="{00000000-0004-0000-0000-0000AD020000}"/>
    <hyperlink ref="K655" r:id="rId687" xr:uid="{00000000-0004-0000-0000-0000AE020000}"/>
    <hyperlink ref="K656" r:id="rId688" xr:uid="{00000000-0004-0000-0000-0000AF020000}"/>
    <hyperlink ref="K657" r:id="rId689" xr:uid="{00000000-0004-0000-0000-0000B0020000}"/>
    <hyperlink ref="K659" r:id="rId690" xr:uid="{00000000-0004-0000-0000-0000B1020000}"/>
    <hyperlink ref="K660" r:id="rId691" xr:uid="{00000000-0004-0000-0000-0000B2020000}"/>
    <hyperlink ref="K661" r:id="rId692" xr:uid="{00000000-0004-0000-0000-0000B3020000}"/>
    <hyperlink ref="K662" r:id="rId693" xr:uid="{00000000-0004-0000-0000-0000B4020000}"/>
    <hyperlink ref="K663" r:id="rId694" xr:uid="{00000000-0004-0000-0000-0000B5020000}"/>
    <hyperlink ref="K664" r:id="rId695" xr:uid="{00000000-0004-0000-0000-0000B6020000}"/>
    <hyperlink ref="K665" r:id="rId696" xr:uid="{00000000-0004-0000-0000-0000B7020000}"/>
    <hyperlink ref="K666" r:id="rId697" xr:uid="{00000000-0004-0000-0000-0000B8020000}"/>
    <hyperlink ref="K667" r:id="rId698" xr:uid="{00000000-0004-0000-0000-0000B9020000}"/>
    <hyperlink ref="K668" r:id="rId699" xr:uid="{00000000-0004-0000-0000-0000BA020000}"/>
    <hyperlink ref="K671" r:id="rId700" xr:uid="{00000000-0004-0000-0000-0000BB020000}"/>
    <hyperlink ref="K672" r:id="rId701" xr:uid="{00000000-0004-0000-0000-0000BC020000}"/>
    <hyperlink ref="K673" r:id="rId702" xr:uid="{00000000-0004-0000-0000-0000BD020000}"/>
    <hyperlink ref="K674" r:id="rId703" xr:uid="{00000000-0004-0000-0000-0000BE020000}"/>
    <hyperlink ref="K675" r:id="rId704" xr:uid="{00000000-0004-0000-0000-0000BF020000}"/>
    <hyperlink ref="K676" r:id="rId705" xr:uid="{00000000-0004-0000-0000-0000C0020000}"/>
    <hyperlink ref="K677" r:id="rId706" xr:uid="{00000000-0004-0000-0000-0000C1020000}"/>
    <hyperlink ref="K678" r:id="rId707" xr:uid="{00000000-0004-0000-0000-0000C2020000}"/>
    <hyperlink ref="K679" r:id="rId708" xr:uid="{00000000-0004-0000-0000-0000C3020000}"/>
    <hyperlink ref="K680" r:id="rId709" xr:uid="{00000000-0004-0000-0000-0000C4020000}"/>
    <hyperlink ref="K682" r:id="rId710" xr:uid="{00000000-0004-0000-0000-0000C5020000}"/>
    <hyperlink ref="K683" r:id="rId711" xr:uid="{00000000-0004-0000-0000-0000C6020000}"/>
    <hyperlink ref="K684" r:id="rId712" xr:uid="{00000000-0004-0000-0000-0000C7020000}"/>
    <hyperlink ref="K685" r:id="rId713" xr:uid="{00000000-0004-0000-0000-0000C8020000}"/>
    <hyperlink ref="K686" r:id="rId714" xr:uid="{00000000-0004-0000-0000-0000C9020000}"/>
    <hyperlink ref="K687" r:id="rId715" xr:uid="{00000000-0004-0000-0000-0000CA020000}"/>
    <hyperlink ref="K688" r:id="rId716" xr:uid="{00000000-0004-0000-0000-0000CB020000}"/>
    <hyperlink ref="K689" r:id="rId717" xr:uid="{00000000-0004-0000-0000-0000CC020000}"/>
    <hyperlink ref="K690" r:id="rId718" xr:uid="{00000000-0004-0000-0000-0000CD020000}"/>
    <hyperlink ref="K691" r:id="rId719" xr:uid="{00000000-0004-0000-0000-0000CE020000}"/>
    <hyperlink ref="K693" r:id="rId720" xr:uid="{00000000-0004-0000-0000-0000CF020000}"/>
    <hyperlink ref="K694" r:id="rId721" xr:uid="{00000000-0004-0000-0000-0000D0020000}"/>
    <hyperlink ref="K695" r:id="rId722" xr:uid="{00000000-0004-0000-0000-0000D1020000}"/>
    <hyperlink ref="K696" r:id="rId723" xr:uid="{00000000-0004-0000-0000-0000D2020000}"/>
    <hyperlink ref="K697" r:id="rId724" xr:uid="{00000000-0004-0000-0000-0000D3020000}"/>
    <hyperlink ref="K698" r:id="rId725" xr:uid="{00000000-0004-0000-0000-0000D4020000}"/>
    <hyperlink ref="K699" r:id="rId726" xr:uid="{00000000-0004-0000-0000-0000D5020000}"/>
    <hyperlink ref="K700" r:id="rId727" xr:uid="{00000000-0004-0000-0000-0000D6020000}"/>
    <hyperlink ref="K701" r:id="rId728" xr:uid="{00000000-0004-0000-0000-0000D7020000}"/>
    <hyperlink ref="K702" r:id="rId729" xr:uid="{00000000-0004-0000-0000-0000D8020000}"/>
    <hyperlink ref="K704" r:id="rId730" xr:uid="{00000000-0004-0000-0000-0000D9020000}"/>
    <hyperlink ref="K705" r:id="rId731" xr:uid="{00000000-0004-0000-0000-0000DA020000}"/>
    <hyperlink ref="J706" r:id="rId732" display="https://doi.org/10.1109/iThings-GreenCom-CPSCom-SmartData-Cybermatics62450.2024.00090" xr:uid="{DB7DFE15-DEB3-4663-8B77-277F9212196D}"/>
  </hyperlinks>
  <pageMargins left="0.7" right="0.7" top="0.75" bottom="0.75" header="0.3" footer="0.3"/>
  <pageSetup paperSize="9" orientation="portrait" horizontalDpi="1200" verticalDpi="1200" r:id="rId73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14261-2D48-4144-88FB-F2DF4971888D}">
  <sheetPr>
    <tabColor theme="0"/>
  </sheetPr>
  <dimension ref="A1:P101"/>
  <sheetViews>
    <sheetView zoomScale="55" zoomScaleNormal="55" workbookViewId="0">
      <selection activeCell="Q47" sqref="Q47"/>
    </sheetView>
  </sheetViews>
  <sheetFormatPr defaultRowHeight="15" x14ac:dyDescent="0.25"/>
  <cols>
    <col min="3" max="3" width="9.7109375" bestFit="1" customWidth="1"/>
    <col min="11" max="11" width="38.28515625" customWidth="1"/>
    <col min="12" max="12" width="12.42578125" customWidth="1"/>
    <col min="13" max="13" width="14" customWidth="1"/>
    <col min="17" max="17" width="83.42578125" customWidth="1"/>
    <col min="18" max="18" width="18.85546875" customWidth="1"/>
    <col min="20" max="20" width="23.7109375" customWidth="1"/>
  </cols>
  <sheetData>
    <row r="1" spans="1:13" s="107" customFormat="1" ht="15.75" thickBot="1" x14ac:dyDescent="0.3">
      <c r="A1" s="108" t="s">
        <v>9618</v>
      </c>
    </row>
    <row r="2" spans="1:13" ht="27.75" customHeight="1" x14ac:dyDescent="0.25">
      <c r="A2" s="74"/>
      <c r="B2" s="75" t="s">
        <v>9584</v>
      </c>
      <c r="C2" s="74" t="s">
        <v>9585</v>
      </c>
      <c r="D2" s="74" t="s">
        <v>9586</v>
      </c>
      <c r="E2" s="74" t="s">
        <v>9587</v>
      </c>
      <c r="F2" s="74" t="s">
        <v>9588</v>
      </c>
      <c r="K2" s="76" t="s">
        <v>9589</v>
      </c>
      <c r="L2" s="77" t="s">
        <v>9590</v>
      </c>
      <c r="M2" s="78" t="s">
        <v>9591</v>
      </c>
    </row>
    <row r="3" spans="1:13" x14ac:dyDescent="0.25">
      <c r="A3" s="74" t="s">
        <v>5020</v>
      </c>
      <c r="B3" s="79">
        <f>COUNTIF([1]Cluster_Score3_NIST!$F$1:$F$29,"M")</f>
        <v>1</v>
      </c>
      <c r="C3" s="80">
        <f>COUNTIFS([1]Cluster_Score3_NIST!$F$1:$F$29, "M",[1]Cluster_Score3_NIST!$E$1:$E$29, "R",[1]Cluster_Score3_NIST!$AV$1:$AV$29, "Y")</f>
        <v>1</v>
      </c>
      <c r="D3" s="80">
        <f>COUNTIFS([1]Cluster_Score3_NIST!$F$1:$F$29, "M",[1]Cluster_Score3_NIST!$E$1:$E$29, "R",[1]Cluster_Score3_NIST!$AV$1:$AV$29, "N")</f>
        <v>0</v>
      </c>
      <c r="E3" s="80">
        <f>COUNTIFS([1]Cluster_Score3_NIST!$F$1:$F$29, "M",[1]Cluster_Score3_NIST!$E$1:$E$29, "S",[1]Cluster_Score3_NIST!$AV$1:$AV$29, "Y")</f>
        <v>0</v>
      </c>
      <c r="F3" s="80">
        <f>COUNTIFS([1]Cluster_Score3_NIST!$F$1:$F$29, "M",[1]Cluster_Score3_NIST!$E$1:$E$29, "S",[1]Cluster_Score3_NIST!$AV$1:$AV$29, "N")</f>
        <v>0</v>
      </c>
      <c r="K3" s="81" t="s">
        <v>9596</v>
      </c>
      <c r="L3" s="82" t="s">
        <v>9597</v>
      </c>
      <c r="M3" s="83" t="s">
        <v>9598</v>
      </c>
    </row>
    <row r="4" spans="1:13" x14ac:dyDescent="0.25">
      <c r="A4" s="74" t="s">
        <v>5022</v>
      </c>
      <c r="B4" s="79">
        <f>COUNTIF([1]Cluster_Score3_NIST!$F$1:$F$29,"C")</f>
        <v>10</v>
      </c>
      <c r="C4" s="80">
        <f>COUNTIFS([1]Cluster_Score3_NIST!$F$1:$F$29, "C",[1]Cluster_Score3_NIST!$E$1:$E$29, "R",[1]Cluster_Score3_NIST!$AV$1:$AV$29, "Y")</f>
        <v>5</v>
      </c>
      <c r="D4" s="80">
        <f>COUNTIFS([1]Cluster_Score3_NIST!$F$1:$F$29, "C",[1]Cluster_Score3_NIST!$E$1:$E$29, "R",[1]Cluster_Score3_NIST!$AV$1:$AV$29, "N")</f>
        <v>4</v>
      </c>
      <c r="E4" s="80">
        <f>COUNTIFS([1]Cluster_Score3_NIST!$F$1:$F$29, "C",[1]Cluster_Score3_NIST!$E$1:$E$29, "S",[1]Cluster_Score3_NIST!$AV$1:$AV$29, "Y")</f>
        <v>1</v>
      </c>
      <c r="F4" s="80">
        <f>COUNTIFS([1]Cluster_Score3_NIST!$F$1:$F$29, "C",[1]Cluster_Score3_NIST!$E$1:$E$29, "S",[1]Cluster_Score3_NIST!$AV$1:$AV$29, "N")</f>
        <v>0</v>
      </c>
      <c r="K4" s="85" t="s">
        <v>5024</v>
      </c>
      <c r="L4" s="86">
        <f>COUNTIF([1]Cyber_Threat_Taxonomy!$A$2:$A$70,"Communication Attacks")</f>
        <v>13</v>
      </c>
      <c r="M4" s="87">
        <f>SUMIF([1]Cyber_Threat_Taxonomy!$A$2:$A$70, "Communication Attacks",[1]!Cyber_Threat_Taxonomy_Updated[ToT papers cited])</f>
        <v>73</v>
      </c>
    </row>
    <row r="5" spans="1:13" x14ac:dyDescent="0.25">
      <c r="A5" s="74" t="s">
        <v>5021</v>
      </c>
      <c r="B5" s="79">
        <f>COUNTIF([1]Cluster_Score3_NIST!$F$1:$F$29,"B")</f>
        <v>17</v>
      </c>
      <c r="C5" s="80">
        <f>COUNTIFS([1]Cluster_Score3_NIST!$F$1:$F$29, "B",[1]Cluster_Score3_NIST!$E$1:$E$29, "R",[1]Cluster_Score3_NIST!$AV$1:$AV$29, "Y")</f>
        <v>7</v>
      </c>
      <c r="D5" s="80">
        <f>COUNTIFS([1]Cluster_Score3_NIST!$F$1:$F$29, "B",[1]Cluster_Score3_NIST!$E$1:$E$29, "R",[1]Cluster_Score3_NIST!$AV$1:$AV$29, "N")</f>
        <v>3</v>
      </c>
      <c r="E5" s="80">
        <f>COUNTIFS([1]Cluster_Score3_NIST!$F$1:$F$29, "B",[1]Cluster_Score3_NIST!$E$1:$E$29, "S",[1]Cluster_Score3_NIST!$AV$1:$AV$29, "Y")</f>
        <v>5</v>
      </c>
      <c r="F5" s="80">
        <f>COUNTIFS([1]Cluster_Score3_NIST!$F$1:$F$29, "B",[1]Cluster_Score3_NIST!$E$1:$E$29, "S",[1]Cluster_Score3_NIST!$AV$1:$AV$29, "N")</f>
        <v>2</v>
      </c>
      <c r="K5" s="85" t="s">
        <v>5025</v>
      </c>
      <c r="L5" s="86">
        <f>COUNTIF([1]Cyber_Threat_Taxonomy!$A$2:$A$70,"Hybrid or Multi-vector Attacks")</f>
        <v>9</v>
      </c>
      <c r="M5" s="87">
        <f>SUMIF([1]Cyber_Threat_Taxonomy!$A$2:$A$70, "Hybrid or Multi-vector Attacks",[1]!Cyber_Threat_Taxonomy_Updated[ToT papers cited])</f>
        <v>78</v>
      </c>
    </row>
    <row r="6" spans="1:13" x14ac:dyDescent="0.25">
      <c r="K6" s="85" t="s">
        <v>5026</v>
      </c>
      <c r="L6" s="86">
        <f>COUNTIF([1]Cyber_Threat_Taxonomy!$A$2:$A$70,"Authentication &amp; Access Control Attacks")</f>
        <v>8</v>
      </c>
      <c r="M6" s="87">
        <f>SUMIF([1]Cyber_Threat_Taxonomy!$A$2:$A$70, "Authentication &amp; Access Control Attacks",[1]!Cyber_Threat_Taxonomy_Updated[ToT papers cited])</f>
        <v>54</v>
      </c>
    </row>
    <row r="7" spans="1:13" x14ac:dyDescent="0.25">
      <c r="A7" s="74" t="s">
        <v>5019</v>
      </c>
      <c r="B7" s="86">
        <f>COUNTIF([1]Cluster_Score3_NIST!$E$1:$E$29,"R")</f>
        <v>20</v>
      </c>
      <c r="K7" s="85" t="s">
        <v>5027</v>
      </c>
      <c r="L7" s="86">
        <f>COUNTIF([1]Cyber_Threat_Taxonomy!$A$2:$A$70,"Network-based Attacks")</f>
        <v>9</v>
      </c>
      <c r="M7" s="87">
        <f>SUMIF([1]Cyber_Threat_Taxonomy!$A$2:$A$70, "Network-based Attacks",[1]!Cyber_Threat_Taxonomy_Updated[ToT papers cited])</f>
        <v>29</v>
      </c>
    </row>
    <row r="8" spans="1:13" x14ac:dyDescent="0.25">
      <c r="A8" s="74" t="s">
        <v>5023</v>
      </c>
      <c r="B8" s="86">
        <f>COUNTIF([1]Cluster_Score3_NIST!$E$1:$E$29,"S")</f>
        <v>8</v>
      </c>
      <c r="K8" s="85" t="s">
        <v>5028</v>
      </c>
      <c r="L8" s="86">
        <f>COUNTIF([1]Cyber_Threat_Taxonomy!$A$2:$A$70,"Data Security &amp; Privacy Attacks")</f>
        <v>6</v>
      </c>
      <c r="M8" s="87">
        <f>SUMIF([1]Cyber_Threat_Taxonomy!$A$2:$A$70, "Data Security &amp; Privacy Attacks",[1]!Cyber_Threat_Taxonomy_Updated[ToT papers cited])</f>
        <v>33</v>
      </c>
    </row>
    <row r="9" spans="1:13" x14ac:dyDescent="0.25">
      <c r="K9" s="85" t="s">
        <v>5029</v>
      </c>
      <c r="L9" s="86">
        <f>COUNTIF([1]Cyber_Threat_Taxonomy!$A$2:$A$70,"Software &amp; Firmware Vulnerabilities")</f>
        <v>4</v>
      </c>
      <c r="M9" s="87">
        <f>SUMIF([1]Cyber_Threat_Taxonomy!$A$2:$A$70, "Software &amp; Firmware Vulnerabilities",[1]!Cyber_Threat_Taxonomy_Updated[ToT papers cited])</f>
        <v>18</v>
      </c>
    </row>
    <row r="10" spans="1:13" x14ac:dyDescent="0.25">
      <c r="A10" s="74" t="s">
        <v>11</v>
      </c>
      <c r="B10" s="86">
        <f>COUNTIF([1]Cluster_Score3_NIST!$AV$1:$AV$29,"Y")</f>
        <v>19</v>
      </c>
      <c r="K10" s="85" t="s">
        <v>5030</v>
      </c>
      <c r="L10" s="86">
        <f>COUNTIF([1]Cyber_Threat_Taxonomy!$A$2:$A$70,"Miscellanea")</f>
        <v>5</v>
      </c>
      <c r="M10" s="87">
        <f>SUMIF([1]Cyber_Threat_Taxonomy!$A$2:$A$70, "Miscellanea",[1]!Cyber_Threat_Taxonomy_Updated[ToT papers cited])</f>
        <v>17</v>
      </c>
    </row>
    <row r="11" spans="1:13" x14ac:dyDescent="0.25">
      <c r="A11" s="74" t="s">
        <v>20</v>
      </c>
      <c r="B11" s="86">
        <f>COUNTIF([1]Cluster_Score3_NIST!$AV$1:$AV$29,"N")</f>
        <v>9</v>
      </c>
      <c r="K11" s="85" t="s">
        <v>5031</v>
      </c>
      <c r="L11" s="86">
        <f>COUNTIF([1]Cyber_Threat_Taxonomy!$A$2:$A$70,"Physical Attacks")</f>
        <v>4</v>
      </c>
      <c r="M11" s="87">
        <f>SUMIF([1]Cyber_Threat_Taxonomy!$A$2:$A$70, "Physical Attacks",[1]!Cyber_Threat_Taxonomy_Updated[ToT papers cited])</f>
        <v>13</v>
      </c>
    </row>
    <row r="12" spans="1:13" ht="15.75" thickBot="1" x14ac:dyDescent="0.3">
      <c r="K12" s="99" t="s">
        <v>5032</v>
      </c>
      <c r="L12" s="100">
        <f>COUNTIF([1]Cyber_Threat_Taxonomy!$A$2:$A$70,"Malware &amp; Exploits")</f>
        <v>11</v>
      </c>
      <c r="M12" s="101">
        <f>SUMIF([1]Cyber_Threat_Taxonomy!$A$2:$A$70, "Malware &amp; Exploits",[1]!Cyber_Threat_Taxonomy_Updated[ToT papers cited])</f>
        <v>39</v>
      </c>
    </row>
    <row r="13" spans="1:13" x14ac:dyDescent="0.25">
      <c r="K13" s="102" t="s">
        <v>9616</v>
      </c>
      <c r="L13" s="103">
        <f>SUM(L4:L12)</f>
        <v>69</v>
      </c>
      <c r="M13" s="103">
        <f>SUM(M4:M12)</f>
        <v>354</v>
      </c>
    </row>
    <row r="31" spans="1:1" s="107" customFormat="1" x14ac:dyDescent="0.25">
      <c r="A31" s="108" t="s">
        <v>9617</v>
      </c>
    </row>
    <row r="33" spans="1:4" x14ac:dyDescent="0.25">
      <c r="A33" t="s">
        <v>9592</v>
      </c>
      <c r="B33" t="s">
        <v>9593</v>
      </c>
      <c r="C33" t="s">
        <v>9594</v>
      </c>
      <c r="D33" t="s">
        <v>9595</v>
      </c>
    </row>
    <row r="34" spans="1:4" x14ac:dyDescent="0.25">
      <c r="A34" s="8">
        <v>1995</v>
      </c>
      <c r="B34" s="84">
        <f>VALUE(LEFT([1]Cluster_Score3_NIST!$H2,4))</f>
        <v>2014</v>
      </c>
      <c r="C34" s="84">
        <f>VALUE(RIGHT([1]Cluster_Score3_NIST!$H2,4))</f>
        <v>2023</v>
      </c>
      <c r="D34" cm="1">
        <f t="array" ref="D34">SUMPRODUCT(($B$34:$B$61&lt;=$A34)*($C$34:$C$61&gt;=$A34))</f>
        <v>1</v>
      </c>
    </row>
    <row r="35" spans="1:4" x14ac:dyDescent="0.25">
      <c r="A35" s="8">
        <v>1996</v>
      </c>
      <c r="B35" s="84">
        <f>VALUE(LEFT([1]Cluster_Score3_NIST!$H3,4))</f>
        <v>2018</v>
      </c>
      <c r="C35" s="84">
        <f>VALUE(RIGHT([1]Cluster_Score3_NIST!$H3,4))</f>
        <v>2023</v>
      </c>
      <c r="D35" cm="1">
        <f t="array" ref="D35">SUMPRODUCT(($B$34:$B$61&lt;=$A35)*($C$34:$C$61&gt;=$A35))</f>
        <v>1</v>
      </c>
    </row>
    <row r="36" spans="1:4" x14ac:dyDescent="0.25">
      <c r="A36" s="8">
        <v>1997</v>
      </c>
      <c r="B36" s="84">
        <f>VALUE(LEFT([1]Cluster_Score3_NIST!$H4,4))</f>
        <v>2017</v>
      </c>
      <c r="C36" s="84">
        <f>VALUE(RIGHT([1]Cluster_Score3_NIST!$H4,4))</f>
        <v>2024</v>
      </c>
      <c r="D36" cm="1">
        <f t="array" ref="D36">SUMPRODUCT(($B$34:$B$61&lt;=$A36)*($C$34:$C$61&gt;=$A36))</f>
        <v>1</v>
      </c>
    </row>
    <row r="37" spans="1:4" x14ac:dyDescent="0.25">
      <c r="A37" s="8">
        <v>1998</v>
      </c>
      <c r="B37" s="84">
        <f>VALUE(LEFT([1]Cluster_Score3_NIST!$H5,4))</f>
        <v>2012</v>
      </c>
      <c r="C37" s="84">
        <f>VALUE(RIGHT([1]Cluster_Score3_NIST!$H5,4))</f>
        <v>2023</v>
      </c>
      <c r="D37" cm="1">
        <f t="array" ref="D37">SUMPRODUCT(($B$34:$B$61&lt;=$A37)*($C$34:$C$61&gt;=$A37))</f>
        <v>1</v>
      </c>
    </row>
    <row r="38" spans="1:4" x14ac:dyDescent="0.25">
      <c r="A38" s="8">
        <v>1999</v>
      </c>
      <c r="B38" s="84">
        <f>VALUE(LEFT([1]Cluster_Score3_NIST!$H6,4))</f>
        <v>2018</v>
      </c>
      <c r="C38" s="84">
        <f>VALUE(RIGHT([1]Cluster_Score3_NIST!$H6,4))</f>
        <v>2023</v>
      </c>
      <c r="D38" cm="1">
        <f t="array" ref="D38">SUMPRODUCT(($B$34:$B$61&lt;=$A38)*($C$34:$C$61&gt;=$A38))</f>
        <v>2</v>
      </c>
    </row>
    <row r="39" spans="1:4" x14ac:dyDescent="0.25">
      <c r="A39" s="8">
        <v>2000</v>
      </c>
      <c r="B39" s="84">
        <f>VALUE(LEFT([1]Cluster_Score3_NIST!$H7,4))</f>
        <v>2014</v>
      </c>
      <c r="C39" s="84">
        <f>VALUE(RIGHT([1]Cluster_Score3_NIST!$H7,4))</f>
        <v>2023</v>
      </c>
      <c r="D39" cm="1">
        <f t="array" ref="D39">SUMPRODUCT(($B$34:$B$61&lt;=$A39)*($C$34:$C$61&gt;=$A39))</f>
        <v>4</v>
      </c>
    </row>
    <row r="40" spans="1:4" x14ac:dyDescent="0.25">
      <c r="A40" s="8">
        <v>2001</v>
      </c>
      <c r="B40" s="84">
        <f>VALUE(LEFT([1]Cluster_Score3_NIST!$H8,4))</f>
        <v>2008</v>
      </c>
      <c r="C40" s="84">
        <f>VALUE(RIGHT([1]Cluster_Score3_NIST!$H8,4))</f>
        <v>2023</v>
      </c>
      <c r="D40" cm="1">
        <f t="array" ref="D40">SUMPRODUCT(($B$34:$B$61&lt;=$A40)*($C$34:$C$61&gt;=$A40))</f>
        <v>4</v>
      </c>
    </row>
    <row r="41" spans="1:4" x14ac:dyDescent="0.25">
      <c r="A41" s="8">
        <v>2002</v>
      </c>
      <c r="B41" s="84">
        <f>VALUE(LEFT([1]Cluster_Score3_NIST!$H9,4))</f>
        <v>2012</v>
      </c>
      <c r="C41" s="84">
        <f>VALUE(RIGHT([1]Cluster_Score3_NIST!$H9,4))</f>
        <v>2022</v>
      </c>
      <c r="D41" cm="1">
        <f t="array" ref="D41">SUMPRODUCT(($B$34:$B$61&lt;=$A41)*($C$34:$C$61&gt;=$A41))</f>
        <v>4</v>
      </c>
    </row>
    <row r="42" spans="1:4" x14ac:dyDescent="0.25">
      <c r="A42" s="8">
        <v>2003</v>
      </c>
      <c r="B42" s="84">
        <f>VALUE(LEFT([1]Cluster_Score3_NIST!$H10,4))</f>
        <v>2016</v>
      </c>
      <c r="C42" s="84">
        <f>VALUE(RIGHT([1]Cluster_Score3_NIST!$H10,4))</f>
        <v>2023</v>
      </c>
      <c r="D42" cm="1">
        <f t="array" ref="D42">SUMPRODUCT(($B$34:$B$61&lt;=$A42)*($C$34:$C$61&gt;=$A42))</f>
        <v>4</v>
      </c>
    </row>
    <row r="43" spans="1:4" x14ac:dyDescent="0.25">
      <c r="A43" s="8">
        <v>2004</v>
      </c>
      <c r="B43" s="84">
        <f>VALUE(LEFT([1]Cluster_Score3_NIST!$H11,4))</f>
        <v>2015</v>
      </c>
      <c r="C43" s="84">
        <f>VALUE(RIGHT([1]Cluster_Score3_NIST!$H11,4))</f>
        <v>2023</v>
      </c>
      <c r="D43" cm="1">
        <f t="array" ref="D43">SUMPRODUCT(($B$34:$B$61&lt;=$A43)*($C$34:$C$61&gt;=$A43))</f>
        <v>6</v>
      </c>
    </row>
    <row r="44" spans="1:4" x14ac:dyDescent="0.25">
      <c r="A44" s="8">
        <v>2005</v>
      </c>
      <c r="B44" s="84">
        <f>VALUE(LEFT([1]Cluster_Score3_NIST!$H12,4))</f>
        <v>2012</v>
      </c>
      <c r="C44" s="84">
        <f>VALUE(RIGHT([1]Cluster_Score3_NIST!$H12,4))</f>
        <v>2022</v>
      </c>
      <c r="D44" cm="1">
        <f t="array" ref="D44">SUMPRODUCT(($B$34:$B$61&lt;=$A44)*($C$34:$C$61&gt;=$A44))</f>
        <v>8</v>
      </c>
    </row>
    <row r="45" spans="1:4" x14ac:dyDescent="0.25">
      <c r="A45" s="8">
        <v>2006</v>
      </c>
      <c r="B45" s="84">
        <f>VALUE(LEFT([1]Cluster_Score3_NIST!$H13,4))</f>
        <v>2000</v>
      </c>
      <c r="C45" s="84">
        <f>VALUE(RIGHT([1]Cluster_Score3_NIST!$H13,4))</f>
        <v>2023</v>
      </c>
      <c r="D45" cm="1">
        <f t="array" ref="D45">SUMPRODUCT(($B$34:$B$61&lt;=$A45)*($C$34:$C$61&gt;=$A45))</f>
        <v>8</v>
      </c>
    </row>
    <row r="46" spans="1:4" x14ac:dyDescent="0.25">
      <c r="A46" s="8">
        <v>2007</v>
      </c>
      <c r="B46" s="84">
        <f>VALUE(LEFT([1]Cluster_Score3_NIST!$H14,4))</f>
        <v>2017</v>
      </c>
      <c r="C46" s="84">
        <f>VALUE(RIGHT([1]Cluster_Score3_NIST!$H14,4))</f>
        <v>2022</v>
      </c>
      <c r="D46" cm="1">
        <f t="array" ref="D46">SUMPRODUCT(($B$34:$B$61&lt;=$A46)*($C$34:$C$61&gt;=$A46))</f>
        <v>8</v>
      </c>
    </row>
    <row r="47" spans="1:4" x14ac:dyDescent="0.25">
      <c r="A47" s="8">
        <v>2008</v>
      </c>
      <c r="B47" s="84">
        <f>VALUE(LEFT([1]Cluster_Score3_NIST!$H15,4))</f>
        <v>2013</v>
      </c>
      <c r="C47" s="84">
        <f>VALUE(RIGHT([1]Cluster_Score3_NIST!$H15,4))</f>
        <v>2023</v>
      </c>
      <c r="D47" cm="1">
        <f t="array" ref="D47">SUMPRODUCT(($B$34:$B$61&lt;=$A47)*($C$34:$C$61&gt;=$A47))</f>
        <v>10</v>
      </c>
    </row>
    <row r="48" spans="1:4" x14ac:dyDescent="0.25">
      <c r="A48" s="8">
        <v>2009</v>
      </c>
      <c r="B48" s="84">
        <f>VALUE(LEFT([1]Cluster_Score3_NIST!$H16,4))</f>
        <v>2014</v>
      </c>
      <c r="C48" s="84">
        <f>VALUE(RIGHT([1]Cluster_Score3_NIST!$H16,4))</f>
        <v>2023</v>
      </c>
      <c r="D48" cm="1">
        <f t="array" ref="D48">SUMPRODUCT(($B$34:$B$61&lt;=$A48)*($C$34:$C$61&gt;=$A48))</f>
        <v>10</v>
      </c>
    </row>
    <row r="49" spans="1:4" x14ac:dyDescent="0.25">
      <c r="A49" s="8">
        <v>2010</v>
      </c>
      <c r="B49" s="84">
        <f>VALUE(LEFT([1]Cluster_Score3_NIST!$H17,4))</f>
        <v>1999</v>
      </c>
      <c r="C49" s="84">
        <f>VALUE(RIGHT([1]Cluster_Score3_NIST!$H17,4))</f>
        <v>2023</v>
      </c>
      <c r="D49" cm="1">
        <f t="array" ref="D49">SUMPRODUCT(($B$34:$B$61&lt;=$A49)*($C$34:$C$61&gt;=$A49))</f>
        <v>10</v>
      </c>
    </row>
    <row r="50" spans="1:4" x14ac:dyDescent="0.25">
      <c r="A50" s="8">
        <v>2011</v>
      </c>
      <c r="B50" s="84">
        <f>VALUE(LEFT([1]Cluster_Score3_NIST!$H18,4))</f>
        <v>2005</v>
      </c>
      <c r="C50" s="84">
        <f>VALUE(RIGHT([1]Cluster_Score3_NIST!$H18,4))</f>
        <v>2022</v>
      </c>
      <c r="D50" cm="1">
        <f t="array" ref="D50">SUMPRODUCT(($B$34:$B$61&lt;=$A50)*($C$34:$C$61&gt;=$A50))</f>
        <v>11</v>
      </c>
    </row>
    <row r="51" spans="1:4" x14ac:dyDescent="0.25">
      <c r="A51" s="8">
        <v>2012</v>
      </c>
      <c r="B51" s="84">
        <f>VALUE(LEFT([1]Cluster_Score3_NIST!$H19,4))</f>
        <v>2015</v>
      </c>
      <c r="C51" s="84">
        <f>VALUE(RIGHT([1]Cluster_Score3_NIST!$H19,4))</f>
        <v>2023</v>
      </c>
      <c r="D51" cm="1">
        <f t="array" ref="D51">SUMPRODUCT(($B$34:$B$61&lt;=$A51)*($C$34:$C$61&gt;=$A51))</f>
        <v>14</v>
      </c>
    </row>
    <row r="52" spans="1:4" x14ac:dyDescent="0.25">
      <c r="A52" s="8">
        <v>2013</v>
      </c>
      <c r="B52" s="84">
        <f>VALUE(LEFT([1]Cluster_Score3_NIST!$H20,4))</f>
        <v>2011</v>
      </c>
      <c r="C52" s="84">
        <f>VALUE(RIGHT([1]Cluster_Score3_NIST!$H20,4))</f>
        <v>2020</v>
      </c>
      <c r="D52" cm="1">
        <f t="array" ref="D52">SUMPRODUCT(($B$34:$B$61&lt;=$A52)*($C$34:$C$61&gt;=$A52))</f>
        <v>15</v>
      </c>
    </row>
    <row r="53" spans="1:4" x14ac:dyDescent="0.25">
      <c r="A53" s="8">
        <v>2014</v>
      </c>
      <c r="B53" s="84">
        <f>VALUE(LEFT([1]Cluster_Score3_NIST!$H21,4))</f>
        <v>2008</v>
      </c>
      <c r="C53" s="84">
        <f>VALUE(RIGHT([1]Cluster_Score3_NIST!$H21,4))</f>
        <v>2023</v>
      </c>
      <c r="D53" cm="1">
        <f t="array" ref="D53">SUMPRODUCT(($B$34:$B$61&lt;=$A53)*($C$34:$C$61&gt;=$A53))</f>
        <v>18</v>
      </c>
    </row>
    <row r="54" spans="1:4" x14ac:dyDescent="0.25">
      <c r="A54" s="8">
        <v>2015</v>
      </c>
      <c r="B54" s="84">
        <f>VALUE(LEFT([1]Cluster_Score3_NIST!$H22,4))</f>
        <v>2017</v>
      </c>
      <c r="C54" s="84">
        <f>VALUE(RIGHT([1]Cluster_Score3_NIST!$H22,4))</f>
        <v>2022</v>
      </c>
      <c r="D54" cm="1">
        <f t="array" ref="D54">SUMPRODUCT(($B$34:$B$61&lt;=$A54)*($C$34:$C$61&gt;=$A54))</f>
        <v>21</v>
      </c>
    </row>
    <row r="55" spans="1:4" x14ac:dyDescent="0.25">
      <c r="A55" s="8">
        <v>2016</v>
      </c>
      <c r="B55" s="84">
        <f>VALUE(LEFT([1]Cluster_Score3_NIST!$H23,4))</f>
        <v>2004</v>
      </c>
      <c r="C55" s="84">
        <f>VALUE(RIGHT([1]Cluster_Score3_NIST!$H23,4))</f>
        <v>2022</v>
      </c>
      <c r="D55" cm="1">
        <f t="array" ref="D55">SUMPRODUCT(($B$34:$B$61&lt;=$A55)*($C$34:$C$61&gt;=$A55))</f>
        <v>22</v>
      </c>
    </row>
    <row r="56" spans="1:4" x14ac:dyDescent="0.25">
      <c r="A56" s="8">
        <v>2017</v>
      </c>
      <c r="B56" s="84">
        <f>VALUE(LEFT([1]Cluster_Score3_NIST!$H24,4))</f>
        <v>2019</v>
      </c>
      <c r="C56" s="84">
        <f>VALUE(RIGHT([1]Cluster_Score3_NIST!$H24,4))</f>
        <v>2021</v>
      </c>
      <c r="D56" cm="1">
        <f t="array" ref="D56">SUMPRODUCT(($B$34:$B$61&lt;=$A56)*($C$34:$C$61&gt;=$A56))</f>
        <v>25</v>
      </c>
    </row>
    <row r="57" spans="1:4" x14ac:dyDescent="0.25">
      <c r="A57" s="8">
        <v>2018</v>
      </c>
      <c r="B57" s="84">
        <f>VALUE(LEFT([1]Cluster_Score3_NIST!$H25,4))</f>
        <v>2004</v>
      </c>
      <c r="C57" s="84">
        <f>VALUE(RIGHT([1]Cluster_Score3_NIST!$H25,4))</f>
        <v>2021</v>
      </c>
      <c r="D57" cm="1">
        <f t="array" ref="D57">SUMPRODUCT(($B$34:$B$61&lt;=$A57)*($C$34:$C$61&gt;=$A57))</f>
        <v>27</v>
      </c>
    </row>
    <row r="58" spans="1:4" x14ac:dyDescent="0.25">
      <c r="A58" s="8">
        <v>2019</v>
      </c>
      <c r="B58" s="84">
        <f>VALUE(LEFT([1]Cluster_Score3_NIST!$H26,4))</f>
        <v>2015</v>
      </c>
      <c r="C58" s="84">
        <f>VALUE(RIGHT([1]Cluster_Score3_NIST!$H26,4))</f>
        <v>2020</v>
      </c>
      <c r="D58" cm="1">
        <f t="array" ref="D58">SUMPRODUCT(($B$34:$B$61&lt;=$A58)*($C$34:$C$61&gt;=$A58))</f>
        <v>28</v>
      </c>
    </row>
    <row r="59" spans="1:4" x14ac:dyDescent="0.25">
      <c r="A59" s="8">
        <v>2020</v>
      </c>
      <c r="B59" s="84">
        <f>VALUE(LEFT([1]Cluster_Score3_NIST!$H27,4))</f>
        <v>2000</v>
      </c>
      <c r="C59" s="84">
        <f>VALUE(RIGHT([1]Cluster_Score3_NIST!$H27,4))</f>
        <v>2020</v>
      </c>
      <c r="D59" cm="1">
        <f t="array" ref="D59">SUMPRODUCT(($B$34:$B$61&lt;=$A59)*($C$34:$C$61&gt;=$A59))</f>
        <v>28</v>
      </c>
    </row>
    <row r="60" spans="1:4" x14ac:dyDescent="0.25">
      <c r="A60" s="8">
        <v>2021</v>
      </c>
      <c r="B60" s="84">
        <f>VALUE(LEFT([1]Cluster_Score3_NIST!$H28,4))</f>
        <v>1995</v>
      </c>
      <c r="C60" s="84">
        <f>VALUE(RIGHT([1]Cluster_Score3_NIST!$H28,4))</f>
        <v>2020</v>
      </c>
      <c r="D60" cm="1">
        <f t="array" ref="D60">SUMPRODUCT(($B$34:$B$61&lt;=$A60)*($C$34:$C$61&gt;=$A60))</f>
        <v>23</v>
      </c>
    </row>
    <row r="61" spans="1:4" x14ac:dyDescent="0.25">
      <c r="A61" s="8">
        <v>2022</v>
      </c>
      <c r="B61" s="84">
        <f>VALUE(LEFT([1]Cluster_Score3_NIST!$H29,4))</f>
        <v>2005</v>
      </c>
      <c r="C61" s="84">
        <f>VALUE(RIGHT([1]Cluster_Score3_NIST!$H29,4))</f>
        <v>2020</v>
      </c>
      <c r="D61" cm="1">
        <f t="array" ref="D61">SUMPRODUCT(($B$34:$B$61&lt;=$A61)*($C$34:$C$61&gt;=$A61))</f>
        <v>21</v>
      </c>
    </row>
    <row r="62" spans="1:4" x14ac:dyDescent="0.25">
      <c r="A62" s="104">
        <v>2023</v>
      </c>
      <c r="B62" s="105"/>
      <c r="C62" s="106"/>
      <c r="D62" s="106" cm="1">
        <f t="array" ref="D62">SUMPRODUCT(($B$34:$B$61&lt;=$A62)*($C$34:$C$61&gt;=$A62))</f>
        <v>15</v>
      </c>
    </row>
    <row r="63" spans="1:4" x14ac:dyDescent="0.25">
      <c r="A63" s="8">
        <v>2024</v>
      </c>
      <c r="B63" s="84"/>
      <c r="D63" cm="1">
        <f t="array" ref="D63">SUMPRODUCT(($B$34:$B$61&lt;=$A63)*($C$34:$C$61&gt;=$A63))</f>
        <v>1</v>
      </c>
    </row>
    <row r="64" spans="1:4" x14ac:dyDescent="0.25">
      <c r="A64" s="8">
        <v>2025</v>
      </c>
      <c r="B64" s="84"/>
      <c r="D64" cm="1">
        <f t="array" ref="D64">SUMPRODUCT(($B$34:$B$61&lt;=$A64)*($C$34:$C$61&gt;=$A64))</f>
        <v>0</v>
      </c>
    </row>
    <row r="66" spans="1:16" s="107" customFormat="1" x14ac:dyDescent="0.25">
      <c r="A66" s="108" t="s">
        <v>9619</v>
      </c>
    </row>
    <row r="68" spans="1:16" ht="15.75" thickBot="1" x14ac:dyDescent="0.3"/>
    <row r="69" spans="1:16" x14ac:dyDescent="0.25">
      <c r="A69" s="47" t="s">
        <v>9599</v>
      </c>
      <c r="B69" s="48" t="s">
        <v>9600</v>
      </c>
      <c r="C69" s="48" t="s">
        <v>9601</v>
      </c>
      <c r="D69" s="49" t="s">
        <v>9602</v>
      </c>
      <c r="E69" s="50" t="s">
        <v>9603</v>
      </c>
      <c r="F69" s="50" t="s">
        <v>9604</v>
      </c>
      <c r="G69" s="50" t="s">
        <v>9605</v>
      </c>
      <c r="H69" s="50" t="s">
        <v>9606</v>
      </c>
      <c r="I69" s="51" t="s">
        <v>9607</v>
      </c>
      <c r="J69" s="52" t="s">
        <v>9608</v>
      </c>
      <c r="K69" s="53" t="s">
        <v>9609</v>
      </c>
      <c r="L69" s="54" t="s">
        <v>9610</v>
      </c>
      <c r="M69" s="54" t="s">
        <v>9611</v>
      </c>
      <c r="N69" s="54" t="s">
        <v>9612</v>
      </c>
      <c r="O69" s="55" t="s">
        <v>9613</v>
      </c>
      <c r="P69" s="56" t="s">
        <v>9614</v>
      </c>
    </row>
    <row r="70" spans="1:16" x14ac:dyDescent="0.25">
      <c r="A70" s="88">
        <v>0.42857142857142855</v>
      </c>
      <c r="B70" s="88">
        <v>0.8928571428571429</v>
      </c>
      <c r="C70" s="88">
        <v>0</v>
      </c>
      <c r="D70" s="88">
        <v>0.4642857142857143</v>
      </c>
      <c r="E70" s="88">
        <v>0</v>
      </c>
      <c r="F70" s="88">
        <v>0.75</v>
      </c>
      <c r="G70" s="88">
        <v>0.21428571428571427</v>
      </c>
      <c r="H70" s="88">
        <v>0.2857142857142857</v>
      </c>
      <c r="I70" s="88">
        <v>0.9285714285714286</v>
      </c>
      <c r="J70" s="88">
        <v>0.17857142857142858</v>
      </c>
      <c r="K70" s="88">
        <v>3.5714285714285712E-2</v>
      </c>
      <c r="L70" s="88">
        <v>0.5</v>
      </c>
      <c r="M70" s="88">
        <v>0</v>
      </c>
      <c r="N70" s="88">
        <v>0.35714285714285715</v>
      </c>
      <c r="O70" s="88">
        <v>0.10714285714285714</v>
      </c>
      <c r="P70" s="88">
        <v>0</v>
      </c>
    </row>
    <row r="91" spans="1:16" ht="15.75" thickBot="1" x14ac:dyDescent="0.3"/>
    <row r="92" spans="1:16" ht="15.75" thickBot="1" x14ac:dyDescent="0.3">
      <c r="A92" s="57" t="s">
        <v>5001</v>
      </c>
      <c r="B92" s="57" t="s">
        <v>5002</v>
      </c>
      <c r="C92" s="65" t="s">
        <v>9583</v>
      </c>
      <c r="D92" s="58" t="s">
        <v>5004</v>
      </c>
      <c r="E92" s="58" t="s">
        <v>5005</v>
      </c>
      <c r="F92" s="58" t="s">
        <v>5006</v>
      </c>
      <c r="G92" s="58" t="s">
        <v>5007</v>
      </c>
      <c r="H92" s="59" t="s">
        <v>5008</v>
      </c>
      <c r="I92" s="60" t="s">
        <v>5010</v>
      </c>
      <c r="J92" s="61" t="s">
        <v>5011</v>
      </c>
      <c r="K92" s="62" t="s">
        <v>5013</v>
      </c>
      <c r="L92" s="62" t="s">
        <v>5014</v>
      </c>
      <c r="M92" s="62" t="s">
        <v>5015</v>
      </c>
      <c r="N92" s="63" t="s">
        <v>5016</v>
      </c>
      <c r="O92" s="46" t="s">
        <v>5018</v>
      </c>
      <c r="P92" s="64" t="s">
        <v>9615</v>
      </c>
    </row>
    <row r="93" spans="1:16" x14ac:dyDescent="0.25">
      <c r="A93" s="88">
        <v>0.9642857142857143</v>
      </c>
      <c r="B93" s="88">
        <v>0.35714285714285715</v>
      </c>
      <c r="C93" s="88">
        <v>0</v>
      </c>
      <c r="D93" s="88">
        <v>0.8214285714285714</v>
      </c>
      <c r="E93" s="88">
        <v>0.5714285714285714</v>
      </c>
      <c r="F93" s="88">
        <v>0.21428571428571427</v>
      </c>
      <c r="G93" s="88">
        <v>0.10714285714285714</v>
      </c>
      <c r="H93" s="88">
        <v>0</v>
      </c>
      <c r="I93" s="88">
        <v>0.9285714285714286</v>
      </c>
      <c r="J93" s="88">
        <v>0.17857142857142858</v>
      </c>
      <c r="K93" s="88">
        <v>0.5357142857142857</v>
      </c>
      <c r="L93" s="88">
        <v>0.32142857142857145</v>
      </c>
      <c r="M93" s="88">
        <v>3.5714285714285712E-2</v>
      </c>
      <c r="N93" s="88">
        <v>0</v>
      </c>
      <c r="O93" s="88">
        <v>0.10714285714285714</v>
      </c>
      <c r="P93" s="88">
        <v>0</v>
      </c>
    </row>
    <row r="96" spans="1:16" x14ac:dyDescent="0.25">
      <c r="I96" s="89" t="s">
        <v>5000</v>
      </c>
      <c r="J96" s="90" t="s">
        <v>5003</v>
      </c>
      <c r="K96" s="91" t="s">
        <v>5009</v>
      </c>
      <c r="L96" s="92" t="s">
        <v>5012</v>
      </c>
      <c r="M96" s="93" t="s">
        <v>5017</v>
      </c>
    </row>
    <row r="97" spans="8:13" x14ac:dyDescent="0.25">
      <c r="H97">
        <v>1</v>
      </c>
      <c r="I97" s="94">
        <v>0.9642857142857143</v>
      </c>
      <c r="J97" s="95">
        <v>0.8214285714285714</v>
      </c>
      <c r="K97" s="96">
        <v>0.9285714285714286</v>
      </c>
      <c r="L97" s="97">
        <v>0.5357142857142857</v>
      </c>
      <c r="M97" s="98">
        <v>0.10714285714285714</v>
      </c>
    </row>
    <row r="98" spans="8:13" x14ac:dyDescent="0.25">
      <c r="H98">
        <v>2</v>
      </c>
      <c r="I98" s="94">
        <v>0.35714285714285715</v>
      </c>
      <c r="J98" s="95">
        <v>0.5714285714285714</v>
      </c>
      <c r="K98" s="96">
        <v>0.17857142857142858</v>
      </c>
      <c r="L98" s="97">
        <v>0.32142857142857145</v>
      </c>
      <c r="M98" s="98">
        <v>0</v>
      </c>
    </row>
    <row r="99" spans="8:13" x14ac:dyDescent="0.25">
      <c r="H99">
        <v>3</v>
      </c>
      <c r="I99" s="94">
        <v>0</v>
      </c>
      <c r="J99" s="95">
        <v>0.21428571428571427</v>
      </c>
      <c r="L99" s="97">
        <v>3.5714285714285712E-2</v>
      </c>
    </row>
    <row r="100" spans="8:13" x14ac:dyDescent="0.25">
      <c r="H100">
        <v>4</v>
      </c>
      <c r="J100" s="95">
        <v>0.10714285714285714</v>
      </c>
      <c r="L100" s="97">
        <v>0</v>
      </c>
    </row>
    <row r="101" spans="8:13" x14ac:dyDescent="0.25">
      <c r="H101">
        <v>5</v>
      </c>
      <c r="J101" s="95">
        <v>0</v>
      </c>
    </row>
  </sheetData>
  <autoFilter ref="K3:M12" xr:uid="{1B0E98D1-2F91-49E8-BACC-4104443E008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6F84209F5E9FC4DB66A0B5523215E8A" ma:contentTypeVersion="11" ma:contentTypeDescription="Create a new document." ma:contentTypeScope="" ma:versionID="d605bacf9d450ba2e2b11f6ad8d76bb4">
  <xsd:schema xmlns:xsd="http://www.w3.org/2001/XMLSchema" xmlns:xs="http://www.w3.org/2001/XMLSchema" xmlns:p="http://schemas.microsoft.com/office/2006/metadata/properties" xmlns:ns2="c710bd92-9863-4e38-ab65-4504c3700c5a" xmlns:ns3="e634b621-8448-440d-9379-8a11d1c15232" targetNamespace="http://schemas.microsoft.com/office/2006/metadata/properties" ma:root="true" ma:fieldsID="e692718553776345f45995681d021faf" ns2:_="" ns3:_="">
    <xsd:import namespace="c710bd92-9863-4e38-ab65-4504c3700c5a"/>
    <xsd:import namespace="e634b621-8448-440d-9379-8a11d1c1523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10bd92-9863-4e38-ab65-4504c3700c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077786-8f00-4196-abd9-789428f22ae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634b621-8448-440d-9379-8a11d1c1523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2830690-96e9-4978-bb24-2576b88b2535}" ma:internalName="TaxCatchAll" ma:showField="CatchAllData" ma:web="e634b621-8448-440d-9379-8a11d1c152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634b621-8448-440d-9379-8a11d1c15232" xsi:nil="true"/>
    <lcf76f155ced4ddcb4097134ff3c332f xmlns="c710bd92-9863-4e38-ab65-4504c3700c5a">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17FF8EB7-8E20-4148-8BC2-7C46F35F2A43}">
  <ds:schemaRefs>
    <ds:schemaRef ds:uri="http://schemas.microsoft.com/sharepoint/v3/contenttype/forms"/>
  </ds:schemaRefs>
</ds:datastoreItem>
</file>

<file path=customXml/itemProps2.xml><?xml version="1.0" encoding="utf-8"?>
<ds:datastoreItem xmlns:ds="http://schemas.openxmlformats.org/officeDocument/2006/customXml" ds:itemID="{851FC5FC-A1A0-4D8F-A431-20E7446318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10bd92-9863-4e38-ab65-4504c3700c5a"/>
    <ds:schemaRef ds:uri="e634b621-8448-440d-9379-8a11d1c152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55C3A4-702E-450A-9DF2-036EB04F7800}">
  <ds:schemaRefs>
    <ds:schemaRef ds:uri="http://schemas.microsoft.com/office/2006/metadata/properties"/>
    <ds:schemaRef ds:uri="http://schemas.microsoft.com/office/infopath/2007/PartnerControls"/>
    <ds:schemaRef ds:uri="e634b621-8448-440d-9379-8a11d1c15232"/>
    <ds:schemaRef ds:uri="c710bd92-9863-4e38-ab65-4504c3700c5a"/>
  </ds:schemaRefs>
</ds:datastoreItem>
</file>

<file path=customXml/itemProps4.xml><?xml version="1.0" encoding="utf-8"?>
<ds:datastoreItem xmlns:ds="http://schemas.openxmlformats.org/officeDocument/2006/customXml" ds:itemID="{D6FB6E47-C6ED-4CCE-8347-D9A4E74AB34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Introductory notes and summary</vt:lpstr>
      <vt:lpstr>Scopus_Export</vt:lpstr>
      <vt:lpstr>Selected_papers</vt:lpstr>
      <vt:lpstr>Results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Andrea</dc:creator>
  <cp:keywords/>
  <dc:description/>
  <cp:lastModifiedBy>Andrea Montaruli</cp:lastModifiedBy>
  <cp:revision/>
  <dcterms:created xsi:type="dcterms:W3CDTF">2024-12-03T11:51:48Z</dcterms:created>
  <dcterms:modified xsi:type="dcterms:W3CDTF">2025-07-23T14:18:45Z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0x01010086F84209F5E9FC4DB66A0B5523215E8A</vt:lpwstr>
  </property>
  <property fmtid="{D5CDD505-2E9C-101B-9397-08002B2CF9AE}" pid="3" name="MediaServiceImageTags">
    <vt:lpwstr/>
  </property>
</Properties>
</file>